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DF061D53-05A3-4A1D-BA5A-C66B9D63BBBE}" xr6:coauthVersionLast="47" xr6:coauthVersionMax="47" xr10:uidLastSave="{00000000-0000-0000-0000-000000000000}"/>
  <bookViews>
    <workbookView xWindow="-120" yWindow="-120" windowWidth="29040" windowHeight="15840" xr2:uid="{B694C049-D1E3-47B0-B4CB-67B42187BF6A}"/>
  </bookViews>
  <sheets>
    <sheet name="Home" sheetId="7" r:id="rId1"/>
    <sheet name="S-coe" sheetId="6" r:id="rId2"/>
    <sheet name="Conversion" sheetId="3" r:id="rId3"/>
    <sheet name="Sort_Alpha" sheetId="2" r:id="rId4"/>
    <sheet name="Sort_IDAC" sheetId="4" r:id="rId5"/>
    <sheet name="Paste" sheetId="5" r:id="rId6"/>
    <sheet name="Sheet11" sheetId="1" r:id="rId7"/>
  </sheets>
  <definedNames>
    <definedName name="ToJ">Sheet11!#REF!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3" l="1"/>
  <c r="G1" i="3"/>
  <c r="E1" i="3"/>
  <c r="M13" i="5" l="1"/>
  <c r="M15" i="5"/>
  <c r="M24" i="5"/>
  <c r="M25" i="5"/>
  <c r="D5" i="3" l="1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BZ10" i="3"/>
  <c r="CA10" i="3"/>
  <c r="CB10" i="3"/>
  <c r="CC10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V17" i="3"/>
  <c r="BW17" i="3"/>
  <c r="BX17" i="3"/>
  <c r="BY17" i="3"/>
  <c r="BZ17" i="3"/>
  <c r="CA17" i="3"/>
  <c r="CB17" i="3"/>
  <c r="CC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V19" i="3"/>
  <c r="BW19" i="3"/>
  <c r="BX19" i="3"/>
  <c r="BY19" i="3"/>
  <c r="BZ19" i="3"/>
  <c r="CA19" i="3"/>
  <c r="CB19" i="3"/>
  <c r="CC19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V29" i="3"/>
  <c r="BW29" i="3"/>
  <c r="BX29" i="3"/>
  <c r="BY29" i="3"/>
  <c r="BZ29" i="3"/>
  <c r="CA29" i="3"/>
  <c r="CB29" i="3"/>
  <c r="CC29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V30" i="3"/>
  <c r="BW30" i="3"/>
  <c r="BX30" i="3"/>
  <c r="BY30" i="3"/>
  <c r="BZ30" i="3"/>
  <c r="CA30" i="3"/>
  <c r="CB30" i="3"/>
  <c r="CC30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V31" i="3"/>
  <c r="BW31" i="3"/>
  <c r="BX31" i="3"/>
  <c r="BY31" i="3"/>
  <c r="BZ31" i="3"/>
  <c r="CA31" i="3"/>
  <c r="CB31" i="3"/>
  <c r="CC31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V32" i="3"/>
  <c r="BW32" i="3"/>
  <c r="BX32" i="3"/>
  <c r="BY32" i="3"/>
  <c r="BZ32" i="3"/>
  <c r="CA32" i="3"/>
  <c r="CB32" i="3"/>
  <c r="CC32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V33" i="3"/>
  <c r="BW33" i="3"/>
  <c r="BX33" i="3"/>
  <c r="BY33" i="3"/>
  <c r="BZ33" i="3"/>
  <c r="CA33" i="3"/>
  <c r="CB33" i="3"/>
  <c r="CC33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5" i="3"/>
  <c r="D13" i="5" l="1"/>
  <c r="E13" i="5"/>
  <c r="F13" i="5"/>
  <c r="G13" i="5"/>
  <c r="H13" i="5"/>
  <c r="I13" i="5"/>
  <c r="J13" i="5"/>
  <c r="K13" i="5"/>
  <c r="L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D15" i="5"/>
  <c r="E15" i="5"/>
  <c r="F15" i="5"/>
  <c r="G15" i="5"/>
  <c r="H15" i="5"/>
  <c r="I15" i="5"/>
  <c r="J15" i="5"/>
  <c r="K15" i="5"/>
  <c r="L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D24" i="5"/>
  <c r="E24" i="5"/>
  <c r="F24" i="5"/>
  <c r="G24" i="5"/>
  <c r="H24" i="5"/>
  <c r="I24" i="5"/>
  <c r="J24" i="5"/>
  <c r="K24" i="5"/>
  <c r="L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D25" i="5"/>
  <c r="E25" i="5"/>
  <c r="F25" i="5"/>
  <c r="G25" i="5"/>
  <c r="H25" i="5"/>
  <c r="I25" i="5"/>
  <c r="J25" i="5"/>
  <c r="K25" i="5"/>
  <c r="L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13" i="5"/>
  <c r="C15" i="5"/>
  <c r="C24" i="5"/>
  <c r="C25" i="5"/>
  <c r="D4" i="1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6" i="2"/>
  <c r="C30" i="4" s="1"/>
  <c r="C30" i="5" s="1"/>
  <c r="D6" i="2"/>
  <c r="D30" i="4" s="1"/>
  <c r="D30" i="5" s="1"/>
  <c r="E6" i="2"/>
  <c r="E30" i="4" s="1"/>
  <c r="E30" i="5" s="1"/>
  <c r="F6" i="2"/>
  <c r="F30" i="4" s="1"/>
  <c r="F30" i="5" s="1"/>
  <c r="G6" i="2"/>
  <c r="G30" i="4" s="1"/>
  <c r="G30" i="5" s="1"/>
  <c r="H6" i="2"/>
  <c r="H30" i="4" s="1"/>
  <c r="H30" i="5" s="1"/>
  <c r="I6" i="2"/>
  <c r="I30" i="4" s="1"/>
  <c r="I30" i="5" s="1"/>
  <c r="J6" i="2"/>
  <c r="J30" i="4" s="1"/>
  <c r="J30" i="5" s="1"/>
  <c r="K6" i="2"/>
  <c r="K30" i="4" s="1"/>
  <c r="K30" i="5" s="1"/>
  <c r="L6" i="2"/>
  <c r="L30" i="4" s="1"/>
  <c r="L30" i="5" s="1"/>
  <c r="M6" i="2"/>
  <c r="M30" i="4" s="1"/>
  <c r="M30" i="5" s="1"/>
  <c r="N6" i="2"/>
  <c r="N30" i="4" s="1"/>
  <c r="N30" i="5" s="1"/>
  <c r="O6" i="2"/>
  <c r="O30" i="4" s="1"/>
  <c r="O30" i="5" s="1"/>
  <c r="P6" i="2"/>
  <c r="P30" i="4" s="1"/>
  <c r="P30" i="5" s="1"/>
  <c r="Q6" i="2"/>
  <c r="Q30" i="4" s="1"/>
  <c r="Q30" i="5" s="1"/>
  <c r="R6" i="2"/>
  <c r="R30" i="4" s="1"/>
  <c r="R30" i="5" s="1"/>
  <c r="S6" i="2"/>
  <c r="S30" i="4" s="1"/>
  <c r="S30" i="5" s="1"/>
  <c r="T6" i="2"/>
  <c r="T30" i="4" s="1"/>
  <c r="T30" i="5" s="1"/>
  <c r="U6" i="2"/>
  <c r="U30" i="4" s="1"/>
  <c r="U30" i="5" s="1"/>
  <c r="V6" i="2"/>
  <c r="V30" i="4" s="1"/>
  <c r="V30" i="5" s="1"/>
  <c r="W6" i="2"/>
  <c r="W30" i="4" s="1"/>
  <c r="W30" i="5" s="1"/>
  <c r="X6" i="2"/>
  <c r="X30" i="4" s="1"/>
  <c r="X30" i="5" s="1"/>
  <c r="Y6" i="2"/>
  <c r="Y30" i="4" s="1"/>
  <c r="Y30" i="5" s="1"/>
  <c r="Z6" i="2"/>
  <c r="Z30" i="4" s="1"/>
  <c r="Z30" i="5" s="1"/>
  <c r="AA6" i="2"/>
  <c r="AA30" i="4" s="1"/>
  <c r="AA30" i="5" s="1"/>
  <c r="AB6" i="2"/>
  <c r="AB30" i="4" s="1"/>
  <c r="AB30" i="5" s="1"/>
  <c r="AC6" i="2"/>
  <c r="AC30" i="4" s="1"/>
  <c r="AC30" i="5" s="1"/>
  <c r="AD6" i="2"/>
  <c r="AD30" i="4" s="1"/>
  <c r="AD30" i="5" s="1"/>
  <c r="AE6" i="2"/>
  <c r="AE30" i="4" s="1"/>
  <c r="AE30" i="5" s="1"/>
  <c r="AF6" i="2"/>
  <c r="AF30" i="4" s="1"/>
  <c r="AF30" i="5" s="1"/>
  <c r="AG6" i="2"/>
  <c r="AG30" i="4" s="1"/>
  <c r="AG30" i="5" s="1"/>
  <c r="AH6" i="2"/>
  <c r="AH30" i="4" s="1"/>
  <c r="AH30" i="5" s="1"/>
  <c r="AI6" i="2"/>
  <c r="AI30" i="4" s="1"/>
  <c r="AI30" i="5" s="1"/>
  <c r="AJ6" i="2"/>
  <c r="AJ30" i="4" s="1"/>
  <c r="AJ30" i="5" s="1"/>
  <c r="AK6" i="2"/>
  <c r="AK30" i="4" s="1"/>
  <c r="AK30" i="5" s="1"/>
  <c r="AL6" i="2"/>
  <c r="AL30" i="4" s="1"/>
  <c r="AL30" i="5" s="1"/>
  <c r="AM6" i="2"/>
  <c r="AM30" i="4" s="1"/>
  <c r="AM30" i="5" s="1"/>
  <c r="AN6" i="2"/>
  <c r="AN30" i="4" s="1"/>
  <c r="AN30" i="5" s="1"/>
  <c r="AO6" i="2"/>
  <c r="AO30" i="4" s="1"/>
  <c r="AO30" i="5" s="1"/>
  <c r="AP6" i="2"/>
  <c r="AP30" i="4" s="1"/>
  <c r="AP30" i="5" s="1"/>
  <c r="AQ6" i="2"/>
  <c r="AQ30" i="4" s="1"/>
  <c r="AQ30" i="5" s="1"/>
  <c r="AR6" i="2"/>
  <c r="AR30" i="4" s="1"/>
  <c r="AR30" i="5" s="1"/>
  <c r="AS6" i="2"/>
  <c r="AS30" i="4" s="1"/>
  <c r="AS30" i="5" s="1"/>
  <c r="AT6" i="2"/>
  <c r="AT30" i="4" s="1"/>
  <c r="AT30" i="5" s="1"/>
  <c r="AU6" i="2"/>
  <c r="AU30" i="4" s="1"/>
  <c r="AU30" i="5" s="1"/>
  <c r="AV6" i="2"/>
  <c r="AV30" i="4" s="1"/>
  <c r="AV30" i="5" s="1"/>
  <c r="AW6" i="2"/>
  <c r="AW30" i="4" s="1"/>
  <c r="AW30" i="5" s="1"/>
  <c r="AX6" i="2"/>
  <c r="AX30" i="4" s="1"/>
  <c r="AX30" i="5" s="1"/>
  <c r="AY6" i="2"/>
  <c r="AY30" i="4" s="1"/>
  <c r="AY30" i="5" s="1"/>
  <c r="AZ6" i="2"/>
  <c r="AZ30" i="4" s="1"/>
  <c r="AZ30" i="5" s="1"/>
  <c r="BA6" i="2"/>
  <c r="BA30" i="4" s="1"/>
  <c r="BA30" i="5" s="1"/>
  <c r="BB6" i="2"/>
  <c r="BB30" i="4" s="1"/>
  <c r="BB30" i="5" s="1"/>
  <c r="BC6" i="2"/>
  <c r="BC30" i="4" s="1"/>
  <c r="BC30" i="5" s="1"/>
  <c r="BD6" i="2"/>
  <c r="BD30" i="4" s="1"/>
  <c r="BD30" i="5" s="1"/>
  <c r="BE6" i="2"/>
  <c r="BE30" i="4" s="1"/>
  <c r="BE30" i="5" s="1"/>
  <c r="BF6" i="2"/>
  <c r="BF30" i="4" s="1"/>
  <c r="BF30" i="5" s="1"/>
  <c r="BG6" i="2"/>
  <c r="BG30" i="4" s="1"/>
  <c r="BG30" i="5" s="1"/>
  <c r="BH6" i="2"/>
  <c r="BH30" i="4" s="1"/>
  <c r="BH30" i="5" s="1"/>
  <c r="BI6" i="2"/>
  <c r="BI30" i="4" s="1"/>
  <c r="BI30" i="5" s="1"/>
  <c r="BJ6" i="2"/>
  <c r="BJ30" i="4" s="1"/>
  <c r="BJ30" i="5" s="1"/>
  <c r="BK6" i="2"/>
  <c r="BK30" i="4" s="1"/>
  <c r="BK30" i="5" s="1"/>
  <c r="BL6" i="2"/>
  <c r="BL30" i="4" s="1"/>
  <c r="BL30" i="5" s="1"/>
  <c r="BM6" i="2"/>
  <c r="BM30" i="4" s="1"/>
  <c r="BM30" i="5" s="1"/>
  <c r="BN6" i="2"/>
  <c r="BN30" i="4" s="1"/>
  <c r="BN30" i="5" s="1"/>
  <c r="BO6" i="2"/>
  <c r="BO30" i="4" s="1"/>
  <c r="BO30" i="5" s="1"/>
  <c r="BP6" i="2"/>
  <c r="BP30" i="4" s="1"/>
  <c r="BP30" i="5" s="1"/>
  <c r="BQ6" i="2"/>
  <c r="BQ30" i="4" s="1"/>
  <c r="BQ30" i="5" s="1"/>
  <c r="BR6" i="2"/>
  <c r="BR30" i="4" s="1"/>
  <c r="BR30" i="5" s="1"/>
  <c r="BS6" i="2"/>
  <c r="BS30" i="4" s="1"/>
  <c r="BS30" i="5" s="1"/>
  <c r="BT6" i="2"/>
  <c r="BT30" i="4" s="1"/>
  <c r="BT30" i="5" s="1"/>
  <c r="BU6" i="2"/>
  <c r="BU30" i="4" s="1"/>
  <c r="BU30" i="5" s="1"/>
  <c r="BV6" i="2"/>
  <c r="BV30" i="4" s="1"/>
  <c r="BV30" i="5" s="1"/>
  <c r="BW6" i="2"/>
  <c r="BW30" i="4" s="1"/>
  <c r="BW30" i="5" s="1"/>
  <c r="BX6" i="2"/>
  <c r="BX30" i="4" s="1"/>
  <c r="BX30" i="5" s="1"/>
  <c r="BY6" i="2"/>
  <c r="BY30" i="4" s="1"/>
  <c r="BY30" i="5" s="1"/>
  <c r="BZ6" i="2"/>
  <c r="BZ30" i="4" s="1"/>
  <c r="BZ30" i="5" s="1"/>
  <c r="CA6" i="2"/>
  <c r="CA30" i="4" s="1"/>
  <c r="CA30" i="5" s="1"/>
  <c r="CB6" i="2"/>
  <c r="CB30" i="4" s="1"/>
  <c r="CB30" i="5" s="1"/>
  <c r="CC6" i="2"/>
  <c r="CC30" i="4" s="1"/>
  <c r="CC30" i="5" s="1"/>
  <c r="C7" i="2"/>
  <c r="C43" i="4" s="1"/>
  <c r="C43" i="5" s="1"/>
  <c r="D7" i="2"/>
  <c r="D43" i="4" s="1"/>
  <c r="D43" i="5" s="1"/>
  <c r="E7" i="2"/>
  <c r="E43" i="4" s="1"/>
  <c r="E43" i="5" s="1"/>
  <c r="F7" i="2"/>
  <c r="F43" i="4" s="1"/>
  <c r="F43" i="5" s="1"/>
  <c r="G7" i="2"/>
  <c r="G43" i="4" s="1"/>
  <c r="G43" i="5" s="1"/>
  <c r="H7" i="2"/>
  <c r="H43" i="4" s="1"/>
  <c r="H43" i="5" s="1"/>
  <c r="I7" i="2"/>
  <c r="I43" i="4" s="1"/>
  <c r="I43" i="5" s="1"/>
  <c r="J7" i="2"/>
  <c r="J43" i="4" s="1"/>
  <c r="J43" i="5" s="1"/>
  <c r="K7" i="2"/>
  <c r="K43" i="4" s="1"/>
  <c r="K43" i="5" s="1"/>
  <c r="L7" i="2"/>
  <c r="L43" i="4" s="1"/>
  <c r="L43" i="5" s="1"/>
  <c r="M7" i="2"/>
  <c r="M43" i="4" s="1"/>
  <c r="M43" i="5" s="1"/>
  <c r="N7" i="2"/>
  <c r="N43" i="4" s="1"/>
  <c r="N43" i="5" s="1"/>
  <c r="O7" i="2"/>
  <c r="O43" i="4" s="1"/>
  <c r="O43" i="5" s="1"/>
  <c r="P7" i="2"/>
  <c r="P43" i="4" s="1"/>
  <c r="P43" i="5" s="1"/>
  <c r="Q7" i="2"/>
  <c r="Q43" i="4" s="1"/>
  <c r="Q43" i="5" s="1"/>
  <c r="R7" i="2"/>
  <c r="R43" i="4" s="1"/>
  <c r="R43" i="5" s="1"/>
  <c r="S7" i="2"/>
  <c r="S43" i="4" s="1"/>
  <c r="S43" i="5" s="1"/>
  <c r="T7" i="2"/>
  <c r="T43" i="4" s="1"/>
  <c r="T43" i="5" s="1"/>
  <c r="U7" i="2"/>
  <c r="U43" i="4" s="1"/>
  <c r="U43" i="5" s="1"/>
  <c r="V7" i="2"/>
  <c r="V43" i="4" s="1"/>
  <c r="V43" i="5" s="1"/>
  <c r="W7" i="2"/>
  <c r="W43" i="4" s="1"/>
  <c r="W43" i="5" s="1"/>
  <c r="X7" i="2"/>
  <c r="X43" i="4" s="1"/>
  <c r="X43" i="5" s="1"/>
  <c r="Y7" i="2"/>
  <c r="Y43" i="4" s="1"/>
  <c r="Y43" i="5" s="1"/>
  <c r="Z7" i="2"/>
  <c r="Z43" i="4" s="1"/>
  <c r="Z43" i="5" s="1"/>
  <c r="AA7" i="2"/>
  <c r="AA43" i="4" s="1"/>
  <c r="AA43" i="5" s="1"/>
  <c r="AB7" i="2"/>
  <c r="AB43" i="4" s="1"/>
  <c r="AB43" i="5" s="1"/>
  <c r="AC7" i="2"/>
  <c r="AC43" i="4" s="1"/>
  <c r="AC43" i="5" s="1"/>
  <c r="AD7" i="2"/>
  <c r="AD43" i="4" s="1"/>
  <c r="AD43" i="5" s="1"/>
  <c r="AE7" i="2"/>
  <c r="AE43" i="4" s="1"/>
  <c r="AE43" i="5" s="1"/>
  <c r="AF7" i="2"/>
  <c r="AF43" i="4" s="1"/>
  <c r="AF43" i="5" s="1"/>
  <c r="AG7" i="2"/>
  <c r="AG43" i="4" s="1"/>
  <c r="AG43" i="5" s="1"/>
  <c r="AH7" i="2"/>
  <c r="AH43" i="4" s="1"/>
  <c r="AH43" i="5" s="1"/>
  <c r="AI7" i="2"/>
  <c r="AI43" i="4" s="1"/>
  <c r="AI43" i="5" s="1"/>
  <c r="AJ7" i="2"/>
  <c r="AJ43" i="4" s="1"/>
  <c r="AJ43" i="5" s="1"/>
  <c r="AK7" i="2"/>
  <c r="AK43" i="4" s="1"/>
  <c r="AK43" i="5" s="1"/>
  <c r="AL7" i="2"/>
  <c r="AL43" i="4" s="1"/>
  <c r="AL43" i="5" s="1"/>
  <c r="AM7" i="2"/>
  <c r="AM43" i="4" s="1"/>
  <c r="AM43" i="5" s="1"/>
  <c r="AN7" i="2"/>
  <c r="AN43" i="4" s="1"/>
  <c r="AN43" i="5" s="1"/>
  <c r="AO7" i="2"/>
  <c r="AO43" i="4" s="1"/>
  <c r="AO43" i="5" s="1"/>
  <c r="AP7" i="2"/>
  <c r="AP43" i="4" s="1"/>
  <c r="AP43" i="5" s="1"/>
  <c r="AQ7" i="2"/>
  <c r="AQ43" i="4" s="1"/>
  <c r="AQ43" i="5" s="1"/>
  <c r="AR7" i="2"/>
  <c r="AR43" i="4" s="1"/>
  <c r="AR43" i="5" s="1"/>
  <c r="AS7" i="2"/>
  <c r="AS43" i="4" s="1"/>
  <c r="AS43" i="5" s="1"/>
  <c r="AT7" i="2"/>
  <c r="AT43" i="4" s="1"/>
  <c r="AT43" i="5" s="1"/>
  <c r="AU7" i="2"/>
  <c r="AU43" i="4" s="1"/>
  <c r="AU43" i="5" s="1"/>
  <c r="AV7" i="2"/>
  <c r="AV43" i="4" s="1"/>
  <c r="AV43" i="5" s="1"/>
  <c r="AW7" i="2"/>
  <c r="AW43" i="4" s="1"/>
  <c r="AW43" i="5" s="1"/>
  <c r="AX7" i="2"/>
  <c r="AX43" i="4" s="1"/>
  <c r="AX43" i="5" s="1"/>
  <c r="AY7" i="2"/>
  <c r="AY43" i="4" s="1"/>
  <c r="AY43" i="5" s="1"/>
  <c r="AZ7" i="2"/>
  <c r="AZ43" i="4" s="1"/>
  <c r="AZ43" i="5" s="1"/>
  <c r="BA7" i="2"/>
  <c r="BA43" i="4" s="1"/>
  <c r="BA43" i="5" s="1"/>
  <c r="BB7" i="2"/>
  <c r="BB43" i="4" s="1"/>
  <c r="BB43" i="5" s="1"/>
  <c r="BC7" i="2"/>
  <c r="BC43" i="4" s="1"/>
  <c r="BC43" i="5" s="1"/>
  <c r="BD7" i="2"/>
  <c r="BD43" i="4" s="1"/>
  <c r="BD43" i="5" s="1"/>
  <c r="BE7" i="2"/>
  <c r="BE43" i="4" s="1"/>
  <c r="BE43" i="5" s="1"/>
  <c r="BF7" i="2"/>
  <c r="BF43" i="4" s="1"/>
  <c r="BF43" i="5" s="1"/>
  <c r="BG7" i="2"/>
  <c r="BG43" i="4" s="1"/>
  <c r="BG43" i="5" s="1"/>
  <c r="BH7" i="2"/>
  <c r="BH43" i="4" s="1"/>
  <c r="BH43" i="5" s="1"/>
  <c r="BI7" i="2"/>
  <c r="BI43" i="4" s="1"/>
  <c r="BI43" i="5" s="1"/>
  <c r="BJ7" i="2"/>
  <c r="BJ43" i="4" s="1"/>
  <c r="BJ43" i="5" s="1"/>
  <c r="BK7" i="2"/>
  <c r="BK43" i="4" s="1"/>
  <c r="BK43" i="5" s="1"/>
  <c r="BL7" i="2"/>
  <c r="BL43" i="4" s="1"/>
  <c r="BL43" i="5" s="1"/>
  <c r="BM7" i="2"/>
  <c r="BM43" i="4" s="1"/>
  <c r="BM43" i="5" s="1"/>
  <c r="BN7" i="2"/>
  <c r="BN43" i="4" s="1"/>
  <c r="BN43" i="5" s="1"/>
  <c r="BO7" i="2"/>
  <c r="BO43" i="4" s="1"/>
  <c r="BO43" i="5" s="1"/>
  <c r="BP7" i="2"/>
  <c r="BP43" i="4" s="1"/>
  <c r="BP43" i="5" s="1"/>
  <c r="BQ7" i="2"/>
  <c r="BQ43" i="4" s="1"/>
  <c r="BQ43" i="5" s="1"/>
  <c r="BR7" i="2"/>
  <c r="BR43" i="4" s="1"/>
  <c r="BR43" i="5" s="1"/>
  <c r="BS7" i="2"/>
  <c r="BS43" i="4" s="1"/>
  <c r="BS43" i="5" s="1"/>
  <c r="BT7" i="2"/>
  <c r="BT43" i="4" s="1"/>
  <c r="BT43" i="5" s="1"/>
  <c r="BU7" i="2"/>
  <c r="BU43" i="4" s="1"/>
  <c r="BU43" i="5" s="1"/>
  <c r="BV7" i="2"/>
  <c r="BV43" i="4" s="1"/>
  <c r="BV43" i="5" s="1"/>
  <c r="BW7" i="2"/>
  <c r="BW43" i="4" s="1"/>
  <c r="BW43" i="5" s="1"/>
  <c r="BX7" i="2"/>
  <c r="BX43" i="4" s="1"/>
  <c r="BX43" i="5" s="1"/>
  <c r="BY7" i="2"/>
  <c r="BY43" i="4" s="1"/>
  <c r="BY43" i="5" s="1"/>
  <c r="BZ7" i="2"/>
  <c r="BZ43" i="4" s="1"/>
  <c r="BZ43" i="5" s="1"/>
  <c r="CA7" i="2"/>
  <c r="CA43" i="4" s="1"/>
  <c r="CA43" i="5" s="1"/>
  <c r="CB7" i="2"/>
  <c r="CB43" i="4" s="1"/>
  <c r="CB43" i="5" s="1"/>
  <c r="CC7" i="2"/>
  <c r="CC43" i="4" s="1"/>
  <c r="CC43" i="5" s="1"/>
  <c r="C8" i="2"/>
  <c r="C41" i="4" s="1"/>
  <c r="C41" i="5" s="1"/>
  <c r="D8" i="2"/>
  <c r="D41" i="4" s="1"/>
  <c r="D41" i="5" s="1"/>
  <c r="E8" i="2"/>
  <c r="E41" i="4" s="1"/>
  <c r="E41" i="5" s="1"/>
  <c r="F8" i="2"/>
  <c r="F41" i="4" s="1"/>
  <c r="F41" i="5" s="1"/>
  <c r="G8" i="2"/>
  <c r="G41" i="4" s="1"/>
  <c r="G41" i="5" s="1"/>
  <c r="H8" i="2"/>
  <c r="H41" i="4" s="1"/>
  <c r="H41" i="5" s="1"/>
  <c r="I8" i="2"/>
  <c r="I41" i="4" s="1"/>
  <c r="I41" i="5" s="1"/>
  <c r="J8" i="2"/>
  <c r="J41" i="4" s="1"/>
  <c r="J41" i="5" s="1"/>
  <c r="K8" i="2"/>
  <c r="K41" i="4" s="1"/>
  <c r="K41" i="5" s="1"/>
  <c r="L8" i="2"/>
  <c r="L41" i="4" s="1"/>
  <c r="L41" i="5" s="1"/>
  <c r="M8" i="2"/>
  <c r="M41" i="4" s="1"/>
  <c r="M41" i="5" s="1"/>
  <c r="N8" i="2"/>
  <c r="N41" i="4" s="1"/>
  <c r="N41" i="5" s="1"/>
  <c r="O8" i="2"/>
  <c r="O41" i="4" s="1"/>
  <c r="O41" i="5" s="1"/>
  <c r="P8" i="2"/>
  <c r="P41" i="4" s="1"/>
  <c r="P41" i="5" s="1"/>
  <c r="Q8" i="2"/>
  <c r="Q41" i="4" s="1"/>
  <c r="Q41" i="5" s="1"/>
  <c r="R8" i="2"/>
  <c r="R41" i="4" s="1"/>
  <c r="R41" i="5" s="1"/>
  <c r="S8" i="2"/>
  <c r="S41" i="4" s="1"/>
  <c r="S41" i="5" s="1"/>
  <c r="T8" i="2"/>
  <c r="T41" i="4" s="1"/>
  <c r="T41" i="5" s="1"/>
  <c r="U8" i="2"/>
  <c r="U41" i="4" s="1"/>
  <c r="U41" i="5" s="1"/>
  <c r="V8" i="2"/>
  <c r="V41" i="4" s="1"/>
  <c r="V41" i="5" s="1"/>
  <c r="W8" i="2"/>
  <c r="W41" i="4" s="1"/>
  <c r="W41" i="5" s="1"/>
  <c r="X8" i="2"/>
  <c r="X41" i="4" s="1"/>
  <c r="X41" i="5" s="1"/>
  <c r="Y8" i="2"/>
  <c r="Y41" i="4" s="1"/>
  <c r="Y41" i="5" s="1"/>
  <c r="Z8" i="2"/>
  <c r="Z41" i="4" s="1"/>
  <c r="Z41" i="5" s="1"/>
  <c r="AA8" i="2"/>
  <c r="AA41" i="4" s="1"/>
  <c r="AA41" i="5" s="1"/>
  <c r="AB8" i="2"/>
  <c r="AB41" i="4" s="1"/>
  <c r="AB41" i="5" s="1"/>
  <c r="AC8" i="2"/>
  <c r="AC41" i="4" s="1"/>
  <c r="AC41" i="5" s="1"/>
  <c r="AD8" i="2"/>
  <c r="AD41" i="4" s="1"/>
  <c r="AD41" i="5" s="1"/>
  <c r="AE8" i="2"/>
  <c r="AE41" i="4" s="1"/>
  <c r="AE41" i="5" s="1"/>
  <c r="AF8" i="2"/>
  <c r="AF41" i="4" s="1"/>
  <c r="AF41" i="5" s="1"/>
  <c r="AG8" i="2"/>
  <c r="AG41" i="4" s="1"/>
  <c r="AG41" i="5" s="1"/>
  <c r="AH8" i="2"/>
  <c r="AH41" i="4" s="1"/>
  <c r="AH41" i="5" s="1"/>
  <c r="AI8" i="2"/>
  <c r="AI41" i="4" s="1"/>
  <c r="AI41" i="5" s="1"/>
  <c r="AJ8" i="2"/>
  <c r="AJ41" i="4" s="1"/>
  <c r="AJ41" i="5" s="1"/>
  <c r="AK8" i="2"/>
  <c r="AK41" i="4" s="1"/>
  <c r="AK41" i="5" s="1"/>
  <c r="AL8" i="2"/>
  <c r="AL41" i="4" s="1"/>
  <c r="AL41" i="5" s="1"/>
  <c r="AM8" i="2"/>
  <c r="AM41" i="4" s="1"/>
  <c r="AM41" i="5" s="1"/>
  <c r="AN8" i="2"/>
  <c r="AN41" i="4" s="1"/>
  <c r="AN41" i="5" s="1"/>
  <c r="AO8" i="2"/>
  <c r="AO41" i="4" s="1"/>
  <c r="AO41" i="5" s="1"/>
  <c r="AP8" i="2"/>
  <c r="AP41" i="4" s="1"/>
  <c r="AP41" i="5" s="1"/>
  <c r="AQ8" i="2"/>
  <c r="AQ41" i="4" s="1"/>
  <c r="AQ41" i="5" s="1"/>
  <c r="AR8" i="2"/>
  <c r="AR41" i="4" s="1"/>
  <c r="AR41" i="5" s="1"/>
  <c r="AS8" i="2"/>
  <c r="AS41" i="4" s="1"/>
  <c r="AS41" i="5" s="1"/>
  <c r="AT8" i="2"/>
  <c r="AT41" i="4" s="1"/>
  <c r="AT41" i="5" s="1"/>
  <c r="AU8" i="2"/>
  <c r="AU41" i="4" s="1"/>
  <c r="AU41" i="5" s="1"/>
  <c r="AV8" i="2"/>
  <c r="AV41" i="4" s="1"/>
  <c r="AV41" i="5" s="1"/>
  <c r="AW8" i="2"/>
  <c r="AW41" i="4" s="1"/>
  <c r="AW41" i="5" s="1"/>
  <c r="AX8" i="2"/>
  <c r="AX41" i="4" s="1"/>
  <c r="AX41" i="5" s="1"/>
  <c r="AY8" i="2"/>
  <c r="AY41" i="4" s="1"/>
  <c r="AY41" i="5" s="1"/>
  <c r="AZ8" i="2"/>
  <c r="AZ41" i="4" s="1"/>
  <c r="AZ41" i="5" s="1"/>
  <c r="BA8" i="2"/>
  <c r="BA41" i="4" s="1"/>
  <c r="BA41" i="5" s="1"/>
  <c r="BB8" i="2"/>
  <c r="BB41" i="4" s="1"/>
  <c r="BB41" i="5" s="1"/>
  <c r="BC8" i="2"/>
  <c r="BC41" i="4" s="1"/>
  <c r="BC41" i="5" s="1"/>
  <c r="BD8" i="2"/>
  <c r="BD41" i="4" s="1"/>
  <c r="BD41" i="5" s="1"/>
  <c r="BE8" i="2"/>
  <c r="BE41" i="4" s="1"/>
  <c r="BE41" i="5" s="1"/>
  <c r="BF8" i="2"/>
  <c r="BF41" i="4" s="1"/>
  <c r="BF41" i="5" s="1"/>
  <c r="BG8" i="2"/>
  <c r="BG41" i="4" s="1"/>
  <c r="BG41" i="5" s="1"/>
  <c r="BH8" i="2"/>
  <c r="BH41" i="4" s="1"/>
  <c r="BH41" i="5" s="1"/>
  <c r="BI8" i="2"/>
  <c r="BI41" i="4" s="1"/>
  <c r="BI41" i="5" s="1"/>
  <c r="BJ8" i="2"/>
  <c r="BJ41" i="4" s="1"/>
  <c r="BJ41" i="5" s="1"/>
  <c r="BK8" i="2"/>
  <c r="BK41" i="4" s="1"/>
  <c r="BK41" i="5" s="1"/>
  <c r="BL8" i="2"/>
  <c r="BL41" i="4" s="1"/>
  <c r="BL41" i="5" s="1"/>
  <c r="BM8" i="2"/>
  <c r="BM41" i="4" s="1"/>
  <c r="BM41" i="5" s="1"/>
  <c r="BN8" i="2"/>
  <c r="BN41" i="4" s="1"/>
  <c r="BN41" i="5" s="1"/>
  <c r="BO8" i="2"/>
  <c r="BO41" i="4" s="1"/>
  <c r="BO41" i="5" s="1"/>
  <c r="BP8" i="2"/>
  <c r="BP41" i="4" s="1"/>
  <c r="BP41" i="5" s="1"/>
  <c r="BQ8" i="2"/>
  <c r="BQ41" i="4" s="1"/>
  <c r="BQ41" i="5" s="1"/>
  <c r="BR8" i="2"/>
  <c r="BR41" i="4" s="1"/>
  <c r="BR41" i="5" s="1"/>
  <c r="BS8" i="2"/>
  <c r="BS41" i="4" s="1"/>
  <c r="BS41" i="5" s="1"/>
  <c r="BT8" i="2"/>
  <c r="BT41" i="4" s="1"/>
  <c r="BT41" i="5" s="1"/>
  <c r="BU8" i="2"/>
  <c r="BU41" i="4" s="1"/>
  <c r="BU41" i="5" s="1"/>
  <c r="BV8" i="2"/>
  <c r="BV41" i="4" s="1"/>
  <c r="BV41" i="5" s="1"/>
  <c r="BW8" i="2"/>
  <c r="BW41" i="4" s="1"/>
  <c r="BW41" i="5" s="1"/>
  <c r="BX8" i="2"/>
  <c r="BX41" i="4" s="1"/>
  <c r="BX41" i="5" s="1"/>
  <c r="BY8" i="2"/>
  <c r="BY41" i="4" s="1"/>
  <c r="BY41" i="5" s="1"/>
  <c r="BZ8" i="2"/>
  <c r="BZ41" i="4" s="1"/>
  <c r="BZ41" i="5" s="1"/>
  <c r="CA8" i="2"/>
  <c r="CA41" i="4" s="1"/>
  <c r="CA41" i="5" s="1"/>
  <c r="CB8" i="2"/>
  <c r="CB41" i="4" s="1"/>
  <c r="CB41" i="5" s="1"/>
  <c r="CC8" i="2"/>
  <c r="CC41" i="4" s="1"/>
  <c r="CC41" i="5" s="1"/>
  <c r="C9" i="2"/>
  <c r="C38" i="4" s="1"/>
  <c r="C38" i="5" s="1"/>
  <c r="D9" i="2"/>
  <c r="D38" i="4" s="1"/>
  <c r="D38" i="5" s="1"/>
  <c r="E9" i="2"/>
  <c r="E38" i="4" s="1"/>
  <c r="E38" i="5" s="1"/>
  <c r="F9" i="2"/>
  <c r="F38" i="4" s="1"/>
  <c r="F38" i="5" s="1"/>
  <c r="G9" i="2"/>
  <c r="G38" i="4" s="1"/>
  <c r="G38" i="5" s="1"/>
  <c r="H9" i="2"/>
  <c r="H38" i="4" s="1"/>
  <c r="H38" i="5" s="1"/>
  <c r="I9" i="2"/>
  <c r="I38" i="4" s="1"/>
  <c r="I38" i="5" s="1"/>
  <c r="J9" i="2"/>
  <c r="J38" i="4" s="1"/>
  <c r="J38" i="5" s="1"/>
  <c r="K9" i="2"/>
  <c r="K38" i="4" s="1"/>
  <c r="K38" i="5" s="1"/>
  <c r="L9" i="2"/>
  <c r="L38" i="4" s="1"/>
  <c r="L38" i="5" s="1"/>
  <c r="M9" i="2"/>
  <c r="M38" i="4" s="1"/>
  <c r="M38" i="5" s="1"/>
  <c r="N9" i="2"/>
  <c r="N38" i="4" s="1"/>
  <c r="N38" i="5" s="1"/>
  <c r="O9" i="2"/>
  <c r="O38" i="4" s="1"/>
  <c r="O38" i="5" s="1"/>
  <c r="P9" i="2"/>
  <c r="P38" i="4" s="1"/>
  <c r="P38" i="5" s="1"/>
  <c r="Q9" i="2"/>
  <c r="Q38" i="4" s="1"/>
  <c r="Q38" i="5" s="1"/>
  <c r="R9" i="2"/>
  <c r="R38" i="4" s="1"/>
  <c r="R38" i="5" s="1"/>
  <c r="S9" i="2"/>
  <c r="S38" i="4" s="1"/>
  <c r="S38" i="5" s="1"/>
  <c r="T9" i="2"/>
  <c r="T38" i="4" s="1"/>
  <c r="T38" i="5" s="1"/>
  <c r="U9" i="2"/>
  <c r="U38" i="4" s="1"/>
  <c r="U38" i="5" s="1"/>
  <c r="V9" i="2"/>
  <c r="V38" i="4" s="1"/>
  <c r="V38" i="5" s="1"/>
  <c r="W9" i="2"/>
  <c r="W38" i="4" s="1"/>
  <c r="W38" i="5" s="1"/>
  <c r="X9" i="2"/>
  <c r="X38" i="4" s="1"/>
  <c r="X38" i="5" s="1"/>
  <c r="Y9" i="2"/>
  <c r="Y38" i="4" s="1"/>
  <c r="Y38" i="5" s="1"/>
  <c r="Z9" i="2"/>
  <c r="Z38" i="4" s="1"/>
  <c r="Z38" i="5" s="1"/>
  <c r="AA9" i="2"/>
  <c r="AA38" i="4" s="1"/>
  <c r="AA38" i="5" s="1"/>
  <c r="AB9" i="2"/>
  <c r="AB38" i="4" s="1"/>
  <c r="AB38" i="5" s="1"/>
  <c r="AC9" i="2"/>
  <c r="AC38" i="4" s="1"/>
  <c r="AC38" i="5" s="1"/>
  <c r="AD9" i="2"/>
  <c r="AD38" i="4" s="1"/>
  <c r="AD38" i="5" s="1"/>
  <c r="AE9" i="2"/>
  <c r="AE38" i="4" s="1"/>
  <c r="AE38" i="5" s="1"/>
  <c r="AF9" i="2"/>
  <c r="AF38" i="4" s="1"/>
  <c r="AF38" i="5" s="1"/>
  <c r="AG9" i="2"/>
  <c r="AG38" i="4" s="1"/>
  <c r="AG38" i="5" s="1"/>
  <c r="AH9" i="2"/>
  <c r="AH38" i="4" s="1"/>
  <c r="AH38" i="5" s="1"/>
  <c r="AI9" i="2"/>
  <c r="AI38" i="4" s="1"/>
  <c r="AI38" i="5" s="1"/>
  <c r="AJ9" i="2"/>
  <c r="AJ38" i="4" s="1"/>
  <c r="AJ38" i="5" s="1"/>
  <c r="AK9" i="2"/>
  <c r="AK38" i="4" s="1"/>
  <c r="AK38" i="5" s="1"/>
  <c r="AL9" i="2"/>
  <c r="AL38" i="4" s="1"/>
  <c r="AL38" i="5" s="1"/>
  <c r="AM9" i="2"/>
  <c r="AM38" i="4" s="1"/>
  <c r="AM38" i="5" s="1"/>
  <c r="AN9" i="2"/>
  <c r="AN38" i="4" s="1"/>
  <c r="AN38" i="5" s="1"/>
  <c r="AO9" i="2"/>
  <c r="AO38" i="4" s="1"/>
  <c r="AO38" i="5" s="1"/>
  <c r="AP9" i="2"/>
  <c r="AP38" i="4" s="1"/>
  <c r="AP38" i="5" s="1"/>
  <c r="AQ9" i="2"/>
  <c r="AQ38" i="4" s="1"/>
  <c r="AQ38" i="5" s="1"/>
  <c r="AR9" i="2"/>
  <c r="AR38" i="4" s="1"/>
  <c r="AR38" i="5" s="1"/>
  <c r="AS9" i="2"/>
  <c r="AS38" i="4" s="1"/>
  <c r="AS38" i="5" s="1"/>
  <c r="AT9" i="2"/>
  <c r="AT38" i="4" s="1"/>
  <c r="AT38" i="5" s="1"/>
  <c r="AU9" i="2"/>
  <c r="AU38" i="4" s="1"/>
  <c r="AU38" i="5" s="1"/>
  <c r="AV9" i="2"/>
  <c r="AV38" i="4" s="1"/>
  <c r="AV38" i="5" s="1"/>
  <c r="AW9" i="2"/>
  <c r="AW38" i="4" s="1"/>
  <c r="AW38" i="5" s="1"/>
  <c r="AX9" i="2"/>
  <c r="AX38" i="4" s="1"/>
  <c r="AX38" i="5" s="1"/>
  <c r="AY9" i="2"/>
  <c r="AY38" i="4" s="1"/>
  <c r="AY38" i="5" s="1"/>
  <c r="AZ9" i="2"/>
  <c r="AZ38" i="4" s="1"/>
  <c r="AZ38" i="5" s="1"/>
  <c r="BA9" i="2"/>
  <c r="BA38" i="4" s="1"/>
  <c r="BA38" i="5" s="1"/>
  <c r="BB9" i="2"/>
  <c r="BB38" i="4" s="1"/>
  <c r="BB38" i="5" s="1"/>
  <c r="BC9" i="2"/>
  <c r="BC38" i="4" s="1"/>
  <c r="BC38" i="5" s="1"/>
  <c r="BD9" i="2"/>
  <c r="BD38" i="4" s="1"/>
  <c r="BD38" i="5" s="1"/>
  <c r="BE9" i="2"/>
  <c r="BE38" i="4" s="1"/>
  <c r="BE38" i="5" s="1"/>
  <c r="BF9" i="2"/>
  <c r="BF38" i="4" s="1"/>
  <c r="BF38" i="5" s="1"/>
  <c r="BG9" i="2"/>
  <c r="BG38" i="4" s="1"/>
  <c r="BG38" i="5" s="1"/>
  <c r="BH9" i="2"/>
  <c r="BH38" i="4" s="1"/>
  <c r="BH38" i="5" s="1"/>
  <c r="BI9" i="2"/>
  <c r="BI38" i="4" s="1"/>
  <c r="BI38" i="5" s="1"/>
  <c r="BJ9" i="2"/>
  <c r="BJ38" i="4" s="1"/>
  <c r="BJ38" i="5" s="1"/>
  <c r="BK9" i="2"/>
  <c r="BK38" i="4" s="1"/>
  <c r="BK38" i="5" s="1"/>
  <c r="BL9" i="2"/>
  <c r="BL38" i="4" s="1"/>
  <c r="BL38" i="5" s="1"/>
  <c r="BM9" i="2"/>
  <c r="BM38" i="4" s="1"/>
  <c r="BM38" i="5" s="1"/>
  <c r="BN9" i="2"/>
  <c r="BN38" i="4" s="1"/>
  <c r="BN38" i="5" s="1"/>
  <c r="BO9" i="2"/>
  <c r="BO38" i="4" s="1"/>
  <c r="BO38" i="5" s="1"/>
  <c r="BP9" i="2"/>
  <c r="BP38" i="4" s="1"/>
  <c r="BP38" i="5" s="1"/>
  <c r="BQ9" i="2"/>
  <c r="BQ38" i="4" s="1"/>
  <c r="BQ38" i="5" s="1"/>
  <c r="BR9" i="2"/>
  <c r="BR38" i="4" s="1"/>
  <c r="BR38" i="5" s="1"/>
  <c r="BS9" i="2"/>
  <c r="BS38" i="4" s="1"/>
  <c r="BS38" i="5" s="1"/>
  <c r="BT9" i="2"/>
  <c r="BT38" i="4" s="1"/>
  <c r="BT38" i="5" s="1"/>
  <c r="BU9" i="2"/>
  <c r="BU38" i="4" s="1"/>
  <c r="BU38" i="5" s="1"/>
  <c r="BV9" i="2"/>
  <c r="BV38" i="4" s="1"/>
  <c r="BV38" i="5" s="1"/>
  <c r="BW9" i="2"/>
  <c r="BW38" i="4" s="1"/>
  <c r="BW38" i="5" s="1"/>
  <c r="BX9" i="2"/>
  <c r="BX38" i="4" s="1"/>
  <c r="BX38" i="5" s="1"/>
  <c r="BY9" i="2"/>
  <c r="BY38" i="4" s="1"/>
  <c r="BY38" i="5" s="1"/>
  <c r="BZ9" i="2"/>
  <c r="BZ38" i="4" s="1"/>
  <c r="BZ38" i="5" s="1"/>
  <c r="CA9" i="2"/>
  <c r="CA38" i="4" s="1"/>
  <c r="CA38" i="5" s="1"/>
  <c r="CB9" i="2"/>
  <c r="CB38" i="4" s="1"/>
  <c r="CB38" i="5" s="1"/>
  <c r="CC9" i="2"/>
  <c r="CC38" i="4" s="1"/>
  <c r="CC38" i="5" s="1"/>
  <c r="C10" i="2"/>
  <c r="C22" i="4" s="1"/>
  <c r="C22" i="5" s="1"/>
  <c r="D10" i="2"/>
  <c r="D22" i="4" s="1"/>
  <c r="D22" i="5" s="1"/>
  <c r="E10" i="2"/>
  <c r="E22" i="4" s="1"/>
  <c r="E22" i="5" s="1"/>
  <c r="F10" i="2"/>
  <c r="F22" i="4" s="1"/>
  <c r="F22" i="5" s="1"/>
  <c r="G10" i="2"/>
  <c r="G22" i="4" s="1"/>
  <c r="G22" i="5" s="1"/>
  <c r="H10" i="2"/>
  <c r="H22" i="4" s="1"/>
  <c r="H22" i="5" s="1"/>
  <c r="I10" i="2"/>
  <c r="I22" i="4" s="1"/>
  <c r="I22" i="5" s="1"/>
  <c r="J10" i="2"/>
  <c r="J22" i="4" s="1"/>
  <c r="J22" i="5" s="1"/>
  <c r="K10" i="2"/>
  <c r="K22" i="4" s="1"/>
  <c r="K22" i="5" s="1"/>
  <c r="L10" i="2"/>
  <c r="L22" i="4" s="1"/>
  <c r="L22" i="5" s="1"/>
  <c r="M10" i="2"/>
  <c r="M22" i="4" s="1"/>
  <c r="M22" i="5" s="1"/>
  <c r="N10" i="2"/>
  <c r="N22" i="4" s="1"/>
  <c r="N22" i="5" s="1"/>
  <c r="O10" i="2"/>
  <c r="O22" i="4" s="1"/>
  <c r="O22" i="5" s="1"/>
  <c r="P10" i="2"/>
  <c r="P22" i="4" s="1"/>
  <c r="P22" i="5" s="1"/>
  <c r="Q10" i="2"/>
  <c r="Q22" i="4" s="1"/>
  <c r="Q22" i="5" s="1"/>
  <c r="R10" i="2"/>
  <c r="R22" i="4" s="1"/>
  <c r="R22" i="5" s="1"/>
  <c r="S10" i="2"/>
  <c r="S22" i="4" s="1"/>
  <c r="S22" i="5" s="1"/>
  <c r="T10" i="2"/>
  <c r="T22" i="4" s="1"/>
  <c r="T22" i="5" s="1"/>
  <c r="U10" i="2"/>
  <c r="U22" i="4" s="1"/>
  <c r="U22" i="5" s="1"/>
  <c r="V10" i="2"/>
  <c r="V22" i="4" s="1"/>
  <c r="V22" i="5" s="1"/>
  <c r="W10" i="2"/>
  <c r="W22" i="4" s="1"/>
  <c r="W22" i="5" s="1"/>
  <c r="X10" i="2"/>
  <c r="X22" i="4" s="1"/>
  <c r="X22" i="5" s="1"/>
  <c r="Y10" i="2"/>
  <c r="Y22" i="4" s="1"/>
  <c r="Y22" i="5" s="1"/>
  <c r="Z10" i="2"/>
  <c r="Z22" i="4" s="1"/>
  <c r="Z22" i="5" s="1"/>
  <c r="AA10" i="2"/>
  <c r="AA22" i="4" s="1"/>
  <c r="AA22" i="5" s="1"/>
  <c r="AB10" i="2"/>
  <c r="AB22" i="4" s="1"/>
  <c r="AB22" i="5" s="1"/>
  <c r="AC10" i="2"/>
  <c r="AC22" i="4" s="1"/>
  <c r="AC22" i="5" s="1"/>
  <c r="AD10" i="2"/>
  <c r="AD22" i="4" s="1"/>
  <c r="AD22" i="5" s="1"/>
  <c r="AE10" i="2"/>
  <c r="AE22" i="4" s="1"/>
  <c r="AE22" i="5" s="1"/>
  <c r="AF10" i="2"/>
  <c r="AF22" i="4" s="1"/>
  <c r="AF22" i="5" s="1"/>
  <c r="AG10" i="2"/>
  <c r="AG22" i="4" s="1"/>
  <c r="AG22" i="5" s="1"/>
  <c r="AH10" i="2"/>
  <c r="AH22" i="4" s="1"/>
  <c r="AH22" i="5" s="1"/>
  <c r="AI10" i="2"/>
  <c r="AI22" i="4" s="1"/>
  <c r="AI22" i="5" s="1"/>
  <c r="AJ10" i="2"/>
  <c r="AJ22" i="4" s="1"/>
  <c r="AJ22" i="5" s="1"/>
  <c r="AK10" i="2"/>
  <c r="AK22" i="4" s="1"/>
  <c r="AK22" i="5" s="1"/>
  <c r="AL10" i="2"/>
  <c r="AL22" i="4" s="1"/>
  <c r="AL22" i="5" s="1"/>
  <c r="AM10" i="2"/>
  <c r="AM22" i="4" s="1"/>
  <c r="AM22" i="5" s="1"/>
  <c r="AN10" i="2"/>
  <c r="AN22" i="4" s="1"/>
  <c r="AN22" i="5" s="1"/>
  <c r="AO10" i="2"/>
  <c r="AO22" i="4" s="1"/>
  <c r="AO22" i="5" s="1"/>
  <c r="AP10" i="2"/>
  <c r="AP22" i="4" s="1"/>
  <c r="AP22" i="5" s="1"/>
  <c r="AQ10" i="2"/>
  <c r="AQ22" i="4" s="1"/>
  <c r="AQ22" i="5" s="1"/>
  <c r="AR10" i="2"/>
  <c r="AR22" i="4" s="1"/>
  <c r="AR22" i="5" s="1"/>
  <c r="AS10" i="2"/>
  <c r="AS22" i="4" s="1"/>
  <c r="AS22" i="5" s="1"/>
  <c r="AT10" i="2"/>
  <c r="AT22" i="4" s="1"/>
  <c r="AT22" i="5" s="1"/>
  <c r="AU10" i="2"/>
  <c r="AU22" i="4" s="1"/>
  <c r="AU22" i="5" s="1"/>
  <c r="AV10" i="2"/>
  <c r="AV22" i="4" s="1"/>
  <c r="AV22" i="5" s="1"/>
  <c r="AW10" i="2"/>
  <c r="AW22" i="4" s="1"/>
  <c r="AW22" i="5" s="1"/>
  <c r="AX10" i="2"/>
  <c r="AX22" i="4" s="1"/>
  <c r="AX22" i="5" s="1"/>
  <c r="AY10" i="2"/>
  <c r="AY22" i="4" s="1"/>
  <c r="AY22" i="5" s="1"/>
  <c r="AZ10" i="2"/>
  <c r="AZ22" i="4" s="1"/>
  <c r="AZ22" i="5" s="1"/>
  <c r="BA10" i="2"/>
  <c r="BA22" i="4" s="1"/>
  <c r="BA22" i="5" s="1"/>
  <c r="BB10" i="2"/>
  <c r="BB22" i="4" s="1"/>
  <c r="BB22" i="5" s="1"/>
  <c r="BC10" i="2"/>
  <c r="BC22" i="4" s="1"/>
  <c r="BC22" i="5" s="1"/>
  <c r="BD10" i="2"/>
  <c r="BD22" i="4" s="1"/>
  <c r="BD22" i="5" s="1"/>
  <c r="BE10" i="2"/>
  <c r="BE22" i="4" s="1"/>
  <c r="BE22" i="5" s="1"/>
  <c r="BF10" i="2"/>
  <c r="BF22" i="4" s="1"/>
  <c r="BF22" i="5" s="1"/>
  <c r="BG10" i="2"/>
  <c r="BG22" i="4" s="1"/>
  <c r="BG22" i="5" s="1"/>
  <c r="BH10" i="2"/>
  <c r="BH22" i="4" s="1"/>
  <c r="BH22" i="5" s="1"/>
  <c r="BI10" i="2"/>
  <c r="BI22" i="4" s="1"/>
  <c r="BI22" i="5" s="1"/>
  <c r="BJ10" i="2"/>
  <c r="BJ22" i="4" s="1"/>
  <c r="BJ22" i="5" s="1"/>
  <c r="BK10" i="2"/>
  <c r="BK22" i="4" s="1"/>
  <c r="BK22" i="5" s="1"/>
  <c r="BL10" i="2"/>
  <c r="BL22" i="4" s="1"/>
  <c r="BL22" i="5" s="1"/>
  <c r="BM10" i="2"/>
  <c r="BM22" i="4" s="1"/>
  <c r="BM22" i="5" s="1"/>
  <c r="BN10" i="2"/>
  <c r="BN22" i="4" s="1"/>
  <c r="BN22" i="5" s="1"/>
  <c r="BO10" i="2"/>
  <c r="BO22" i="4" s="1"/>
  <c r="BO22" i="5" s="1"/>
  <c r="BP10" i="2"/>
  <c r="BP22" i="4" s="1"/>
  <c r="BP22" i="5" s="1"/>
  <c r="BQ10" i="2"/>
  <c r="BQ22" i="4" s="1"/>
  <c r="BQ22" i="5" s="1"/>
  <c r="BR10" i="2"/>
  <c r="BR22" i="4" s="1"/>
  <c r="BR22" i="5" s="1"/>
  <c r="BS10" i="2"/>
  <c r="BS22" i="4" s="1"/>
  <c r="BS22" i="5" s="1"/>
  <c r="BT10" i="2"/>
  <c r="BT22" i="4" s="1"/>
  <c r="BT22" i="5" s="1"/>
  <c r="BU10" i="2"/>
  <c r="BU22" i="4" s="1"/>
  <c r="BU22" i="5" s="1"/>
  <c r="BV10" i="2"/>
  <c r="BV22" i="4" s="1"/>
  <c r="BV22" i="5" s="1"/>
  <c r="BW10" i="2"/>
  <c r="BW22" i="4" s="1"/>
  <c r="BW22" i="5" s="1"/>
  <c r="BX10" i="2"/>
  <c r="BX22" i="4" s="1"/>
  <c r="BX22" i="5" s="1"/>
  <c r="BY10" i="2"/>
  <c r="BY22" i="4" s="1"/>
  <c r="BY22" i="5" s="1"/>
  <c r="BZ10" i="2"/>
  <c r="BZ22" i="4" s="1"/>
  <c r="BZ22" i="5" s="1"/>
  <c r="CA10" i="2"/>
  <c r="CA22" i="4" s="1"/>
  <c r="CA22" i="5" s="1"/>
  <c r="CB10" i="2"/>
  <c r="CB22" i="4" s="1"/>
  <c r="CB22" i="5" s="1"/>
  <c r="CC10" i="2"/>
  <c r="CC22" i="4" s="1"/>
  <c r="CC22" i="5" s="1"/>
  <c r="C11" i="2"/>
  <c r="C36" i="4" s="1"/>
  <c r="C36" i="5" s="1"/>
  <c r="D11" i="2"/>
  <c r="D36" i="4" s="1"/>
  <c r="D36" i="5" s="1"/>
  <c r="E11" i="2"/>
  <c r="E36" i="4" s="1"/>
  <c r="E36" i="5" s="1"/>
  <c r="F11" i="2"/>
  <c r="F36" i="4" s="1"/>
  <c r="F36" i="5" s="1"/>
  <c r="G11" i="2"/>
  <c r="G36" i="4" s="1"/>
  <c r="G36" i="5" s="1"/>
  <c r="H11" i="2"/>
  <c r="H36" i="4" s="1"/>
  <c r="H36" i="5" s="1"/>
  <c r="I11" i="2"/>
  <c r="I36" i="4" s="1"/>
  <c r="I36" i="5" s="1"/>
  <c r="J11" i="2"/>
  <c r="J36" i="4" s="1"/>
  <c r="J36" i="5" s="1"/>
  <c r="K11" i="2"/>
  <c r="K36" i="4" s="1"/>
  <c r="K36" i="5" s="1"/>
  <c r="L11" i="2"/>
  <c r="L36" i="4" s="1"/>
  <c r="L36" i="5" s="1"/>
  <c r="M11" i="2"/>
  <c r="M36" i="4" s="1"/>
  <c r="M36" i="5" s="1"/>
  <c r="N11" i="2"/>
  <c r="N36" i="4" s="1"/>
  <c r="N36" i="5" s="1"/>
  <c r="O11" i="2"/>
  <c r="O36" i="4" s="1"/>
  <c r="O36" i="5" s="1"/>
  <c r="P11" i="2"/>
  <c r="P36" i="4" s="1"/>
  <c r="P36" i="5" s="1"/>
  <c r="Q11" i="2"/>
  <c r="Q36" i="4" s="1"/>
  <c r="Q36" i="5" s="1"/>
  <c r="R11" i="2"/>
  <c r="R36" i="4" s="1"/>
  <c r="R36" i="5" s="1"/>
  <c r="S11" i="2"/>
  <c r="S36" i="4" s="1"/>
  <c r="S36" i="5" s="1"/>
  <c r="T11" i="2"/>
  <c r="T36" i="4" s="1"/>
  <c r="T36" i="5" s="1"/>
  <c r="U11" i="2"/>
  <c r="U36" i="4" s="1"/>
  <c r="U36" i="5" s="1"/>
  <c r="V11" i="2"/>
  <c r="V36" i="4" s="1"/>
  <c r="V36" i="5" s="1"/>
  <c r="W11" i="2"/>
  <c r="W36" i="4" s="1"/>
  <c r="W36" i="5" s="1"/>
  <c r="X11" i="2"/>
  <c r="X36" i="4" s="1"/>
  <c r="X36" i="5" s="1"/>
  <c r="Y11" i="2"/>
  <c r="Y36" i="4" s="1"/>
  <c r="Y36" i="5" s="1"/>
  <c r="Z11" i="2"/>
  <c r="Z36" i="4" s="1"/>
  <c r="Z36" i="5" s="1"/>
  <c r="AA11" i="2"/>
  <c r="AA36" i="4" s="1"/>
  <c r="AA36" i="5" s="1"/>
  <c r="AB11" i="2"/>
  <c r="AB36" i="4" s="1"/>
  <c r="AB36" i="5" s="1"/>
  <c r="AC11" i="2"/>
  <c r="AC36" i="4" s="1"/>
  <c r="AC36" i="5" s="1"/>
  <c r="AD11" i="2"/>
  <c r="AD36" i="4" s="1"/>
  <c r="AD36" i="5" s="1"/>
  <c r="AE11" i="2"/>
  <c r="AE36" i="4" s="1"/>
  <c r="AE36" i="5" s="1"/>
  <c r="AF11" i="2"/>
  <c r="AF36" i="4" s="1"/>
  <c r="AF36" i="5" s="1"/>
  <c r="AG11" i="2"/>
  <c r="AG36" i="4" s="1"/>
  <c r="AG36" i="5" s="1"/>
  <c r="AH11" i="2"/>
  <c r="AH36" i="4" s="1"/>
  <c r="AH36" i="5" s="1"/>
  <c r="AI11" i="2"/>
  <c r="AI36" i="4" s="1"/>
  <c r="AI36" i="5" s="1"/>
  <c r="AJ11" i="2"/>
  <c r="AJ36" i="4" s="1"/>
  <c r="AJ36" i="5" s="1"/>
  <c r="AK11" i="2"/>
  <c r="AK36" i="4" s="1"/>
  <c r="AK36" i="5" s="1"/>
  <c r="AL11" i="2"/>
  <c r="AL36" i="4" s="1"/>
  <c r="AL36" i="5" s="1"/>
  <c r="AM11" i="2"/>
  <c r="AM36" i="4" s="1"/>
  <c r="AM36" i="5" s="1"/>
  <c r="AN11" i="2"/>
  <c r="AN36" i="4" s="1"/>
  <c r="AN36" i="5" s="1"/>
  <c r="AO11" i="2"/>
  <c r="AO36" i="4" s="1"/>
  <c r="AO36" i="5" s="1"/>
  <c r="AP11" i="2"/>
  <c r="AP36" i="4" s="1"/>
  <c r="AP36" i="5" s="1"/>
  <c r="AQ11" i="2"/>
  <c r="AQ36" i="4" s="1"/>
  <c r="AQ36" i="5" s="1"/>
  <c r="AR11" i="2"/>
  <c r="AR36" i="4" s="1"/>
  <c r="AR36" i="5" s="1"/>
  <c r="AS11" i="2"/>
  <c r="AS36" i="4" s="1"/>
  <c r="AS36" i="5" s="1"/>
  <c r="AT11" i="2"/>
  <c r="AT36" i="4" s="1"/>
  <c r="AT36" i="5" s="1"/>
  <c r="AU11" i="2"/>
  <c r="AU36" i="4" s="1"/>
  <c r="AU36" i="5" s="1"/>
  <c r="AV11" i="2"/>
  <c r="AV36" i="4" s="1"/>
  <c r="AV36" i="5" s="1"/>
  <c r="AW11" i="2"/>
  <c r="AW36" i="4" s="1"/>
  <c r="AW36" i="5" s="1"/>
  <c r="AX11" i="2"/>
  <c r="AX36" i="4" s="1"/>
  <c r="AX36" i="5" s="1"/>
  <c r="AY11" i="2"/>
  <c r="AY36" i="4" s="1"/>
  <c r="AY36" i="5" s="1"/>
  <c r="AZ11" i="2"/>
  <c r="AZ36" i="4" s="1"/>
  <c r="AZ36" i="5" s="1"/>
  <c r="BA11" i="2"/>
  <c r="BA36" i="4" s="1"/>
  <c r="BA36" i="5" s="1"/>
  <c r="BB11" i="2"/>
  <c r="BB36" i="4" s="1"/>
  <c r="BB36" i="5" s="1"/>
  <c r="BC11" i="2"/>
  <c r="BC36" i="4" s="1"/>
  <c r="BC36" i="5" s="1"/>
  <c r="BD11" i="2"/>
  <c r="BD36" i="4" s="1"/>
  <c r="BD36" i="5" s="1"/>
  <c r="BE11" i="2"/>
  <c r="BE36" i="4" s="1"/>
  <c r="BE36" i="5" s="1"/>
  <c r="BF11" i="2"/>
  <c r="BF36" i="4" s="1"/>
  <c r="BF36" i="5" s="1"/>
  <c r="BG11" i="2"/>
  <c r="BG36" i="4" s="1"/>
  <c r="BG36" i="5" s="1"/>
  <c r="BH11" i="2"/>
  <c r="BH36" i="4" s="1"/>
  <c r="BH36" i="5" s="1"/>
  <c r="BI11" i="2"/>
  <c r="BI36" i="4" s="1"/>
  <c r="BI36" i="5" s="1"/>
  <c r="BJ11" i="2"/>
  <c r="BJ36" i="4" s="1"/>
  <c r="BJ36" i="5" s="1"/>
  <c r="BK11" i="2"/>
  <c r="BK36" i="4" s="1"/>
  <c r="BK36" i="5" s="1"/>
  <c r="BL11" i="2"/>
  <c r="BL36" i="4" s="1"/>
  <c r="BL36" i="5" s="1"/>
  <c r="BM11" i="2"/>
  <c r="BM36" i="4" s="1"/>
  <c r="BM36" i="5" s="1"/>
  <c r="BN11" i="2"/>
  <c r="BN36" i="4" s="1"/>
  <c r="BN36" i="5" s="1"/>
  <c r="BO11" i="2"/>
  <c r="BO36" i="4" s="1"/>
  <c r="BO36" i="5" s="1"/>
  <c r="BP11" i="2"/>
  <c r="BP36" i="4" s="1"/>
  <c r="BP36" i="5" s="1"/>
  <c r="BQ11" i="2"/>
  <c r="BQ36" i="4" s="1"/>
  <c r="BQ36" i="5" s="1"/>
  <c r="BR11" i="2"/>
  <c r="BR36" i="4" s="1"/>
  <c r="BR36" i="5" s="1"/>
  <c r="BS11" i="2"/>
  <c r="BS36" i="4" s="1"/>
  <c r="BS36" i="5" s="1"/>
  <c r="BT11" i="2"/>
  <c r="BT36" i="4" s="1"/>
  <c r="BT36" i="5" s="1"/>
  <c r="BU11" i="2"/>
  <c r="BU36" i="4" s="1"/>
  <c r="BU36" i="5" s="1"/>
  <c r="BV11" i="2"/>
  <c r="BV36" i="4" s="1"/>
  <c r="BV36" i="5" s="1"/>
  <c r="BW11" i="2"/>
  <c r="BW36" i="4" s="1"/>
  <c r="BW36" i="5" s="1"/>
  <c r="BX11" i="2"/>
  <c r="BX36" i="4" s="1"/>
  <c r="BX36" i="5" s="1"/>
  <c r="BY11" i="2"/>
  <c r="BY36" i="4" s="1"/>
  <c r="BY36" i="5" s="1"/>
  <c r="BZ11" i="2"/>
  <c r="BZ36" i="4" s="1"/>
  <c r="BZ36" i="5" s="1"/>
  <c r="CA11" i="2"/>
  <c r="CA36" i="4" s="1"/>
  <c r="CA36" i="5" s="1"/>
  <c r="CB11" i="2"/>
  <c r="CB36" i="4" s="1"/>
  <c r="CB36" i="5" s="1"/>
  <c r="CC11" i="2"/>
  <c r="CC36" i="4" s="1"/>
  <c r="CC36" i="5" s="1"/>
  <c r="C12" i="2"/>
  <c r="C16" i="4" s="1"/>
  <c r="C16" i="5" s="1"/>
  <c r="D12" i="2"/>
  <c r="D16" i="4" s="1"/>
  <c r="D16" i="5" s="1"/>
  <c r="E12" i="2"/>
  <c r="E16" i="4" s="1"/>
  <c r="E16" i="5" s="1"/>
  <c r="F12" i="2"/>
  <c r="F16" i="4" s="1"/>
  <c r="F16" i="5" s="1"/>
  <c r="G12" i="2"/>
  <c r="G16" i="4" s="1"/>
  <c r="G16" i="5" s="1"/>
  <c r="H12" i="2"/>
  <c r="H16" i="4" s="1"/>
  <c r="H16" i="5" s="1"/>
  <c r="I12" i="2"/>
  <c r="I16" i="4" s="1"/>
  <c r="I16" i="5" s="1"/>
  <c r="J12" i="2"/>
  <c r="J16" i="4" s="1"/>
  <c r="J16" i="5" s="1"/>
  <c r="K12" i="2"/>
  <c r="K16" i="4" s="1"/>
  <c r="K16" i="5" s="1"/>
  <c r="L12" i="2"/>
  <c r="L16" i="4" s="1"/>
  <c r="L16" i="5" s="1"/>
  <c r="M12" i="2"/>
  <c r="M16" i="4" s="1"/>
  <c r="M16" i="5" s="1"/>
  <c r="N12" i="2"/>
  <c r="N16" i="4" s="1"/>
  <c r="N16" i="5" s="1"/>
  <c r="O12" i="2"/>
  <c r="O16" i="4" s="1"/>
  <c r="O16" i="5" s="1"/>
  <c r="P12" i="2"/>
  <c r="P16" i="4" s="1"/>
  <c r="P16" i="5" s="1"/>
  <c r="Q12" i="2"/>
  <c r="Q16" i="4" s="1"/>
  <c r="Q16" i="5" s="1"/>
  <c r="R12" i="2"/>
  <c r="R16" i="4" s="1"/>
  <c r="R16" i="5" s="1"/>
  <c r="S12" i="2"/>
  <c r="S16" i="4" s="1"/>
  <c r="S16" i="5" s="1"/>
  <c r="T12" i="2"/>
  <c r="T16" i="4" s="1"/>
  <c r="T16" i="5" s="1"/>
  <c r="U12" i="2"/>
  <c r="U16" i="4" s="1"/>
  <c r="U16" i="5" s="1"/>
  <c r="V12" i="2"/>
  <c r="V16" i="4" s="1"/>
  <c r="V16" i="5" s="1"/>
  <c r="W12" i="2"/>
  <c r="W16" i="4" s="1"/>
  <c r="W16" i="5" s="1"/>
  <c r="X12" i="2"/>
  <c r="X16" i="4" s="1"/>
  <c r="X16" i="5" s="1"/>
  <c r="Y12" i="2"/>
  <c r="Y16" i="4" s="1"/>
  <c r="Y16" i="5" s="1"/>
  <c r="Z12" i="2"/>
  <c r="Z16" i="4" s="1"/>
  <c r="Z16" i="5" s="1"/>
  <c r="AA12" i="2"/>
  <c r="AA16" i="4" s="1"/>
  <c r="AA16" i="5" s="1"/>
  <c r="AB12" i="2"/>
  <c r="AB16" i="4" s="1"/>
  <c r="AB16" i="5" s="1"/>
  <c r="AC12" i="2"/>
  <c r="AC16" i="4" s="1"/>
  <c r="AC16" i="5" s="1"/>
  <c r="AD12" i="2"/>
  <c r="AD16" i="4" s="1"/>
  <c r="AD16" i="5" s="1"/>
  <c r="AE12" i="2"/>
  <c r="AE16" i="4" s="1"/>
  <c r="AE16" i="5" s="1"/>
  <c r="AF12" i="2"/>
  <c r="AF16" i="4" s="1"/>
  <c r="AF16" i="5" s="1"/>
  <c r="AG12" i="2"/>
  <c r="AG16" i="4" s="1"/>
  <c r="AG16" i="5" s="1"/>
  <c r="AH12" i="2"/>
  <c r="AH16" i="4" s="1"/>
  <c r="AH16" i="5" s="1"/>
  <c r="AI12" i="2"/>
  <c r="AI16" i="4" s="1"/>
  <c r="AI16" i="5" s="1"/>
  <c r="AJ12" i="2"/>
  <c r="AJ16" i="4" s="1"/>
  <c r="AJ16" i="5" s="1"/>
  <c r="AK12" i="2"/>
  <c r="AK16" i="4" s="1"/>
  <c r="AK16" i="5" s="1"/>
  <c r="AL12" i="2"/>
  <c r="AL16" i="4" s="1"/>
  <c r="AL16" i="5" s="1"/>
  <c r="AM12" i="2"/>
  <c r="AM16" i="4" s="1"/>
  <c r="AM16" i="5" s="1"/>
  <c r="AN12" i="2"/>
  <c r="AN16" i="4" s="1"/>
  <c r="AN16" i="5" s="1"/>
  <c r="AO12" i="2"/>
  <c r="AO16" i="4" s="1"/>
  <c r="AO16" i="5" s="1"/>
  <c r="AP12" i="2"/>
  <c r="AP16" i="4" s="1"/>
  <c r="AP16" i="5" s="1"/>
  <c r="AQ12" i="2"/>
  <c r="AQ16" i="4" s="1"/>
  <c r="AQ16" i="5" s="1"/>
  <c r="AR12" i="2"/>
  <c r="AR16" i="4" s="1"/>
  <c r="AR16" i="5" s="1"/>
  <c r="AS12" i="2"/>
  <c r="AS16" i="4" s="1"/>
  <c r="AS16" i="5" s="1"/>
  <c r="AT12" i="2"/>
  <c r="AT16" i="4" s="1"/>
  <c r="AT16" i="5" s="1"/>
  <c r="AU12" i="2"/>
  <c r="AU16" i="4" s="1"/>
  <c r="AU16" i="5" s="1"/>
  <c r="AV12" i="2"/>
  <c r="AV16" i="4" s="1"/>
  <c r="AV16" i="5" s="1"/>
  <c r="AW12" i="2"/>
  <c r="AW16" i="4" s="1"/>
  <c r="AW16" i="5" s="1"/>
  <c r="AX12" i="2"/>
  <c r="AX16" i="4" s="1"/>
  <c r="AX16" i="5" s="1"/>
  <c r="AY12" i="2"/>
  <c r="AY16" i="4" s="1"/>
  <c r="AY16" i="5" s="1"/>
  <c r="AZ12" i="2"/>
  <c r="AZ16" i="4" s="1"/>
  <c r="AZ16" i="5" s="1"/>
  <c r="BA12" i="2"/>
  <c r="BA16" i="4" s="1"/>
  <c r="BA16" i="5" s="1"/>
  <c r="BB12" i="2"/>
  <c r="BB16" i="4" s="1"/>
  <c r="BB16" i="5" s="1"/>
  <c r="BC12" i="2"/>
  <c r="BC16" i="4" s="1"/>
  <c r="BC16" i="5" s="1"/>
  <c r="BD12" i="2"/>
  <c r="BD16" i="4" s="1"/>
  <c r="BD16" i="5" s="1"/>
  <c r="BE12" i="2"/>
  <c r="BE16" i="4" s="1"/>
  <c r="BE16" i="5" s="1"/>
  <c r="BF12" i="2"/>
  <c r="BF16" i="4" s="1"/>
  <c r="BF16" i="5" s="1"/>
  <c r="BG12" i="2"/>
  <c r="BG16" i="4" s="1"/>
  <c r="BG16" i="5" s="1"/>
  <c r="BH12" i="2"/>
  <c r="BH16" i="4" s="1"/>
  <c r="BH16" i="5" s="1"/>
  <c r="BI12" i="2"/>
  <c r="BI16" i="4" s="1"/>
  <c r="BI16" i="5" s="1"/>
  <c r="BJ12" i="2"/>
  <c r="BJ16" i="4" s="1"/>
  <c r="BJ16" i="5" s="1"/>
  <c r="BK12" i="2"/>
  <c r="BK16" i="4" s="1"/>
  <c r="BK16" i="5" s="1"/>
  <c r="BL12" i="2"/>
  <c r="BL16" i="4" s="1"/>
  <c r="BL16" i="5" s="1"/>
  <c r="BM12" i="2"/>
  <c r="BM16" i="4" s="1"/>
  <c r="BM16" i="5" s="1"/>
  <c r="BN12" i="2"/>
  <c r="BN16" i="4" s="1"/>
  <c r="BN16" i="5" s="1"/>
  <c r="BO12" i="2"/>
  <c r="BO16" i="4" s="1"/>
  <c r="BO16" i="5" s="1"/>
  <c r="BP12" i="2"/>
  <c r="BP16" i="4" s="1"/>
  <c r="BP16" i="5" s="1"/>
  <c r="BQ12" i="2"/>
  <c r="BQ16" i="4" s="1"/>
  <c r="BQ16" i="5" s="1"/>
  <c r="BR12" i="2"/>
  <c r="BR16" i="4" s="1"/>
  <c r="BR16" i="5" s="1"/>
  <c r="BS12" i="2"/>
  <c r="BS16" i="4" s="1"/>
  <c r="BS16" i="5" s="1"/>
  <c r="BT12" i="2"/>
  <c r="BT16" i="4" s="1"/>
  <c r="BT16" i="5" s="1"/>
  <c r="BU12" i="2"/>
  <c r="BU16" i="4" s="1"/>
  <c r="BU16" i="5" s="1"/>
  <c r="BV12" i="2"/>
  <c r="BV16" i="4" s="1"/>
  <c r="BV16" i="5" s="1"/>
  <c r="BW12" i="2"/>
  <c r="BW16" i="4" s="1"/>
  <c r="BW16" i="5" s="1"/>
  <c r="BX12" i="2"/>
  <c r="BX16" i="4" s="1"/>
  <c r="BX16" i="5" s="1"/>
  <c r="BY12" i="2"/>
  <c r="BY16" i="4" s="1"/>
  <c r="BY16" i="5" s="1"/>
  <c r="BZ12" i="2"/>
  <c r="BZ16" i="4" s="1"/>
  <c r="BZ16" i="5" s="1"/>
  <c r="CA12" i="2"/>
  <c r="CA16" i="4" s="1"/>
  <c r="CA16" i="5" s="1"/>
  <c r="CB12" i="2"/>
  <c r="CB16" i="4" s="1"/>
  <c r="CB16" i="5" s="1"/>
  <c r="CC12" i="2"/>
  <c r="CC16" i="4" s="1"/>
  <c r="CC16" i="5" s="1"/>
  <c r="C13" i="2"/>
  <c r="C17" i="4" s="1"/>
  <c r="C17" i="5" s="1"/>
  <c r="D13" i="2"/>
  <c r="D17" i="4" s="1"/>
  <c r="D17" i="5" s="1"/>
  <c r="E13" i="2"/>
  <c r="E17" i="4" s="1"/>
  <c r="E17" i="5" s="1"/>
  <c r="F13" i="2"/>
  <c r="F17" i="4" s="1"/>
  <c r="F17" i="5" s="1"/>
  <c r="G13" i="2"/>
  <c r="G17" i="4" s="1"/>
  <c r="G17" i="5" s="1"/>
  <c r="H13" i="2"/>
  <c r="H17" i="4" s="1"/>
  <c r="H17" i="5" s="1"/>
  <c r="I13" i="2"/>
  <c r="I17" i="4" s="1"/>
  <c r="I17" i="5" s="1"/>
  <c r="J13" i="2"/>
  <c r="J17" i="4" s="1"/>
  <c r="J17" i="5" s="1"/>
  <c r="K13" i="2"/>
  <c r="K17" i="4" s="1"/>
  <c r="K17" i="5" s="1"/>
  <c r="L13" i="2"/>
  <c r="L17" i="4" s="1"/>
  <c r="L17" i="5" s="1"/>
  <c r="M13" i="2"/>
  <c r="M17" i="4" s="1"/>
  <c r="M17" i="5" s="1"/>
  <c r="N13" i="2"/>
  <c r="N17" i="4" s="1"/>
  <c r="N17" i="5" s="1"/>
  <c r="O13" i="2"/>
  <c r="O17" i="4" s="1"/>
  <c r="O17" i="5" s="1"/>
  <c r="P13" i="2"/>
  <c r="P17" i="4" s="1"/>
  <c r="P17" i="5" s="1"/>
  <c r="Q13" i="2"/>
  <c r="Q17" i="4" s="1"/>
  <c r="Q17" i="5" s="1"/>
  <c r="R13" i="2"/>
  <c r="R17" i="4" s="1"/>
  <c r="R17" i="5" s="1"/>
  <c r="S13" i="2"/>
  <c r="S17" i="4" s="1"/>
  <c r="S17" i="5" s="1"/>
  <c r="T13" i="2"/>
  <c r="T17" i="4" s="1"/>
  <c r="T17" i="5" s="1"/>
  <c r="U13" i="2"/>
  <c r="U17" i="4" s="1"/>
  <c r="U17" i="5" s="1"/>
  <c r="V13" i="2"/>
  <c r="V17" i="4" s="1"/>
  <c r="V17" i="5" s="1"/>
  <c r="W13" i="2"/>
  <c r="W17" i="4" s="1"/>
  <c r="W17" i="5" s="1"/>
  <c r="X13" i="2"/>
  <c r="X17" i="4" s="1"/>
  <c r="X17" i="5" s="1"/>
  <c r="Y13" i="2"/>
  <c r="Y17" i="4" s="1"/>
  <c r="Y17" i="5" s="1"/>
  <c r="Z13" i="2"/>
  <c r="Z17" i="4" s="1"/>
  <c r="Z17" i="5" s="1"/>
  <c r="AA13" i="2"/>
  <c r="AA17" i="4" s="1"/>
  <c r="AA17" i="5" s="1"/>
  <c r="AB13" i="2"/>
  <c r="AB17" i="4" s="1"/>
  <c r="AB17" i="5" s="1"/>
  <c r="AC13" i="2"/>
  <c r="AC17" i="4" s="1"/>
  <c r="AC17" i="5" s="1"/>
  <c r="AD13" i="2"/>
  <c r="AD17" i="4" s="1"/>
  <c r="AD17" i="5" s="1"/>
  <c r="AE13" i="2"/>
  <c r="AE17" i="4" s="1"/>
  <c r="AE17" i="5" s="1"/>
  <c r="AF13" i="2"/>
  <c r="AF17" i="4" s="1"/>
  <c r="AF17" i="5" s="1"/>
  <c r="AG13" i="2"/>
  <c r="AG17" i="4" s="1"/>
  <c r="AG17" i="5" s="1"/>
  <c r="AH13" i="2"/>
  <c r="AH17" i="4" s="1"/>
  <c r="AH17" i="5" s="1"/>
  <c r="AI13" i="2"/>
  <c r="AI17" i="4" s="1"/>
  <c r="AI17" i="5" s="1"/>
  <c r="AJ13" i="2"/>
  <c r="AJ17" i="4" s="1"/>
  <c r="AJ17" i="5" s="1"/>
  <c r="AK13" i="2"/>
  <c r="AK17" i="4" s="1"/>
  <c r="AK17" i="5" s="1"/>
  <c r="AL13" i="2"/>
  <c r="AL17" i="4" s="1"/>
  <c r="AL17" i="5" s="1"/>
  <c r="AM13" i="2"/>
  <c r="AM17" i="4" s="1"/>
  <c r="AM17" i="5" s="1"/>
  <c r="AN13" i="2"/>
  <c r="AN17" i="4" s="1"/>
  <c r="AN17" i="5" s="1"/>
  <c r="AO13" i="2"/>
  <c r="AO17" i="4" s="1"/>
  <c r="AO17" i="5" s="1"/>
  <c r="AP13" i="2"/>
  <c r="AP17" i="4" s="1"/>
  <c r="AP17" i="5" s="1"/>
  <c r="AQ13" i="2"/>
  <c r="AQ17" i="4" s="1"/>
  <c r="AQ17" i="5" s="1"/>
  <c r="AR13" i="2"/>
  <c r="AR17" i="4" s="1"/>
  <c r="AR17" i="5" s="1"/>
  <c r="AS13" i="2"/>
  <c r="AS17" i="4" s="1"/>
  <c r="AS17" i="5" s="1"/>
  <c r="AT13" i="2"/>
  <c r="AT17" i="4" s="1"/>
  <c r="AT17" i="5" s="1"/>
  <c r="AU13" i="2"/>
  <c r="AU17" i="4" s="1"/>
  <c r="AU17" i="5" s="1"/>
  <c r="AV13" i="2"/>
  <c r="AV17" i="4" s="1"/>
  <c r="AV17" i="5" s="1"/>
  <c r="AW13" i="2"/>
  <c r="AW17" i="4" s="1"/>
  <c r="AW17" i="5" s="1"/>
  <c r="AX13" i="2"/>
  <c r="AX17" i="4" s="1"/>
  <c r="AX17" i="5" s="1"/>
  <c r="AY13" i="2"/>
  <c r="AY17" i="4" s="1"/>
  <c r="AY17" i="5" s="1"/>
  <c r="AZ13" i="2"/>
  <c r="AZ17" i="4" s="1"/>
  <c r="AZ17" i="5" s="1"/>
  <c r="BA13" i="2"/>
  <c r="BA17" i="4" s="1"/>
  <c r="BA17" i="5" s="1"/>
  <c r="BB13" i="2"/>
  <c r="BB17" i="4" s="1"/>
  <c r="BB17" i="5" s="1"/>
  <c r="BC13" i="2"/>
  <c r="BC17" i="4" s="1"/>
  <c r="BC17" i="5" s="1"/>
  <c r="BD13" i="2"/>
  <c r="BD17" i="4" s="1"/>
  <c r="BD17" i="5" s="1"/>
  <c r="BE13" i="2"/>
  <c r="BE17" i="4" s="1"/>
  <c r="BE17" i="5" s="1"/>
  <c r="BF13" i="2"/>
  <c r="BF17" i="4" s="1"/>
  <c r="BF17" i="5" s="1"/>
  <c r="BG13" i="2"/>
  <c r="BG17" i="4" s="1"/>
  <c r="BG17" i="5" s="1"/>
  <c r="BH13" i="2"/>
  <c r="BH17" i="4" s="1"/>
  <c r="BH17" i="5" s="1"/>
  <c r="BI13" i="2"/>
  <c r="BI17" i="4" s="1"/>
  <c r="BI17" i="5" s="1"/>
  <c r="BJ13" i="2"/>
  <c r="BJ17" i="4" s="1"/>
  <c r="BJ17" i="5" s="1"/>
  <c r="BK13" i="2"/>
  <c r="BK17" i="4" s="1"/>
  <c r="BK17" i="5" s="1"/>
  <c r="BL13" i="2"/>
  <c r="BL17" i="4" s="1"/>
  <c r="BL17" i="5" s="1"/>
  <c r="BM13" i="2"/>
  <c r="BM17" i="4" s="1"/>
  <c r="BM17" i="5" s="1"/>
  <c r="BN13" i="2"/>
  <c r="BN17" i="4" s="1"/>
  <c r="BN17" i="5" s="1"/>
  <c r="BO13" i="2"/>
  <c r="BO17" i="4" s="1"/>
  <c r="BO17" i="5" s="1"/>
  <c r="BP13" i="2"/>
  <c r="BP17" i="4" s="1"/>
  <c r="BP17" i="5" s="1"/>
  <c r="BQ13" i="2"/>
  <c r="BQ17" i="4" s="1"/>
  <c r="BQ17" i="5" s="1"/>
  <c r="BR13" i="2"/>
  <c r="BR17" i="4" s="1"/>
  <c r="BR17" i="5" s="1"/>
  <c r="BS13" i="2"/>
  <c r="BS17" i="4" s="1"/>
  <c r="BS17" i="5" s="1"/>
  <c r="BT13" i="2"/>
  <c r="BT17" i="4" s="1"/>
  <c r="BT17" i="5" s="1"/>
  <c r="BU13" i="2"/>
  <c r="BU17" i="4" s="1"/>
  <c r="BU17" i="5" s="1"/>
  <c r="BV13" i="2"/>
  <c r="BV17" i="4" s="1"/>
  <c r="BV17" i="5" s="1"/>
  <c r="BW13" i="2"/>
  <c r="BW17" i="4" s="1"/>
  <c r="BW17" i="5" s="1"/>
  <c r="BX13" i="2"/>
  <c r="BX17" i="4" s="1"/>
  <c r="BX17" i="5" s="1"/>
  <c r="BY13" i="2"/>
  <c r="BY17" i="4" s="1"/>
  <c r="BY17" i="5" s="1"/>
  <c r="BZ13" i="2"/>
  <c r="BZ17" i="4" s="1"/>
  <c r="BZ17" i="5" s="1"/>
  <c r="CA13" i="2"/>
  <c r="CA17" i="4" s="1"/>
  <c r="CA17" i="5" s="1"/>
  <c r="CB13" i="2"/>
  <c r="CB17" i="4" s="1"/>
  <c r="CB17" i="5" s="1"/>
  <c r="CC13" i="2"/>
  <c r="CC17" i="4" s="1"/>
  <c r="CC17" i="5" s="1"/>
  <c r="C14" i="2"/>
  <c r="C26" i="4" s="1"/>
  <c r="C26" i="5" s="1"/>
  <c r="D14" i="2"/>
  <c r="D26" i="4" s="1"/>
  <c r="D26" i="5" s="1"/>
  <c r="E14" i="2"/>
  <c r="E26" i="4" s="1"/>
  <c r="E26" i="5" s="1"/>
  <c r="F14" i="2"/>
  <c r="F26" i="4" s="1"/>
  <c r="F26" i="5" s="1"/>
  <c r="G14" i="2"/>
  <c r="G26" i="4" s="1"/>
  <c r="G26" i="5" s="1"/>
  <c r="H14" i="2"/>
  <c r="H26" i="4" s="1"/>
  <c r="H26" i="5" s="1"/>
  <c r="I14" i="2"/>
  <c r="I26" i="4" s="1"/>
  <c r="I26" i="5" s="1"/>
  <c r="J14" i="2"/>
  <c r="J26" i="4" s="1"/>
  <c r="J26" i="5" s="1"/>
  <c r="K14" i="2"/>
  <c r="K26" i="4" s="1"/>
  <c r="K26" i="5" s="1"/>
  <c r="L14" i="2"/>
  <c r="L26" i="4" s="1"/>
  <c r="L26" i="5" s="1"/>
  <c r="M14" i="2"/>
  <c r="M26" i="4" s="1"/>
  <c r="M26" i="5" s="1"/>
  <c r="N14" i="2"/>
  <c r="N26" i="4" s="1"/>
  <c r="N26" i="5" s="1"/>
  <c r="O14" i="2"/>
  <c r="O26" i="4" s="1"/>
  <c r="O26" i="5" s="1"/>
  <c r="P14" i="2"/>
  <c r="P26" i="4" s="1"/>
  <c r="P26" i="5" s="1"/>
  <c r="Q14" i="2"/>
  <c r="Q26" i="4" s="1"/>
  <c r="Q26" i="5" s="1"/>
  <c r="R14" i="2"/>
  <c r="R26" i="4" s="1"/>
  <c r="R26" i="5" s="1"/>
  <c r="S14" i="2"/>
  <c r="S26" i="4" s="1"/>
  <c r="S26" i="5" s="1"/>
  <c r="T14" i="2"/>
  <c r="T26" i="4" s="1"/>
  <c r="T26" i="5" s="1"/>
  <c r="U14" i="2"/>
  <c r="U26" i="4" s="1"/>
  <c r="U26" i="5" s="1"/>
  <c r="V14" i="2"/>
  <c r="V26" i="4" s="1"/>
  <c r="V26" i="5" s="1"/>
  <c r="W14" i="2"/>
  <c r="W26" i="4" s="1"/>
  <c r="W26" i="5" s="1"/>
  <c r="X14" i="2"/>
  <c r="X26" i="4" s="1"/>
  <c r="X26" i="5" s="1"/>
  <c r="Y14" i="2"/>
  <c r="Y26" i="4" s="1"/>
  <c r="Y26" i="5" s="1"/>
  <c r="Z14" i="2"/>
  <c r="Z26" i="4" s="1"/>
  <c r="Z26" i="5" s="1"/>
  <c r="AA14" i="2"/>
  <c r="AA26" i="4" s="1"/>
  <c r="AA26" i="5" s="1"/>
  <c r="AB14" i="2"/>
  <c r="AB26" i="4" s="1"/>
  <c r="AB26" i="5" s="1"/>
  <c r="AC14" i="2"/>
  <c r="AC26" i="4" s="1"/>
  <c r="AC26" i="5" s="1"/>
  <c r="AD14" i="2"/>
  <c r="AD26" i="4" s="1"/>
  <c r="AD26" i="5" s="1"/>
  <c r="AE14" i="2"/>
  <c r="AE26" i="4" s="1"/>
  <c r="AE26" i="5" s="1"/>
  <c r="AF14" i="2"/>
  <c r="AF26" i="4" s="1"/>
  <c r="AF26" i="5" s="1"/>
  <c r="AG14" i="2"/>
  <c r="AG26" i="4" s="1"/>
  <c r="AG26" i="5" s="1"/>
  <c r="AH14" i="2"/>
  <c r="AH26" i="4" s="1"/>
  <c r="AH26" i="5" s="1"/>
  <c r="AI14" i="2"/>
  <c r="AI26" i="4" s="1"/>
  <c r="AI26" i="5" s="1"/>
  <c r="AJ14" i="2"/>
  <c r="AJ26" i="4" s="1"/>
  <c r="AJ26" i="5" s="1"/>
  <c r="AK14" i="2"/>
  <c r="AK26" i="4" s="1"/>
  <c r="AK26" i="5" s="1"/>
  <c r="AL14" i="2"/>
  <c r="AL26" i="4" s="1"/>
  <c r="AL26" i="5" s="1"/>
  <c r="AM14" i="2"/>
  <c r="AM26" i="4" s="1"/>
  <c r="AM26" i="5" s="1"/>
  <c r="AN14" i="2"/>
  <c r="AN26" i="4" s="1"/>
  <c r="AN26" i="5" s="1"/>
  <c r="AO14" i="2"/>
  <c r="AO26" i="4" s="1"/>
  <c r="AO26" i="5" s="1"/>
  <c r="AP14" i="2"/>
  <c r="AP26" i="4" s="1"/>
  <c r="AP26" i="5" s="1"/>
  <c r="AQ14" i="2"/>
  <c r="AQ26" i="4" s="1"/>
  <c r="AQ26" i="5" s="1"/>
  <c r="AR14" i="2"/>
  <c r="AR26" i="4" s="1"/>
  <c r="AR26" i="5" s="1"/>
  <c r="AS14" i="2"/>
  <c r="AS26" i="4" s="1"/>
  <c r="AS26" i="5" s="1"/>
  <c r="AT14" i="2"/>
  <c r="AT26" i="4" s="1"/>
  <c r="AT26" i="5" s="1"/>
  <c r="AU14" i="2"/>
  <c r="AU26" i="4" s="1"/>
  <c r="AU26" i="5" s="1"/>
  <c r="AV14" i="2"/>
  <c r="AV26" i="4" s="1"/>
  <c r="AV26" i="5" s="1"/>
  <c r="AW14" i="2"/>
  <c r="AW26" i="4" s="1"/>
  <c r="AW26" i="5" s="1"/>
  <c r="AX14" i="2"/>
  <c r="AX26" i="4" s="1"/>
  <c r="AX26" i="5" s="1"/>
  <c r="AY14" i="2"/>
  <c r="AY26" i="4" s="1"/>
  <c r="AY26" i="5" s="1"/>
  <c r="AZ14" i="2"/>
  <c r="AZ26" i="4" s="1"/>
  <c r="AZ26" i="5" s="1"/>
  <c r="BA14" i="2"/>
  <c r="BA26" i="4" s="1"/>
  <c r="BA26" i="5" s="1"/>
  <c r="BB14" i="2"/>
  <c r="BB26" i="4" s="1"/>
  <c r="BB26" i="5" s="1"/>
  <c r="BC14" i="2"/>
  <c r="BC26" i="4" s="1"/>
  <c r="BC26" i="5" s="1"/>
  <c r="BD14" i="2"/>
  <c r="BD26" i="4" s="1"/>
  <c r="BD26" i="5" s="1"/>
  <c r="BE14" i="2"/>
  <c r="BE26" i="4" s="1"/>
  <c r="BE26" i="5" s="1"/>
  <c r="BF14" i="2"/>
  <c r="BF26" i="4" s="1"/>
  <c r="BF26" i="5" s="1"/>
  <c r="BG14" i="2"/>
  <c r="BG26" i="4" s="1"/>
  <c r="BG26" i="5" s="1"/>
  <c r="BH14" i="2"/>
  <c r="BH26" i="4" s="1"/>
  <c r="BH26" i="5" s="1"/>
  <c r="BI14" i="2"/>
  <c r="BI26" i="4" s="1"/>
  <c r="BI26" i="5" s="1"/>
  <c r="BJ14" i="2"/>
  <c r="BJ26" i="4" s="1"/>
  <c r="BJ26" i="5" s="1"/>
  <c r="BK14" i="2"/>
  <c r="BK26" i="4" s="1"/>
  <c r="BK26" i="5" s="1"/>
  <c r="BL14" i="2"/>
  <c r="BL26" i="4" s="1"/>
  <c r="BL26" i="5" s="1"/>
  <c r="BM14" i="2"/>
  <c r="BM26" i="4" s="1"/>
  <c r="BM26" i="5" s="1"/>
  <c r="BN14" i="2"/>
  <c r="BN26" i="4" s="1"/>
  <c r="BN26" i="5" s="1"/>
  <c r="BO14" i="2"/>
  <c r="BO26" i="4" s="1"/>
  <c r="BO26" i="5" s="1"/>
  <c r="BP14" i="2"/>
  <c r="BP26" i="4" s="1"/>
  <c r="BP26" i="5" s="1"/>
  <c r="BQ14" i="2"/>
  <c r="BQ26" i="4" s="1"/>
  <c r="BQ26" i="5" s="1"/>
  <c r="BR14" i="2"/>
  <c r="BR26" i="4" s="1"/>
  <c r="BR26" i="5" s="1"/>
  <c r="BS14" i="2"/>
  <c r="BS26" i="4" s="1"/>
  <c r="BS26" i="5" s="1"/>
  <c r="BT14" i="2"/>
  <c r="BT26" i="4" s="1"/>
  <c r="BT26" i="5" s="1"/>
  <c r="BU14" i="2"/>
  <c r="BU26" i="4" s="1"/>
  <c r="BU26" i="5" s="1"/>
  <c r="BV14" i="2"/>
  <c r="BV26" i="4" s="1"/>
  <c r="BV26" i="5" s="1"/>
  <c r="BW14" i="2"/>
  <c r="BW26" i="4" s="1"/>
  <c r="BW26" i="5" s="1"/>
  <c r="BX14" i="2"/>
  <c r="BX26" i="4" s="1"/>
  <c r="BX26" i="5" s="1"/>
  <c r="BY14" i="2"/>
  <c r="BY26" i="4" s="1"/>
  <c r="BY26" i="5" s="1"/>
  <c r="BZ14" i="2"/>
  <c r="BZ26" i="4" s="1"/>
  <c r="BZ26" i="5" s="1"/>
  <c r="CA14" i="2"/>
  <c r="CA26" i="4" s="1"/>
  <c r="CA26" i="5" s="1"/>
  <c r="CB14" i="2"/>
  <c r="CB26" i="4" s="1"/>
  <c r="CB26" i="5" s="1"/>
  <c r="CC14" i="2"/>
  <c r="CC26" i="4" s="1"/>
  <c r="CC26" i="5" s="1"/>
  <c r="C15" i="2"/>
  <c r="C10" i="4" s="1"/>
  <c r="C10" i="5" s="1"/>
  <c r="D15" i="2"/>
  <c r="D10" i="4" s="1"/>
  <c r="D10" i="5" s="1"/>
  <c r="E15" i="2"/>
  <c r="E10" i="4" s="1"/>
  <c r="E10" i="5" s="1"/>
  <c r="F15" i="2"/>
  <c r="F10" i="4" s="1"/>
  <c r="F10" i="5" s="1"/>
  <c r="G15" i="2"/>
  <c r="G10" i="4" s="1"/>
  <c r="G10" i="5" s="1"/>
  <c r="H15" i="2"/>
  <c r="H10" i="4" s="1"/>
  <c r="H10" i="5" s="1"/>
  <c r="I15" i="2"/>
  <c r="I10" i="4" s="1"/>
  <c r="I10" i="5" s="1"/>
  <c r="J15" i="2"/>
  <c r="J10" i="4" s="1"/>
  <c r="J10" i="5" s="1"/>
  <c r="K15" i="2"/>
  <c r="K10" i="4" s="1"/>
  <c r="K10" i="5" s="1"/>
  <c r="L15" i="2"/>
  <c r="L10" i="4" s="1"/>
  <c r="L10" i="5" s="1"/>
  <c r="M15" i="2"/>
  <c r="M10" i="4" s="1"/>
  <c r="M10" i="5" s="1"/>
  <c r="N15" i="2"/>
  <c r="N10" i="4" s="1"/>
  <c r="N10" i="5" s="1"/>
  <c r="O15" i="2"/>
  <c r="O10" i="4" s="1"/>
  <c r="O10" i="5" s="1"/>
  <c r="P15" i="2"/>
  <c r="P10" i="4" s="1"/>
  <c r="P10" i="5" s="1"/>
  <c r="Q15" i="2"/>
  <c r="Q10" i="4" s="1"/>
  <c r="Q10" i="5" s="1"/>
  <c r="R15" i="2"/>
  <c r="R10" i="4" s="1"/>
  <c r="R10" i="5" s="1"/>
  <c r="S15" i="2"/>
  <c r="S10" i="4" s="1"/>
  <c r="S10" i="5" s="1"/>
  <c r="T15" i="2"/>
  <c r="T10" i="4" s="1"/>
  <c r="T10" i="5" s="1"/>
  <c r="U15" i="2"/>
  <c r="U10" i="4" s="1"/>
  <c r="U10" i="5" s="1"/>
  <c r="V15" i="2"/>
  <c r="V10" i="4" s="1"/>
  <c r="V10" i="5" s="1"/>
  <c r="W15" i="2"/>
  <c r="W10" i="4" s="1"/>
  <c r="W10" i="5" s="1"/>
  <c r="X15" i="2"/>
  <c r="X10" i="4" s="1"/>
  <c r="X10" i="5" s="1"/>
  <c r="Y15" i="2"/>
  <c r="Y10" i="4" s="1"/>
  <c r="Y10" i="5" s="1"/>
  <c r="Z15" i="2"/>
  <c r="Z10" i="4" s="1"/>
  <c r="Z10" i="5" s="1"/>
  <c r="AA15" i="2"/>
  <c r="AA10" i="4" s="1"/>
  <c r="AA10" i="5" s="1"/>
  <c r="AB15" i="2"/>
  <c r="AB10" i="4" s="1"/>
  <c r="AB10" i="5" s="1"/>
  <c r="AC15" i="2"/>
  <c r="AC10" i="4" s="1"/>
  <c r="AC10" i="5" s="1"/>
  <c r="AD15" i="2"/>
  <c r="AD10" i="4" s="1"/>
  <c r="AD10" i="5" s="1"/>
  <c r="AE15" i="2"/>
  <c r="AE10" i="4" s="1"/>
  <c r="AE10" i="5" s="1"/>
  <c r="AF15" i="2"/>
  <c r="AF10" i="4" s="1"/>
  <c r="AF10" i="5" s="1"/>
  <c r="AG15" i="2"/>
  <c r="AG10" i="4" s="1"/>
  <c r="AG10" i="5" s="1"/>
  <c r="AH15" i="2"/>
  <c r="AH10" i="4" s="1"/>
  <c r="AH10" i="5" s="1"/>
  <c r="AI15" i="2"/>
  <c r="AI10" i="4" s="1"/>
  <c r="AI10" i="5" s="1"/>
  <c r="AJ15" i="2"/>
  <c r="AJ10" i="4" s="1"/>
  <c r="AJ10" i="5" s="1"/>
  <c r="AK15" i="2"/>
  <c r="AK10" i="4" s="1"/>
  <c r="AK10" i="5" s="1"/>
  <c r="AL15" i="2"/>
  <c r="AL10" i="4" s="1"/>
  <c r="AL10" i="5" s="1"/>
  <c r="AM15" i="2"/>
  <c r="AM10" i="4" s="1"/>
  <c r="AM10" i="5" s="1"/>
  <c r="AN15" i="2"/>
  <c r="AN10" i="4" s="1"/>
  <c r="AN10" i="5" s="1"/>
  <c r="AO15" i="2"/>
  <c r="AO10" i="4" s="1"/>
  <c r="AO10" i="5" s="1"/>
  <c r="AP15" i="2"/>
  <c r="AP10" i="4" s="1"/>
  <c r="AP10" i="5" s="1"/>
  <c r="AQ15" i="2"/>
  <c r="AQ10" i="4" s="1"/>
  <c r="AQ10" i="5" s="1"/>
  <c r="AR15" i="2"/>
  <c r="AR10" i="4" s="1"/>
  <c r="AR10" i="5" s="1"/>
  <c r="AS15" i="2"/>
  <c r="AS10" i="4" s="1"/>
  <c r="AS10" i="5" s="1"/>
  <c r="AT15" i="2"/>
  <c r="AT10" i="4" s="1"/>
  <c r="AT10" i="5" s="1"/>
  <c r="AU15" i="2"/>
  <c r="AU10" i="4" s="1"/>
  <c r="AU10" i="5" s="1"/>
  <c r="AV15" i="2"/>
  <c r="AV10" i="4" s="1"/>
  <c r="AV10" i="5" s="1"/>
  <c r="AW15" i="2"/>
  <c r="AW10" i="4" s="1"/>
  <c r="AW10" i="5" s="1"/>
  <c r="AX15" i="2"/>
  <c r="AX10" i="4" s="1"/>
  <c r="AX10" i="5" s="1"/>
  <c r="AY15" i="2"/>
  <c r="AY10" i="4" s="1"/>
  <c r="AY10" i="5" s="1"/>
  <c r="AZ15" i="2"/>
  <c r="AZ10" i="4" s="1"/>
  <c r="AZ10" i="5" s="1"/>
  <c r="BA15" i="2"/>
  <c r="BA10" i="4" s="1"/>
  <c r="BA10" i="5" s="1"/>
  <c r="BB15" i="2"/>
  <c r="BB10" i="4" s="1"/>
  <c r="BB10" i="5" s="1"/>
  <c r="BC15" i="2"/>
  <c r="BC10" i="4" s="1"/>
  <c r="BC10" i="5" s="1"/>
  <c r="BD15" i="2"/>
  <c r="BD10" i="4" s="1"/>
  <c r="BD10" i="5" s="1"/>
  <c r="BE15" i="2"/>
  <c r="BE10" i="4" s="1"/>
  <c r="BE10" i="5" s="1"/>
  <c r="BF15" i="2"/>
  <c r="BF10" i="4" s="1"/>
  <c r="BF10" i="5" s="1"/>
  <c r="BG15" i="2"/>
  <c r="BG10" i="4" s="1"/>
  <c r="BG10" i="5" s="1"/>
  <c r="BH15" i="2"/>
  <c r="BH10" i="4" s="1"/>
  <c r="BH10" i="5" s="1"/>
  <c r="BI15" i="2"/>
  <c r="BI10" i="4" s="1"/>
  <c r="BI10" i="5" s="1"/>
  <c r="BJ15" i="2"/>
  <c r="BJ10" i="4" s="1"/>
  <c r="BJ10" i="5" s="1"/>
  <c r="BK15" i="2"/>
  <c r="BK10" i="4" s="1"/>
  <c r="BK10" i="5" s="1"/>
  <c r="BL15" i="2"/>
  <c r="BL10" i="4" s="1"/>
  <c r="BL10" i="5" s="1"/>
  <c r="BM15" i="2"/>
  <c r="BM10" i="4" s="1"/>
  <c r="BM10" i="5" s="1"/>
  <c r="BN15" i="2"/>
  <c r="BN10" i="4" s="1"/>
  <c r="BN10" i="5" s="1"/>
  <c r="BO15" i="2"/>
  <c r="BO10" i="4" s="1"/>
  <c r="BO10" i="5" s="1"/>
  <c r="BP15" i="2"/>
  <c r="BP10" i="4" s="1"/>
  <c r="BP10" i="5" s="1"/>
  <c r="BQ15" i="2"/>
  <c r="BQ10" i="4" s="1"/>
  <c r="BQ10" i="5" s="1"/>
  <c r="BR15" i="2"/>
  <c r="BR10" i="4" s="1"/>
  <c r="BR10" i="5" s="1"/>
  <c r="BS15" i="2"/>
  <c r="BS10" i="4" s="1"/>
  <c r="BS10" i="5" s="1"/>
  <c r="BT15" i="2"/>
  <c r="BT10" i="4" s="1"/>
  <c r="BT10" i="5" s="1"/>
  <c r="BU15" i="2"/>
  <c r="BU10" i="4" s="1"/>
  <c r="BU10" i="5" s="1"/>
  <c r="BV15" i="2"/>
  <c r="BV10" i="4" s="1"/>
  <c r="BV10" i="5" s="1"/>
  <c r="BW15" i="2"/>
  <c r="BW10" i="4" s="1"/>
  <c r="BW10" i="5" s="1"/>
  <c r="BX15" i="2"/>
  <c r="BX10" i="4" s="1"/>
  <c r="BX10" i="5" s="1"/>
  <c r="BY15" i="2"/>
  <c r="BY10" i="4" s="1"/>
  <c r="BY10" i="5" s="1"/>
  <c r="BZ15" i="2"/>
  <c r="BZ10" i="4" s="1"/>
  <c r="BZ10" i="5" s="1"/>
  <c r="CA15" i="2"/>
  <c r="CA10" i="4" s="1"/>
  <c r="CA10" i="5" s="1"/>
  <c r="CB15" i="2"/>
  <c r="CB10" i="4" s="1"/>
  <c r="CB10" i="5" s="1"/>
  <c r="CC15" i="2"/>
  <c r="CC10" i="4" s="1"/>
  <c r="CC10" i="5" s="1"/>
  <c r="C16" i="2"/>
  <c r="C11" i="4" s="1"/>
  <c r="C11" i="5" s="1"/>
  <c r="D16" i="2"/>
  <c r="D11" i="4" s="1"/>
  <c r="D11" i="5" s="1"/>
  <c r="E16" i="2"/>
  <c r="E11" i="4" s="1"/>
  <c r="E11" i="5" s="1"/>
  <c r="F16" i="2"/>
  <c r="F11" i="4" s="1"/>
  <c r="F11" i="5" s="1"/>
  <c r="G16" i="2"/>
  <c r="G11" i="4" s="1"/>
  <c r="G11" i="5" s="1"/>
  <c r="H16" i="2"/>
  <c r="H11" i="4" s="1"/>
  <c r="H11" i="5" s="1"/>
  <c r="I16" i="2"/>
  <c r="I11" i="4" s="1"/>
  <c r="I11" i="5" s="1"/>
  <c r="J16" i="2"/>
  <c r="J11" i="4" s="1"/>
  <c r="J11" i="5" s="1"/>
  <c r="K16" i="2"/>
  <c r="K11" i="4" s="1"/>
  <c r="K11" i="5" s="1"/>
  <c r="L16" i="2"/>
  <c r="L11" i="4" s="1"/>
  <c r="L11" i="5" s="1"/>
  <c r="M16" i="2"/>
  <c r="M11" i="4" s="1"/>
  <c r="M11" i="5" s="1"/>
  <c r="N16" i="2"/>
  <c r="N11" i="4" s="1"/>
  <c r="N11" i="5" s="1"/>
  <c r="O16" i="2"/>
  <c r="O11" i="4" s="1"/>
  <c r="O11" i="5" s="1"/>
  <c r="P16" i="2"/>
  <c r="P11" i="4" s="1"/>
  <c r="P11" i="5" s="1"/>
  <c r="Q16" i="2"/>
  <c r="Q11" i="4" s="1"/>
  <c r="Q11" i="5" s="1"/>
  <c r="R16" i="2"/>
  <c r="R11" i="4" s="1"/>
  <c r="R11" i="5" s="1"/>
  <c r="S16" i="2"/>
  <c r="S11" i="4" s="1"/>
  <c r="S11" i="5" s="1"/>
  <c r="T16" i="2"/>
  <c r="T11" i="4" s="1"/>
  <c r="T11" i="5" s="1"/>
  <c r="U16" i="2"/>
  <c r="U11" i="4" s="1"/>
  <c r="U11" i="5" s="1"/>
  <c r="V16" i="2"/>
  <c r="V11" i="4" s="1"/>
  <c r="V11" i="5" s="1"/>
  <c r="W16" i="2"/>
  <c r="W11" i="4" s="1"/>
  <c r="W11" i="5" s="1"/>
  <c r="X16" i="2"/>
  <c r="X11" i="4" s="1"/>
  <c r="X11" i="5" s="1"/>
  <c r="Y16" i="2"/>
  <c r="Y11" i="4" s="1"/>
  <c r="Y11" i="5" s="1"/>
  <c r="Z16" i="2"/>
  <c r="Z11" i="4" s="1"/>
  <c r="Z11" i="5" s="1"/>
  <c r="AA16" i="2"/>
  <c r="AA11" i="4" s="1"/>
  <c r="AA11" i="5" s="1"/>
  <c r="AB16" i="2"/>
  <c r="AB11" i="4" s="1"/>
  <c r="AB11" i="5" s="1"/>
  <c r="AC16" i="2"/>
  <c r="AC11" i="4" s="1"/>
  <c r="AC11" i="5" s="1"/>
  <c r="AD16" i="2"/>
  <c r="AD11" i="4" s="1"/>
  <c r="AD11" i="5" s="1"/>
  <c r="AE16" i="2"/>
  <c r="AE11" i="4" s="1"/>
  <c r="AE11" i="5" s="1"/>
  <c r="AF16" i="2"/>
  <c r="AF11" i="4" s="1"/>
  <c r="AF11" i="5" s="1"/>
  <c r="AG16" i="2"/>
  <c r="AG11" i="4" s="1"/>
  <c r="AG11" i="5" s="1"/>
  <c r="AH16" i="2"/>
  <c r="AH11" i="4" s="1"/>
  <c r="AH11" i="5" s="1"/>
  <c r="AI16" i="2"/>
  <c r="AI11" i="4" s="1"/>
  <c r="AI11" i="5" s="1"/>
  <c r="AJ16" i="2"/>
  <c r="AJ11" i="4" s="1"/>
  <c r="AJ11" i="5" s="1"/>
  <c r="AK16" i="2"/>
  <c r="AK11" i="4" s="1"/>
  <c r="AK11" i="5" s="1"/>
  <c r="AL16" i="2"/>
  <c r="AL11" i="4" s="1"/>
  <c r="AL11" i="5" s="1"/>
  <c r="AM16" i="2"/>
  <c r="AM11" i="4" s="1"/>
  <c r="AM11" i="5" s="1"/>
  <c r="AN16" i="2"/>
  <c r="AN11" i="4" s="1"/>
  <c r="AN11" i="5" s="1"/>
  <c r="AO16" i="2"/>
  <c r="AO11" i="4" s="1"/>
  <c r="AO11" i="5" s="1"/>
  <c r="AP16" i="2"/>
  <c r="AP11" i="4" s="1"/>
  <c r="AP11" i="5" s="1"/>
  <c r="AQ16" i="2"/>
  <c r="AQ11" i="4" s="1"/>
  <c r="AQ11" i="5" s="1"/>
  <c r="AR16" i="2"/>
  <c r="AR11" i="4" s="1"/>
  <c r="AR11" i="5" s="1"/>
  <c r="AS16" i="2"/>
  <c r="AS11" i="4" s="1"/>
  <c r="AS11" i="5" s="1"/>
  <c r="AT16" i="2"/>
  <c r="AT11" i="4" s="1"/>
  <c r="AT11" i="5" s="1"/>
  <c r="AU16" i="2"/>
  <c r="AU11" i="4" s="1"/>
  <c r="AU11" i="5" s="1"/>
  <c r="AV16" i="2"/>
  <c r="AV11" i="4" s="1"/>
  <c r="AV11" i="5" s="1"/>
  <c r="AW16" i="2"/>
  <c r="AW11" i="4" s="1"/>
  <c r="AW11" i="5" s="1"/>
  <c r="AX16" i="2"/>
  <c r="AX11" i="4" s="1"/>
  <c r="AX11" i="5" s="1"/>
  <c r="AY16" i="2"/>
  <c r="AY11" i="4" s="1"/>
  <c r="AY11" i="5" s="1"/>
  <c r="AZ16" i="2"/>
  <c r="AZ11" i="4" s="1"/>
  <c r="AZ11" i="5" s="1"/>
  <c r="BA16" i="2"/>
  <c r="BA11" i="4" s="1"/>
  <c r="BA11" i="5" s="1"/>
  <c r="BB16" i="2"/>
  <c r="BB11" i="4" s="1"/>
  <c r="BB11" i="5" s="1"/>
  <c r="BC16" i="2"/>
  <c r="BC11" i="4" s="1"/>
  <c r="BC11" i="5" s="1"/>
  <c r="BD16" i="2"/>
  <c r="BD11" i="4" s="1"/>
  <c r="BD11" i="5" s="1"/>
  <c r="BE16" i="2"/>
  <c r="BE11" i="4" s="1"/>
  <c r="BE11" i="5" s="1"/>
  <c r="BF16" i="2"/>
  <c r="BF11" i="4" s="1"/>
  <c r="BF11" i="5" s="1"/>
  <c r="BG16" i="2"/>
  <c r="BG11" i="4" s="1"/>
  <c r="BG11" i="5" s="1"/>
  <c r="BH16" i="2"/>
  <c r="BH11" i="4" s="1"/>
  <c r="BH11" i="5" s="1"/>
  <c r="BI16" i="2"/>
  <c r="BI11" i="4" s="1"/>
  <c r="BI11" i="5" s="1"/>
  <c r="BJ16" i="2"/>
  <c r="BJ11" i="4" s="1"/>
  <c r="BJ11" i="5" s="1"/>
  <c r="BK16" i="2"/>
  <c r="BK11" i="4" s="1"/>
  <c r="BK11" i="5" s="1"/>
  <c r="BL16" i="2"/>
  <c r="BL11" i="4" s="1"/>
  <c r="BL11" i="5" s="1"/>
  <c r="BM16" i="2"/>
  <c r="BM11" i="4" s="1"/>
  <c r="BM11" i="5" s="1"/>
  <c r="BN16" i="2"/>
  <c r="BN11" i="4" s="1"/>
  <c r="BN11" i="5" s="1"/>
  <c r="BO16" i="2"/>
  <c r="BO11" i="4" s="1"/>
  <c r="BO11" i="5" s="1"/>
  <c r="BP16" i="2"/>
  <c r="BP11" i="4" s="1"/>
  <c r="BP11" i="5" s="1"/>
  <c r="BQ16" i="2"/>
  <c r="BQ11" i="4" s="1"/>
  <c r="BQ11" i="5" s="1"/>
  <c r="BR16" i="2"/>
  <c r="BR11" i="4" s="1"/>
  <c r="BR11" i="5" s="1"/>
  <c r="BS16" i="2"/>
  <c r="BS11" i="4" s="1"/>
  <c r="BS11" i="5" s="1"/>
  <c r="BT16" i="2"/>
  <c r="BT11" i="4" s="1"/>
  <c r="BT11" i="5" s="1"/>
  <c r="BU16" i="2"/>
  <c r="BU11" i="4" s="1"/>
  <c r="BU11" i="5" s="1"/>
  <c r="BV16" i="2"/>
  <c r="BV11" i="4" s="1"/>
  <c r="BV11" i="5" s="1"/>
  <c r="BW16" i="2"/>
  <c r="BW11" i="4" s="1"/>
  <c r="BW11" i="5" s="1"/>
  <c r="BX16" i="2"/>
  <c r="BX11" i="4" s="1"/>
  <c r="BX11" i="5" s="1"/>
  <c r="BY16" i="2"/>
  <c r="BY11" i="4" s="1"/>
  <c r="BY11" i="5" s="1"/>
  <c r="BZ16" i="2"/>
  <c r="BZ11" i="4" s="1"/>
  <c r="BZ11" i="5" s="1"/>
  <c r="CA16" i="2"/>
  <c r="CA11" i="4" s="1"/>
  <c r="CA11" i="5" s="1"/>
  <c r="CB16" i="2"/>
  <c r="CB11" i="4" s="1"/>
  <c r="CB11" i="5" s="1"/>
  <c r="CC16" i="2"/>
  <c r="CC11" i="4" s="1"/>
  <c r="CC11" i="5" s="1"/>
  <c r="C17" i="2"/>
  <c r="C12" i="4" s="1"/>
  <c r="C12" i="5" s="1"/>
  <c r="D17" i="2"/>
  <c r="D12" i="4" s="1"/>
  <c r="D12" i="5" s="1"/>
  <c r="E17" i="2"/>
  <c r="E12" i="4" s="1"/>
  <c r="E12" i="5" s="1"/>
  <c r="F17" i="2"/>
  <c r="F12" i="4" s="1"/>
  <c r="F12" i="5" s="1"/>
  <c r="G17" i="2"/>
  <c r="G12" i="4" s="1"/>
  <c r="G12" i="5" s="1"/>
  <c r="H17" i="2"/>
  <c r="H12" i="4" s="1"/>
  <c r="H12" i="5" s="1"/>
  <c r="I17" i="2"/>
  <c r="I12" i="4" s="1"/>
  <c r="I12" i="5" s="1"/>
  <c r="J17" i="2"/>
  <c r="J12" i="4" s="1"/>
  <c r="J12" i="5" s="1"/>
  <c r="K17" i="2"/>
  <c r="K12" i="4" s="1"/>
  <c r="K12" i="5" s="1"/>
  <c r="L17" i="2"/>
  <c r="L12" i="4" s="1"/>
  <c r="L12" i="5" s="1"/>
  <c r="M17" i="2"/>
  <c r="M12" i="4" s="1"/>
  <c r="M12" i="5" s="1"/>
  <c r="N17" i="2"/>
  <c r="N12" i="4" s="1"/>
  <c r="N12" i="5" s="1"/>
  <c r="O17" i="2"/>
  <c r="O12" i="4" s="1"/>
  <c r="O12" i="5" s="1"/>
  <c r="P17" i="2"/>
  <c r="P12" i="4" s="1"/>
  <c r="P12" i="5" s="1"/>
  <c r="Q17" i="2"/>
  <c r="Q12" i="4" s="1"/>
  <c r="Q12" i="5" s="1"/>
  <c r="R17" i="2"/>
  <c r="R12" i="4" s="1"/>
  <c r="R12" i="5" s="1"/>
  <c r="S17" i="2"/>
  <c r="S12" i="4" s="1"/>
  <c r="S12" i="5" s="1"/>
  <c r="T17" i="2"/>
  <c r="T12" i="4" s="1"/>
  <c r="T12" i="5" s="1"/>
  <c r="U17" i="2"/>
  <c r="U12" i="4" s="1"/>
  <c r="U12" i="5" s="1"/>
  <c r="V17" i="2"/>
  <c r="V12" i="4" s="1"/>
  <c r="V12" i="5" s="1"/>
  <c r="W17" i="2"/>
  <c r="W12" i="4" s="1"/>
  <c r="W12" i="5" s="1"/>
  <c r="X17" i="2"/>
  <c r="X12" i="4" s="1"/>
  <c r="X12" i="5" s="1"/>
  <c r="Y17" i="2"/>
  <c r="Y12" i="4" s="1"/>
  <c r="Y12" i="5" s="1"/>
  <c r="Z17" i="2"/>
  <c r="Z12" i="4" s="1"/>
  <c r="Z12" i="5" s="1"/>
  <c r="AA17" i="2"/>
  <c r="AA12" i="4" s="1"/>
  <c r="AA12" i="5" s="1"/>
  <c r="AB17" i="2"/>
  <c r="AB12" i="4" s="1"/>
  <c r="AB12" i="5" s="1"/>
  <c r="AC17" i="2"/>
  <c r="AC12" i="4" s="1"/>
  <c r="AC12" i="5" s="1"/>
  <c r="AD17" i="2"/>
  <c r="AD12" i="4" s="1"/>
  <c r="AD12" i="5" s="1"/>
  <c r="AE17" i="2"/>
  <c r="AE12" i="4" s="1"/>
  <c r="AE12" i="5" s="1"/>
  <c r="AF17" i="2"/>
  <c r="AF12" i="4" s="1"/>
  <c r="AF12" i="5" s="1"/>
  <c r="AG17" i="2"/>
  <c r="AG12" i="4" s="1"/>
  <c r="AG12" i="5" s="1"/>
  <c r="AH17" i="2"/>
  <c r="AH12" i="4" s="1"/>
  <c r="AH12" i="5" s="1"/>
  <c r="AI17" i="2"/>
  <c r="AI12" i="4" s="1"/>
  <c r="AI12" i="5" s="1"/>
  <c r="AJ17" i="2"/>
  <c r="AJ12" i="4" s="1"/>
  <c r="AJ12" i="5" s="1"/>
  <c r="AK17" i="2"/>
  <c r="AK12" i="4" s="1"/>
  <c r="AK12" i="5" s="1"/>
  <c r="AL17" i="2"/>
  <c r="AL12" i="4" s="1"/>
  <c r="AL12" i="5" s="1"/>
  <c r="AM17" i="2"/>
  <c r="AM12" i="4" s="1"/>
  <c r="AM12" i="5" s="1"/>
  <c r="AN17" i="2"/>
  <c r="AN12" i="4" s="1"/>
  <c r="AN12" i="5" s="1"/>
  <c r="AO17" i="2"/>
  <c r="AO12" i="4" s="1"/>
  <c r="AO12" i="5" s="1"/>
  <c r="AP17" i="2"/>
  <c r="AP12" i="4" s="1"/>
  <c r="AP12" i="5" s="1"/>
  <c r="AQ17" i="2"/>
  <c r="AQ12" i="4" s="1"/>
  <c r="AQ12" i="5" s="1"/>
  <c r="AR17" i="2"/>
  <c r="AR12" i="4" s="1"/>
  <c r="AR12" i="5" s="1"/>
  <c r="AS17" i="2"/>
  <c r="AS12" i="4" s="1"/>
  <c r="AS12" i="5" s="1"/>
  <c r="AT17" i="2"/>
  <c r="AT12" i="4" s="1"/>
  <c r="AT12" i="5" s="1"/>
  <c r="AU17" i="2"/>
  <c r="AU12" i="4" s="1"/>
  <c r="AU12" i="5" s="1"/>
  <c r="AV17" i="2"/>
  <c r="AV12" i="4" s="1"/>
  <c r="AV12" i="5" s="1"/>
  <c r="AW17" i="2"/>
  <c r="AW12" i="4" s="1"/>
  <c r="AW12" i="5" s="1"/>
  <c r="AX17" i="2"/>
  <c r="AX12" i="4" s="1"/>
  <c r="AX12" i="5" s="1"/>
  <c r="AY17" i="2"/>
  <c r="AY12" i="4" s="1"/>
  <c r="AY12" i="5" s="1"/>
  <c r="AZ17" i="2"/>
  <c r="AZ12" i="4" s="1"/>
  <c r="AZ12" i="5" s="1"/>
  <c r="BA17" i="2"/>
  <c r="BA12" i="4" s="1"/>
  <c r="BA12" i="5" s="1"/>
  <c r="BB17" i="2"/>
  <c r="BB12" i="4" s="1"/>
  <c r="BB12" i="5" s="1"/>
  <c r="BC17" i="2"/>
  <c r="BC12" i="4" s="1"/>
  <c r="BC12" i="5" s="1"/>
  <c r="BD17" i="2"/>
  <c r="BD12" i="4" s="1"/>
  <c r="BD12" i="5" s="1"/>
  <c r="BE17" i="2"/>
  <c r="BE12" i="4" s="1"/>
  <c r="BE12" i="5" s="1"/>
  <c r="BF17" i="2"/>
  <c r="BF12" i="4" s="1"/>
  <c r="BF12" i="5" s="1"/>
  <c r="BG17" i="2"/>
  <c r="BG12" i="4" s="1"/>
  <c r="BG12" i="5" s="1"/>
  <c r="BH17" i="2"/>
  <c r="BH12" i="4" s="1"/>
  <c r="BH12" i="5" s="1"/>
  <c r="BI17" i="2"/>
  <c r="BI12" i="4" s="1"/>
  <c r="BI12" i="5" s="1"/>
  <c r="BJ17" i="2"/>
  <c r="BJ12" i="4" s="1"/>
  <c r="BJ12" i="5" s="1"/>
  <c r="BK17" i="2"/>
  <c r="BK12" i="4" s="1"/>
  <c r="BK12" i="5" s="1"/>
  <c r="BL17" i="2"/>
  <c r="BL12" i="4" s="1"/>
  <c r="BL12" i="5" s="1"/>
  <c r="BM17" i="2"/>
  <c r="BM12" i="4" s="1"/>
  <c r="BM12" i="5" s="1"/>
  <c r="BN17" i="2"/>
  <c r="BN12" i="4" s="1"/>
  <c r="BN12" i="5" s="1"/>
  <c r="BO17" i="2"/>
  <c r="BO12" i="4" s="1"/>
  <c r="BO12" i="5" s="1"/>
  <c r="BP17" i="2"/>
  <c r="BP12" i="4" s="1"/>
  <c r="BP12" i="5" s="1"/>
  <c r="BQ17" i="2"/>
  <c r="BQ12" i="4" s="1"/>
  <c r="BQ12" i="5" s="1"/>
  <c r="BR17" i="2"/>
  <c r="BR12" i="4" s="1"/>
  <c r="BR12" i="5" s="1"/>
  <c r="BS17" i="2"/>
  <c r="BS12" i="4" s="1"/>
  <c r="BS12" i="5" s="1"/>
  <c r="BT17" i="2"/>
  <c r="BT12" i="4" s="1"/>
  <c r="BT12" i="5" s="1"/>
  <c r="BU17" i="2"/>
  <c r="BU12" i="4" s="1"/>
  <c r="BU12" i="5" s="1"/>
  <c r="BV17" i="2"/>
  <c r="BV12" i="4" s="1"/>
  <c r="BV12" i="5" s="1"/>
  <c r="BW17" i="2"/>
  <c r="BW12" i="4" s="1"/>
  <c r="BW12" i="5" s="1"/>
  <c r="BX17" i="2"/>
  <c r="BX12" i="4" s="1"/>
  <c r="BX12" i="5" s="1"/>
  <c r="BY17" i="2"/>
  <c r="BY12" i="4" s="1"/>
  <c r="BY12" i="5" s="1"/>
  <c r="BZ17" i="2"/>
  <c r="BZ12" i="4" s="1"/>
  <c r="BZ12" i="5" s="1"/>
  <c r="CA17" i="2"/>
  <c r="CA12" i="4" s="1"/>
  <c r="CA12" i="5" s="1"/>
  <c r="CB17" i="2"/>
  <c r="CB12" i="4" s="1"/>
  <c r="CB12" i="5" s="1"/>
  <c r="CC17" i="2"/>
  <c r="CC12" i="4" s="1"/>
  <c r="CC12" i="5" s="1"/>
  <c r="C18" i="2"/>
  <c r="C7" i="4" s="1"/>
  <c r="C7" i="5" s="1"/>
  <c r="D18" i="2"/>
  <c r="D7" i="4" s="1"/>
  <c r="D7" i="5" s="1"/>
  <c r="E18" i="2"/>
  <c r="E7" i="4" s="1"/>
  <c r="E7" i="5" s="1"/>
  <c r="F18" i="2"/>
  <c r="F7" i="4" s="1"/>
  <c r="F7" i="5" s="1"/>
  <c r="G18" i="2"/>
  <c r="G7" i="4" s="1"/>
  <c r="G7" i="5" s="1"/>
  <c r="H18" i="2"/>
  <c r="H7" i="4" s="1"/>
  <c r="H7" i="5" s="1"/>
  <c r="I18" i="2"/>
  <c r="I7" i="4" s="1"/>
  <c r="I7" i="5" s="1"/>
  <c r="J18" i="2"/>
  <c r="J7" i="4" s="1"/>
  <c r="J7" i="5" s="1"/>
  <c r="K18" i="2"/>
  <c r="K7" i="4" s="1"/>
  <c r="K7" i="5" s="1"/>
  <c r="L18" i="2"/>
  <c r="L7" i="4" s="1"/>
  <c r="L7" i="5" s="1"/>
  <c r="M18" i="2"/>
  <c r="M7" i="4" s="1"/>
  <c r="M7" i="5" s="1"/>
  <c r="N18" i="2"/>
  <c r="N7" i="4" s="1"/>
  <c r="N7" i="5" s="1"/>
  <c r="O18" i="2"/>
  <c r="O7" i="4" s="1"/>
  <c r="O7" i="5" s="1"/>
  <c r="P18" i="2"/>
  <c r="P7" i="4" s="1"/>
  <c r="P7" i="5" s="1"/>
  <c r="Q18" i="2"/>
  <c r="Q7" i="4" s="1"/>
  <c r="Q7" i="5" s="1"/>
  <c r="R18" i="2"/>
  <c r="R7" i="4" s="1"/>
  <c r="R7" i="5" s="1"/>
  <c r="S18" i="2"/>
  <c r="S7" i="4" s="1"/>
  <c r="S7" i="5" s="1"/>
  <c r="T18" i="2"/>
  <c r="T7" i="4" s="1"/>
  <c r="T7" i="5" s="1"/>
  <c r="U18" i="2"/>
  <c r="U7" i="4" s="1"/>
  <c r="U7" i="5" s="1"/>
  <c r="V18" i="2"/>
  <c r="V7" i="4" s="1"/>
  <c r="V7" i="5" s="1"/>
  <c r="W18" i="2"/>
  <c r="W7" i="4" s="1"/>
  <c r="W7" i="5" s="1"/>
  <c r="X18" i="2"/>
  <c r="X7" i="4" s="1"/>
  <c r="X7" i="5" s="1"/>
  <c r="Y18" i="2"/>
  <c r="Y7" i="4" s="1"/>
  <c r="Y7" i="5" s="1"/>
  <c r="Z18" i="2"/>
  <c r="Z7" i="4" s="1"/>
  <c r="Z7" i="5" s="1"/>
  <c r="AA18" i="2"/>
  <c r="AA7" i="4" s="1"/>
  <c r="AA7" i="5" s="1"/>
  <c r="AB18" i="2"/>
  <c r="AB7" i="4" s="1"/>
  <c r="AB7" i="5" s="1"/>
  <c r="AC18" i="2"/>
  <c r="AC7" i="4" s="1"/>
  <c r="AC7" i="5" s="1"/>
  <c r="AD18" i="2"/>
  <c r="AD7" i="4" s="1"/>
  <c r="AD7" i="5" s="1"/>
  <c r="AE18" i="2"/>
  <c r="AE7" i="4" s="1"/>
  <c r="AE7" i="5" s="1"/>
  <c r="AF18" i="2"/>
  <c r="AF7" i="4" s="1"/>
  <c r="AF7" i="5" s="1"/>
  <c r="AG18" i="2"/>
  <c r="AG7" i="4" s="1"/>
  <c r="AG7" i="5" s="1"/>
  <c r="AH18" i="2"/>
  <c r="AH7" i="4" s="1"/>
  <c r="AH7" i="5" s="1"/>
  <c r="AI18" i="2"/>
  <c r="AI7" i="4" s="1"/>
  <c r="AI7" i="5" s="1"/>
  <c r="AJ18" i="2"/>
  <c r="AJ7" i="4" s="1"/>
  <c r="AJ7" i="5" s="1"/>
  <c r="AK18" i="2"/>
  <c r="AK7" i="4" s="1"/>
  <c r="AK7" i="5" s="1"/>
  <c r="AL18" i="2"/>
  <c r="AL7" i="4" s="1"/>
  <c r="AL7" i="5" s="1"/>
  <c r="AM18" i="2"/>
  <c r="AM7" i="4" s="1"/>
  <c r="AM7" i="5" s="1"/>
  <c r="AN18" i="2"/>
  <c r="AN7" i="4" s="1"/>
  <c r="AN7" i="5" s="1"/>
  <c r="AO18" i="2"/>
  <c r="AO7" i="4" s="1"/>
  <c r="AO7" i="5" s="1"/>
  <c r="AP18" i="2"/>
  <c r="AP7" i="4" s="1"/>
  <c r="AP7" i="5" s="1"/>
  <c r="AQ18" i="2"/>
  <c r="AQ7" i="4" s="1"/>
  <c r="AQ7" i="5" s="1"/>
  <c r="AR18" i="2"/>
  <c r="AR7" i="4" s="1"/>
  <c r="AR7" i="5" s="1"/>
  <c r="AS18" i="2"/>
  <c r="AS7" i="4" s="1"/>
  <c r="AS7" i="5" s="1"/>
  <c r="AT18" i="2"/>
  <c r="AT7" i="4" s="1"/>
  <c r="AT7" i="5" s="1"/>
  <c r="AU18" i="2"/>
  <c r="AU7" i="4" s="1"/>
  <c r="AU7" i="5" s="1"/>
  <c r="AV18" i="2"/>
  <c r="AV7" i="4" s="1"/>
  <c r="AV7" i="5" s="1"/>
  <c r="AW18" i="2"/>
  <c r="AW7" i="4" s="1"/>
  <c r="AW7" i="5" s="1"/>
  <c r="AX18" i="2"/>
  <c r="AX7" i="4" s="1"/>
  <c r="AX7" i="5" s="1"/>
  <c r="AY18" i="2"/>
  <c r="AY7" i="4" s="1"/>
  <c r="AY7" i="5" s="1"/>
  <c r="AZ18" i="2"/>
  <c r="AZ7" i="4" s="1"/>
  <c r="AZ7" i="5" s="1"/>
  <c r="BA18" i="2"/>
  <c r="BA7" i="4" s="1"/>
  <c r="BA7" i="5" s="1"/>
  <c r="BB18" i="2"/>
  <c r="BB7" i="4" s="1"/>
  <c r="BB7" i="5" s="1"/>
  <c r="BC18" i="2"/>
  <c r="BC7" i="4" s="1"/>
  <c r="BC7" i="5" s="1"/>
  <c r="BD18" i="2"/>
  <c r="BD7" i="4" s="1"/>
  <c r="BD7" i="5" s="1"/>
  <c r="BE18" i="2"/>
  <c r="BE7" i="4" s="1"/>
  <c r="BE7" i="5" s="1"/>
  <c r="BF18" i="2"/>
  <c r="BF7" i="4" s="1"/>
  <c r="BF7" i="5" s="1"/>
  <c r="BG18" i="2"/>
  <c r="BG7" i="4" s="1"/>
  <c r="BG7" i="5" s="1"/>
  <c r="BH18" i="2"/>
  <c r="BH7" i="4" s="1"/>
  <c r="BH7" i="5" s="1"/>
  <c r="BI18" i="2"/>
  <c r="BI7" i="4" s="1"/>
  <c r="BI7" i="5" s="1"/>
  <c r="BJ18" i="2"/>
  <c r="BJ7" i="4" s="1"/>
  <c r="BJ7" i="5" s="1"/>
  <c r="BK18" i="2"/>
  <c r="BK7" i="4" s="1"/>
  <c r="BK7" i="5" s="1"/>
  <c r="BL18" i="2"/>
  <c r="BL7" i="4" s="1"/>
  <c r="BL7" i="5" s="1"/>
  <c r="BM18" i="2"/>
  <c r="BM7" i="4" s="1"/>
  <c r="BM7" i="5" s="1"/>
  <c r="BN18" i="2"/>
  <c r="BN7" i="4" s="1"/>
  <c r="BN7" i="5" s="1"/>
  <c r="BO18" i="2"/>
  <c r="BO7" i="4" s="1"/>
  <c r="BO7" i="5" s="1"/>
  <c r="BP18" i="2"/>
  <c r="BP7" i="4" s="1"/>
  <c r="BP7" i="5" s="1"/>
  <c r="BQ18" i="2"/>
  <c r="BQ7" i="4" s="1"/>
  <c r="BQ7" i="5" s="1"/>
  <c r="BR18" i="2"/>
  <c r="BR7" i="4" s="1"/>
  <c r="BR7" i="5" s="1"/>
  <c r="BS18" i="2"/>
  <c r="BS7" i="4" s="1"/>
  <c r="BS7" i="5" s="1"/>
  <c r="BT18" i="2"/>
  <c r="BT7" i="4" s="1"/>
  <c r="BT7" i="5" s="1"/>
  <c r="BU18" i="2"/>
  <c r="BU7" i="4" s="1"/>
  <c r="BU7" i="5" s="1"/>
  <c r="BV18" i="2"/>
  <c r="BV7" i="4" s="1"/>
  <c r="BV7" i="5" s="1"/>
  <c r="BW18" i="2"/>
  <c r="BW7" i="4" s="1"/>
  <c r="BW7" i="5" s="1"/>
  <c r="BX18" i="2"/>
  <c r="BX7" i="4" s="1"/>
  <c r="BX7" i="5" s="1"/>
  <c r="BY18" i="2"/>
  <c r="BY7" i="4" s="1"/>
  <c r="BY7" i="5" s="1"/>
  <c r="BZ18" i="2"/>
  <c r="BZ7" i="4" s="1"/>
  <c r="BZ7" i="5" s="1"/>
  <c r="CA18" i="2"/>
  <c r="CA7" i="4" s="1"/>
  <c r="CA7" i="5" s="1"/>
  <c r="CB18" i="2"/>
  <c r="CB7" i="4" s="1"/>
  <c r="CB7" i="5" s="1"/>
  <c r="CC18" i="2"/>
  <c r="CC7" i="4" s="1"/>
  <c r="CC7" i="5" s="1"/>
  <c r="C19" i="2"/>
  <c r="C28" i="4" s="1"/>
  <c r="C28" i="5" s="1"/>
  <c r="D19" i="2"/>
  <c r="D28" i="4" s="1"/>
  <c r="D28" i="5" s="1"/>
  <c r="E19" i="2"/>
  <c r="E28" i="4" s="1"/>
  <c r="E28" i="5" s="1"/>
  <c r="F19" i="2"/>
  <c r="F28" i="4" s="1"/>
  <c r="F28" i="5" s="1"/>
  <c r="G19" i="2"/>
  <c r="G28" i="4" s="1"/>
  <c r="G28" i="5" s="1"/>
  <c r="H19" i="2"/>
  <c r="H28" i="4" s="1"/>
  <c r="H28" i="5" s="1"/>
  <c r="I19" i="2"/>
  <c r="I28" i="4" s="1"/>
  <c r="I28" i="5" s="1"/>
  <c r="J19" i="2"/>
  <c r="J28" i="4" s="1"/>
  <c r="J28" i="5" s="1"/>
  <c r="K19" i="2"/>
  <c r="K28" i="4" s="1"/>
  <c r="K28" i="5" s="1"/>
  <c r="L19" i="2"/>
  <c r="L28" i="4" s="1"/>
  <c r="L28" i="5" s="1"/>
  <c r="M19" i="2"/>
  <c r="M28" i="4" s="1"/>
  <c r="M28" i="5" s="1"/>
  <c r="N19" i="2"/>
  <c r="N28" i="4" s="1"/>
  <c r="N28" i="5" s="1"/>
  <c r="O19" i="2"/>
  <c r="O28" i="4" s="1"/>
  <c r="O28" i="5" s="1"/>
  <c r="P19" i="2"/>
  <c r="P28" i="4" s="1"/>
  <c r="P28" i="5" s="1"/>
  <c r="Q19" i="2"/>
  <c r="Q28" i="4" s="1"/>
  <c r="Q28" i="5" s="1"/>
  <c r="R19" i="2"/>
  <c r="R28" i="4" s="1"/>
  <c r="R28" i="5" s="1"/>
  <c r="S19" i="2"/>
  <c r="S28" i="4" s="1"/>
  <c r="S28" i="5" s="1"/>
  <c r="T19" i="2"/>
  <c r="T28" i="4" s="1"/>
  <c r="T28" i="5" s="1"/>
  <c r="U19" i="2"/>
  <c r="U28" i="4" s="1"/>
  <c r="U28" i="5" s="1"/>
  <c r="V19" i="2"/>
  <c r="V28" i="4" s="1"/>
  <c r="V28" i="5" s="1"/>
  <c r="W19" i="2"/>
  <c r="W28" i="4" s="1"/>
  <c r="W28" i="5" s="1"/>
  <c r="X19" i="2"/>
  <c r="X28" i="4" s="1"/>
  <c r="X28" i="5" s="1"/>
  <c r="Y19" i="2"/>
  <c r="Y28" i="4" s="1"/>
  <c r="Y28" i="5" s="1"/>
  <c r="Z19" i="2"/>
  <c r="Z28" i="4" s="1"/>
  <c r="Z28" i="5" s="1"/>
  <c r="AA19" i="2"/>
  <c r="AA28" i="4" s="1"/>
  <c r="AA28" i="5" s="1"/>
  <c r="AB19" i="2"/>
  <c r="AB28" i="4" s="1"/>
  <c r="AB28" i="5" s="1"/>
  <c r="AC19" i="2"/>
  <c r="AC28" i="4" s="1"/>
  <c r="AC28" i="5" s="1"/>
  <c r="AD19" i="2"/>
  <c r="AD28" i="4" s="1"/>
  <c r="AD28" i="5" s="1"/>
  <c r="AE19" i="2"/>
  <c r="AE28" i="4" s="1"/>
  <c r="AE28" i="5" s="1"/>
  <c r="AF19" i="2"/>
  <c r="AF28" i="4" s="1"/>
  <c r="AF28" i="5" s="1"/>
  <c r="AG19" i="2"/>
  <c r="AG28" i="4" s="1"/>
  <c r="AG28" i="5" s="1"/>
  <c r="AH19" i="2"/>
  <c r="AH28" i="4" s="1"/>
  <c r="AH28" i="5" s="1"/>
  <c r="AI19" i="2"/>
  <c r="AI28" i="4" s="1"/>
  <c r="AI28" i="5" s="1"/>
  <c r="AJ19" i="2"/>
  <c r="AJ28" i="4" s="1"/>
  <c r="AJ28" i="5" s="1"/>
  <c r="AK19" i="2"/>
  <c r="AK28" i="4" s="1"/>
  <c r="AK28" i="5" s="1"/>
  <c r="AL19" i="2"/>
  <c r="AL28" i="4" s="1"/>
  <c r="AL28" i="5" s="1"/>
  <c r="AM19" i="2"/>
  <c r="AM28" i="4" s="1"/>
  <c r="AM28" i="5" s="1"/>
  <c r="AN19" i="2"/>
  <c r="AN28" i="4" s="1"/>
  <c r="AN28" i="5" s="1"/>
  <c r="AO19" i="2"/>
  <c r="AO28" i="4" s="1"/>
  <c r="AO28" i="5" s="1"/>
  <c r="AP19" i="2"/>
  <c r="AP28" i="4" s="1"/>
  <c r="AP28" i="5" s="1"/>
  <c r="AQ19" i="2"/>
  <c r="AQ28" i="4" s="1"/>
  <c r="AQ28" i="5" s="1"/>
  <c r="AR19" i="2"/>
  <c r="AR28" i="4" s="1"/>
  <c r="AR28" i="5" s="1"/>
  <c r="AS19" i="2"/>
  <c r="AS28" i="4" s="1"/>
  <c r="AS28" i="5" s="1"/>
  <c r="AT19" i="2"/>
  <c r="AT28" i="4" s="1"/>
  <c r="AT28" i="5" s="1"/>
  <c r="AU19" i="2"/>
  <c r="AU28" i="4" s="1"/>
  <c r="AU28" i="5" s="1"/>
  <c r="AV19" i="2"/>
  <c r="AV28" i="4" s="1"/>
  <c r="AV28" i="5" s="1"/>
  <c r="AW19" i="2"/>
  <c r="AW28" i="4" s="1"/>
  <c r="AW28" i="5" s="1"/>
  <c r="AX19" i="2"/>
  <c r="AX28" i="4" s="1"/>
  <c r="AX28" i="5" s="1"/>
  <c r="AY19" i="2"/>
  <c r="AY28" i="4" s="1"/>
  <c r="AY28" i="5" s="1"/>
  <c r="AZ19" i="2"/>
  <c r="AZ28" i="4" s="1"/>
  <c r="AZ28" i="5" s="1"/>
  <c r="BA19" i="2"/>
  <c r="BA28" i="4" s="1"/>
  <c r="BA28" i="5" s="1"/>
  <c r="BB19" i="2"/>
  <c r="BB28" i="4" s="1"/>
  <c r="BB28" i="5" s="1"/>
  <c r="BC19" i="2"/>
  <c r="BC28" i="4" s="1"/>
  <c r="BC28" i="5" s="1"/>
  <c r="BD19" i="2"/>
  <c r="BD28" i="4" s="1"/>
  <c r="BD28" i="5" s="1"/>
  <c r="BE19" i="2"/>
  <c r="BE28" i="4" s="1"/>
  <c r="BE28" i="5" s="1"/>
  <c r="BF19" i="2"/>
  <c r="BF28" i="4" s="1"/>
  <c r="BF28" i="5" s="1"/>
  <c r="BG19" i="2"/>
  <c r="BG28" i="4" s="1"/>
  <c r="BG28" i="5" s="1"/>
  <c r="BH19" i="2"/>
  <c r="BH28" i="4" s="1"/>
  <c r="BH28" i="5" s="1"/>
  <c r="BI19" i="2"/>
  <c r="BI28" i="4" s="1"/>
  <c r="BI28" i="5" s="1"/>
  <c r="BJ19" i="2"/>
  <c r="BJ28" i="4" s="1"/>
  <c r="BJ28" i="5" s="1"/>
  <c r="BK19" i="2"/>
  <c r="BK28" i="4" s="1"/>
  <c r="BK28" i="5" s="1"/>
  <c r="BL19" i="2"/>
  <c r="BL28" i="4" s="1"/>
  <c r="BL28" i="5" s="1"/>
  <c r="BM19" i="2"/>
  <c r="BM28" i="4" s="1"/>
  <c r="BM28" i="5" s="1"/>
  <c r="BN19" i="2"/>
  <c r="BN28" i="4" s="1"/>
  <c r="BN28" i="5" s="1"/>
  <c r="BO19" i="2"/>
  <c r="BO28" i="4" s="1"/>
  <c r="BO28" i="5" s="1"/>
  <c r="BP19" i="2"/>
  <c r="BP28" i="4" s="1"/>
  <c r="BP28" i="5" s="1"/>
  <c r="BQ19" i="2"/>
  <c r="BQ28" i="4" s="1"/>
  <c r="BQ28" i="5" s="1"/>
  <c r="BR19" i="2"/>
  <c r="BR28" i="4" s="1"/>
  <c r="BR28" i="5" s="1"/>
  <c r="BS19" i="2"/>
  <c r="BS28" i="4" s="1"/>
  <c r="BS28" i="5" s="1"/>
  <c r="BT19" i="2"/>
  <c r="BT28" i="4" s="1"/>
  <c r="BT28" i="5" s="1"/>
  <c r="BU19" i="2"/>
  <c r="BU28" i="4" s="1"/>
  <c r="BU28" i="5" s="1"/>
  <c r="BV19" i="2"/>
  <c r="BV28" i="4" s="1"/>
  <c r="BV28" i="5" s="1"/>
  <c r="BW19" i="2"/>
  <c r="BW28" i="4" s="1"/>
  <c r="BW28" i="5" s="1"/>
  <c r="BX19" i="2"/>
  <c r="BX28" i="4" s="1"/>
  <c r="BX28" i="5" s="1"/>
  <c r="BY19" i="2"/>
  <c r="BY28" i="4" s="1"/>
  <c r="BY28" i="5" s="1"/>
  <c r="BZ19" i="2"/>
  <c r="BZ28" i="4" s="1"/>
  <c r="BZ28" i="5" s="1"/>
  <c r="CA19" i="2"/>
  <c r="CA28" i="4" s="1"/>
  <c r="CA28" i="5" s="1"/>
  <c r="CB19" i="2"/>
  <c r="CB28" i="4" s="1"/>
  <c r="CB28" i="5" s="1"/>
  <c r="CC19" i="2"/>
  <c r="CC28" i="4" s="1"/>
  <c r="CC28" i="5" s="1"/>
  <c r="C20" i="2"/>
  <c r="C37" i="4" s="1"/>
  <c r="C37" i="5" s="1"/>
  <c r="D20" i="2"/>
  <c r="D37" i="4" s="1"/>
  <c r="D37" i="5" s="1"/>
  <c r="E20" i="2"/>
  <c r="E37" i="4" s="1"/>
  <c r="E37" i="5" s="1"/>
  <c r="F20" i="2"/>
  <c r="F37" i="4" s="1"/>
  <c r="F37" i="5" s="1"/>
  <c r="G20" i="2"/>
  <c r="G37" i="4" s="1"/>
  <c r="G37" i="5" s="1"/>
  <c r="H20" i="2"/>
  <c r="H37" i="4" s="1"/>
  <c r="H37" i="5" s="1"/>
  <c r="I20" i="2"/>
  <c r="I37" i="4" s="1"/>
  <c r="I37" i="5" s="1"/>
  <c r="J20" i="2"/>
  <c r="J37" i="4" s="1"/>
  <c r="J37" i="5" s="1"/>
  <c r="K20" i="2"/>
  <c r="K37" i="4" s="1"/>
  <c r="K37" i="5" s="1"/>
  <c r="L20" i="2"/>
  <c r="L37" i="4" s="1"/>
  <c r="L37" i="5" s="1"/>
  <c r="M20" i="2"/>
  <c r="M37" i="4" s="1"/>
  <c r="M37" i="5" s="1"/>
  <c r="N20" i="2"/>
  <c r="N37" i="4" s="1"/>
  <c r="N37" i="5" s="1"/>
  <c r="O20" i="2"/>
  <c r="O37" i="4" s="1"/>
  <c r="O37" i="5" s="1"/>
  <c r="P20" i="2"/>
  <c r="P37" i="4" s="1"/>
  <c r="P37" i="5" s="1"/>
  <c r="Q20" i="2"/>
  <c r="Q37" i="4" s="1"/>
  <c r="Q37" i="5" s="1"/>
  <c r="R20" i="2"/>
  <c r="R37" i="4" s="1"/>
  <c r="R37" i="5" s="1"/>
  <c r="S20" i="2"/>
  <c r="S37" i="4" s="1"/>
  <c r="S37" i="5" s="1"/>
  <c r="T20" i="2"/>
  <c r="T37" i="4" s="1"/>
  <c r="T37" i="5" s="1"/>
  <c r="U20" i="2"/>
  <c r="U37" i="4" s="1"/>
  <c r="U37" i="5" s="1"/>
  <c r="V20" i="2"/>
  <c r="V37" i="4" s="1"/>
  <c r="V37" i="5" s="1"/>
  <c r="W20" i="2"/>
  <c r="W37" i="4" s="1"/>
  <c r="W37" i="5" s="1"/>
  <c r="X20" i="2"/>
  <c r="X37" i="4" s="1"/>
  <c r="X37" i="5" s="1"/>
  <c r="Y20" i="2"/>
  <c r="Y37" i="4" s="1"/>
  <c r="Y37" i="5" s="1"/>
  <c r="Z20" i="2"/>
  <c r="Z37" i="4" s="1"/>
  <c r="Z37" i="5" s="1"/>
  <c r="AA20" i="2"/>
  <c r="AA37" i="4" s="1"/>
  <c r="AA37" i="5" s="1"/>
  <c r="AB20" i="2"/>
  <c r="AB37" i="4" s="1"/>
  <c r="AB37" i="5" s="1"/>
  <c r="AC20" i="2"/>
  <c r="AC37" i="4" s="1"/>
  <c r="AC37" i="5" s="1"/>
  <c r="AD20" i="2"/>
  <c r="AD37" i="4" s="1"/>
  <c r="AD37" i="5" s="1"/>
  <c r="AE20" i="2"/>
  <c r="AE37" i="4" s="1"/>
  <c r="AE37" i="5" s="1"/>
  <c r="AF20" i="2"/>
  <c r="AF37" i="4" s="1"/>
  <c r="AF37" i="5" s="1"/>
  <c r="AG20" i="2"/>
  <c r="AG37" i="4" s="1"/>
  <c r="AG37" i="5" s="1"/>
  <c r="AH20" i="2"/>
  <c r="AH37" i="4" s="1"/>
  <c r="AH37" i="5" s="1"/>
  <c r="AI20" i="2"/>
  <c r="AI37" i="4" s="1"/>
  <c r="AI37" i="5" s="1"/>
  <c r="AJ20" i="2"/>
  <c r="AJ37" i="4" s="1"/>
  <c r="AJ37" i="5" s="1"/>
  <c r="AK20" i="2"/>
  <c r="AK37" i="4" s="1"/>
  <c r="AK37" i="5" s="1"/>
  <c r="AL20" i="2"/>
  <c r="AL37" i="4" s="1"/>
  <c r="AL37" i="5" s="1"/>
  <c r="AM20" i="2"/>
  <c r="AM37" i="4" s="1"/>
  <c r="AM37" i="5" s="1"/>
  <c r="AN20" i="2"/>
  <c r="AN37" i="4" s="1"/>
  <c r="AN37" i="5" s="1"/>
  <c r="AO20" i="2"/>
  <c r="AO37" i="4" s="1"/>
  <c r="AO37" i="5" s="1"/>
  <c r="AP20" i="2"/>
  <c r="AP37" i="4" s="1"/>
  <c r="AP37" i="5" s="1"/>
  <c r="AQ20" i="2"/>
  <c r="AQ37" i="4" s="1"/>
  <c r="AQ37" i="5" s="1"/>
  <c r="AR20" i="2"/>
  <c r="AR37" i="4" s="1"/>
  <c r="AR37" i="5" s="1"/>
  <c r="AS20" i="2"/>
  <c r="AS37" i="4" s="1"/>
  <c r="AS37" i="5" s="1"/>
  <c r="AT20" i="2"/>
  <c r="AT37" i="4" s="1"/>
  <c r="AT37" i="5" s="1"/>
  <c r="AU20" i="2"/>
  <c r="AU37" i="4" s="1"/>
  <c r="AU37" i="5" s="1"/>
  <c r="AV20" i="2"/>
  <c r="AV37" i="4" s="1"/>
  <c r="AV37" i="5" s="1"/>
  <c r="AW20" i="2"/>
  <c r="AW37" i="4" s="1"/>
  <c r="AW37" i="5" s="1"/>
  <c r="AX20" i="2"/>
  <c r="AX37" i="4" s="1"/>
  <c r="AX37" i="5" s="1"/>
  <c r="AY20" i="2"/>
  <c r="AY37" i="4" s="1"/>
  <c r="AY37" i="5" s="1"/>
  <c r="AZ20" i="2"/>
  <c r="AZ37" i="4" s="1"/>
  <c r="AZ37" i="5" s="1"/>
  <c r="BA20" i="2"/>
  <c r="BA37" i="4" s="1"/>
  <c r="BA37" i="5" s="1"/>
  <c r="BB20" i="2"/>
  <c r="BB37" i="4" s="1"/>
  <c r="BB37" i="5" s="1"/>
  <c r="BC20" i="2"/>
  <c r="BC37" i="4" s="1"/>
  <c r="BC37" i="5" s="1"/>
  <c r="BD20" i="2"/>
  <c r="BD37" i="4" s="1"/>
  <c r="BD37" i="5" s="1"/>
  <c r="BE20" i="2"/>
  <c r="BE37" i="4" s="1"/>
  <c r="BE37" i="5" s="1"/>
  <c r="BF20" i="2"/>
  <c r="BF37" i="4" s="1"/>
  <c r="BF37" i="5" s="1"/>
  <c r="BG20" i="2"/>
  <c r="BG37" i="4" s="1"/>
  <c r="BG37" i="5" s="1"/>
  <c r="BH20" i="2"/>
  <c r="BH37" i="4" s="1"/>
  <c r="BH37" i="5" s="1"/>
  <c r="BI20" i="2"/>
  <c r="BI37" i="4" s="1"/>
  <c r="BI37" i="5" s="1"/>
  <c r="BJ20" i="2"/>
  <c r="BJ37" i="4" s="1"/>
  <c r="BJ37" i="5" s="1"/>
  <c r="BK20" i="2"/>
  <c r="BK37" i="4" s="1"/>
  <c r="BK37" i="5" s="1"/>
  <c r="BL20" i="2"/>
  <c r="BL37" i="4" s="1"/>
  <c r="BL37" i="5" s="1"/>
  <c r="BM20" i="2"/>
  <c r="BM37" i="4" s="1"/>
  <c r="BM37" i="5" s="1"/>
  <c r="BN20" i="2"/>
  <c r="BN37" i="4" s="1"/>
  <c r="BN37" i="5" s="1"/>
  <c r="BO20" i="2"/>
  <c r="BO37" i="4" s="1"/>
  <c r="BO37" i="5" s="1"/>
  <c r="BP20" i="2"/>
  <c r="BP37" i="4" s="1"/>
  <c r="BP37" i="5" s="1"/>
  <c r="BQ20" i="2"/>
  <c r="BQ37" i="4" s="1"/>
  <c r="BQ37" i="5" s="1"/>
  <c r="BR20" i="2"/>
  <c r="BR37" i="4" s="1"/>
  <c r="BR37" i="5" s="1"/>
  <c r="BS20" i="2"/>
  <c r="BS37" i="4" s="1"/>
  <c r="BS37" i="5" s="1"/>
  <c r="BT20" i="2"/>
  <c r="BT37" i="4" s="1"/>
  <c r="BT37" i="5" s="1"/>
  <c r="BU20" i="2"/>
  <c r="BU37" i="4" s="1"/>
  <c r="BU37" i="5" s="1"/>
  <c r="BV20" i="2"/>
  <c r="BV37" i="4" s="1"/>
  <c r="BV37" i="5" s="1"/>
  <c r="BW20" i="2"/>
  <c r="BW37" i="4" s="1"/>
  <c r="BW37" i="5" s="1"/>
  <c r="BX20" i="2"/>
  <c r="BX37" i="4" s="1"/>
  <c r="BX37" i="5" s="1"/>
  <c r="BY20" i="2"/>
  <c r="BY37" i="4" s="1"/>
  <c r="BY37" i="5" s="1"/>
  <c r="BZ20" i="2"/>
  <c r="BZ37" i="4" s="1"/>
  <c r="BZ37" i="5" s="1"/>
  <c r="CA20" i="2"/>
  <c r="CA37" i="4" s="1"/>
  <c r="CA37" i="5" s="1"/>
  <c r="CB20" i="2"/>
  <c r="CB37" i="4" s="1"/>
  <c r="CB37" i="5" s="1"/>
  <c r="CC20" i="2"/>
  <c r="CC37" i="4" s="1"/>
  <c r="CC37" i="5" s="1"/>
  <c r="C21" i="2"/>
  <c r="C14" i="4" s="1"/>
  <c r="C14" i="5" s="1"/>
  <c r="D21" i="2"/>
  <c r="D14" i="4" s="1"/>
  <c r="D14" i="5" s="1"/>
  <c r="E21" i="2"/>
  <c r="E14" i="4" s="1"/>
  <c r="E14" i="5" s="1"/>
  <c r="F21" i="2"/>
  <c r="F14" i="4" s="1"/>
  <c r="F14" i="5" s="1"/>
  <c r="G21" i="2"/>
  <c r="G14" i="4" s="1"/>
  <c r="G14" i="5" s="1"/>
  <c r="H21" i="2"/>
  <c r="H14" i="4" s="1"/>
  <c r="H14" i="5" s="1"/>
  <c r="I21" i="2"/>
  <c r="I14" i="4" s="1"/>
  <c r="I14" i="5" s="1"/>
  <c r="J21" i="2"/>
  <c r="J14" i="4" s="1"/>
  <c r="J14" i="5" s="1"/>
  <c r="K21" i="2"/>
  <c r="K14" i="4" s="1"/>
  <c r="K14" i="5" s="1"/>
  <c r="L21" i="2"/>
  <c r="L14" i="4" s="1"/>
  <c r="L14" i="5" s="1"/>
  <c r="M21" i="2"/>
  <c r="M14" i="4" s="1"/>
  <c r="M14" i="5" s="1"/>
  <c r="N21" i="2"/>
  <c r="N14" i="4" s="1"/>
  <c r="N14" i="5" s="1"/>
  <c r="O21" i="2"/>
  <c r="O14" i="4" s="1"/>
  <c r="O14" i="5" s="1"/>
  <c r="P21" i="2"/>
  <c r="P14" i="4" s="1"/>
  <c r="P14" i="5" s="1"/>
  <c r="Q21" i="2"/>
  <c r="Q14" i="4" s="1"/>
  <c r="Q14" i="5" s="1"/>
  <c r="R21" i="2"/>
  <c r="R14" i="4" s="1"/>
  <c r="R14" i="5" s="1"/>
  <c r="S21" i="2"/>
  <c r="S14" i="4" s="1"/>
  <c r="S14" i="5" s="1"/>
  <c r="T21" i="2"/>
  <c r="T14" i="4" s="1"/>
  <c r="T14" i="5" s="1"/>
  <c r="U21" i="2"/>
  <c r="U14" i="4" s="1"/>
  <c r="U14" i="5" s="1"/>
  <c r="V21" i="2"/>
  <c r="V14" i="4" s="1"/>
  <c r="V14" i="5" s="1"/>
  <c r="W21" i="2"/>
  <c r="W14" i="4" s="1"/>
  <c r="W14" i="5" s="1"/>
  <c r="X21" i="2"/>
  <c r="X14" i="4" s="1"/>
  <c r="X14" i="5" s="1"/>
  <c r="Y21" i="2"/>
  <c r="Y14" i="4" s="1"/>
  <c r="Y14" i="5" s="1"/>
  <c r="Z21" i="2"/>
  <c r="Z14" i="4" s="1"/>
  <c r="Z14" i="5" s="1"/>
  <c r="AA21" i="2"/>
  <c r="AA14" i="4" s="1"/>
  <c r="AA14" i="5" s="1"/>
  <c r="AB21" i="2"/>
  <c r="AB14" i="4" s="1"/>
  <c r="AB14" i="5" s="1"/>
  <c r="AC21" i="2"/>
  <c r="AC14" i="4" s="1"/>
  <c r="AC14" i="5" s="1"/>
  <c r="AD21" i="2"/>
  <c r="AD14" i="4" s="1"/>
  <c r="AD14" i="5" s="1"/>
  <c r="AE21" i="2"/>
  <c r="AE14" i="4" s="1"/>
  <c r="AE14" i="5" s="1"/>
  <c r="AF21" i="2"/>
  <c r="AF14" i="4" s="1"/>
  <c r="AF14" i="5" s="1"/>
  <c r="AG21" i="2"/>
  <c r="AG14" i="4" s="1"/>
  <c r="AG14" i="5" s="1"/>
  <c r="AH21" i="2"/>
  <c r="AH14" i="4" s="1"/>
  <c r="AH14" i="5" s="1"/>
  <c r="AI21" i="2"/>
  <c r="AI14" i="4" s="1"/>
  <c r="AI14" i="5" s="1"/>
  <c r="AJ21" i="2"/>
  <c r="AJ14" i="4" s="1"/>
  <c r="AJ14" i="5" s="1"/>
  <c r="AK21" i="2"/>
  <c r="AK14" i="4" s="1"/>
  <c r="AK14" i="5" s="1"/>
  <c r="AL21" i="2"/>
  <c r="AL14" i="4" s="1"/>
  <c r="AL14" i="5" s="1"/>
  <c r="AM21" i="2"/>
  <c r="AM14" i="4" s="1"/>
  <c r="AM14" i="5" s="1"/>
  <c r="AN21" i="2"/>
  <c r="AN14" i="4" s="1"/>
  <c r="AN14" i="5" s="1"/>
  <c r="AO21" i="2"/>
  <c r="AO14" i="4" s="1"/>
  <c r="AO14" i="5" s="1"/>
  <c r="AP21" i="2"/>
  <c r="AP14" i="4" s="1"/>
  <c r="AP14" i="5" s="1"/>
  <c r="AQ21" i="2"/>
  <c r="AQ14" i="4" s="1"/>
  <c r="AQ14" i="5" s="1"/>
  <c r="AR21" i="2"/>
  <c r="AR14" i="4" s="1"/>
  <c r="AR14" i="5" s="1"/>
  <c r="AS21" i="2"/>
  <c r="AS14" i="4" s="1"/>
  <c r="AS14" i="5" s="1"/>
  <c r="AT21" i="2"/>
  <c r="AT14" i="4" s="1"/>
  <c r="AT14" i="5" s="1"/>
  <c r="AU21" i="2"/>
  <c r="AU14" i="4" s="1"/>
  <c r="AU14" i="5" s="1"/>
  <c r="AV21" i="2"/>
  <c r="AV14" i="4" s="1"/>
  <c r="AV14" i="5" s="1"/>
  <c r="AW21" i="2"/>
  <c r="AW14" i="4" s="1"/>
  <c r="AW14" i="5" s="1"/>
  <c r="AX21" i="2"/>
  <c r="AX14" i="4" s="1"/>
  <c r="AX14" i="5" s="1"/>
  <c r="AY21" i="2"/>
  <c r="AY14" i="4" s="1"/>
  <c r="AY14" i="5" s="1"/>
  <c r="AZ21" i="2"/>
  <c r="AZ14" i="4" s="1"/>
  <c r="AZ14" i="5" s="1"/>
  <c r="BA21" i="2"/>
  <c r="BA14" i="4" s="1"/>
  <c r="BA14" i="5" s="1"/>
  <c r="BB21" i="2"/>
  <c r="BB14" i="4" s="1"/>
  <c r="BB14" i="5" s="1"/>
  <c r="BC21" i="2"/>
  <c r="BC14" i="4" s="1"/>
  <c r="BC14" i="5" s="1"/>
  <c r="BD21" i="2"/>
  <c r="BD14" i="4" s="1"/>
  <c r="BD14" i="5" s="1"/>
  <c r="BE21" i="2"/>
  <c r="BE14" i="4" s="1"/>
  <c r="BE14" i="5" s="1"/>
  <c r="BF21" i="2"/>
  <c r="BF14" i="4" s="1"/>
  <c r="BF14" i="5" s="1"/>
  <c r="BG21" i="2"/>
  <c r="BG14" i="4" s="1"/>
  <c r="BG14" i="5" s="1"/>
  <c r="BH21" i="2"/>
  <c r="BH14" i="4" s="1"/>
  <c r="BH14" i="5" s="1"/>
  <c r="BI21" i="2"/>
  <c r="BI14" i="4" s="1"/>
  <c r="BI14" i="5" s="1"/>
  <c r="BJ21" i="2"/>
  <c r="BJ14" i="4" s="1"/>
  <c r="BJ14" i="5" s="1"/>
  <c r="BK21" i="2"/>
  <c r="BK14" i="4" s="1"/>
  <c r="BK14" i="5" s="1"/>
  <c r="BL21" i="2"/>
  <c r="BL14" i="4" s="1"/>
  <c r="BL14" i="5" s="1"/>
  <c r="BM21" i="2"/>
  <c r="BM14" i="4" s="1"/>
  <c r="BM14" i="5" s="1"/>
  <c r="BN21" i="2"/>
  <c r="BN14" i="4" s="1"/>
  <c r="BN14" i="5" s="1"/>
  <c r="BO21" i="2"/>
  <c r="BO14" i="4" s="1"/>
  <c r="BO14" i="5" s="1"/>
  <c r="BP21" i="2"/>
  <c r="BP14" i="4" s="1"/>
  <c r="BP14" i="5" s="1"/>
  <c r="BQ21" i="2"/>
  <c r="BQ14" i="4" s="1"/>
  <c r="BQ14" i="5" s="1"/>
  <c r="BR21" i="2"/>
  <c r="BR14" i="4" s="1"/>
  <c r="BR14" i="5" s="1"/>
  <c r="BS21" i="2"/>
  <c r="BS14" i="4" s="1"/>
  <c r="BS14" i="5" s="1"/>
  <c r="BT21" i="2"/>
  <c r="BT14" i="4" s="1"/>
  <c r="BT14" i="5" s="1"/>
  <c r="BU21" i="2"/>
  <c r="BU14" i="4" s="1"/>
  <c r="BU14" i="5" s="1"/>
  <c r="BV21" i="2"/>
  <c r="BV14" i="4" s="1"/>
  <c r="BV14" i="5" s="1"/>
  <c r="BW21" i="2"/>
  <c r="BW14" i="4" s="1"/>
  <c r="BW14" i="5" s="1"/>
  <c r="BX21" i="2"/>
  <c r="BX14" i="4" s="1"/>
  <c r="BX14" i="5" s="1"/>
  <c r="BY21" i="2"/>
  <c r="BY14" i="4" s="1"/>
  <c r="BY14" i="5" s="1"/>
  <c r="BZ21" i="2"/>
  <c r="BZ14" i="4" s="1"/>
  <c r="BZ14" i="5" s="1"/>
  <c r="CA21" i="2"/>
  <c r="CA14" i="4" s="1"/>
  <c r="CA14" i="5" s="1"/>
  <c r="CB21" i="2"/>
  <c r="CB14" i="4" s="1"/>
  <c r="CB14" i="5" s="1"/>
  <c r="CC21" i="2"/>
  <c r="CC14" i="4" s="1"/>
  <c r="CC14" i="5" s="1"/>
  <c r="C22" i="2"/>
  <c r="C8" i="4" s="1"/>
  <c r="C8" i="5" s="1"/>
  <c r="D22" i="2"/>
  <c r="D8" i="4" s="1"/>
  <c r="D8" i="5" s="1"/>
  <c r="E22" i="2"/>
  <c r="E8" i="4" s="1"/>
  <c r="E8" i="5" s="1"/>
  <c r="F22" i="2"/>
  <c r="F8" i="4" s="1"/>
  <c r="F8" i="5" s="1"/>
  <c r="G22" i="2"/>
  <c r="G8" i="4" s="1"/>
  <c r="G8" i="5" s="1"/>
  <c r="H22" i="2"/>
  <c r="H8" i="4" s="1"/>
  <c r="H8" i="5" s="1"/>
  <c r="I22" i="2"/>
  <c r="I8" i="4" s="1"/>
  <c r="I8" i="5" s="1"/>
  <c r="J22" i="2"/>
  <c r="J8" i="4" s="1"/>
  <c r="J8" i="5" s="1"/>
  <c r="K22" i="2"/>
  <c r="K8" i="4" s="1"/>
  <c r="K8" i="5" s="1"/>
  <c r="L22" i="2"/>
  <c r="L8" i="4" s="1"/>
  <c r="L8" i="5" s="1"/>
  <c r="M22" i="2"/>
  <c r="M8" i="4" s="1"/>
  <c r="M8" i="5" s="1"/>
  <c r="N22" i="2"/>
  <c r="N8" i="4" s="1"/>
  <c r="N8" i="5" s="1"/>
  <c r="O22" i="2"/>
  <c r="O8" i="4" s="1"/>
  <c r="O8" i="5" s="1"/>
  <c r="P22" i="2"/>
  <c r="P8" i="4" s="1"/>
  <c r="P8" i="5" s="1"/>
  <c r="Q22" i="2"/>
  <c r="Q8" i="4" s="1"/>
  <c r="Q8" i="5" s="1"/>
  <c r="R22" i="2"/>
  <c r="R8" i="4" s="1"/>
  <c r="R8" i="5" s="1"/>
  <c r="S22" i="2"/>
  <c r="S8" i="4" s="1"/>
  <c r="S8" i="5" s="1"/>
  <c r="T22" i="2"/>
  <c r="T8" i="4" s="1"/>
  <c r="T8" i="5" s="1"/>
  <c r="U22" i="2"/>
  <c r="U8" i="4" s="1"/>
  <c r="U8" i="5" s="1"/>
  <c r="V22" i="2"/>
  <c r="V8" i="4" s="1"/>
  <c r="V8" i="5" s="1"/>
  <c r="W22" i="2"/>
  <c r="W8" i="4" s="1"/>
  <c r="W8" i="5" s="1"/>
  <c r="X22" i="2"/>
  <c r="X8" i="4" s="1"/>
  <c r="X8" i="5" s="1"/>
  <c r="Y22" i="2"/>
  <c r="Y8" i="4" s="1"/>
  <c r="Y8" i="5" s="1"/>
  <c r="Z22" i="2"/>
  <c r="Z8" i="4" s="1"/>
  <c r="Z8" i="5" s="1"/>
  <c r="AA22" i="2"/>
  <c r="AA8" i="4" s="1"/>
  <c r="AA8" i="5" s="1"/>
  <c r="AB22" i="2"/>
  <c r="AB8" i="4" s="1"/>
  <c r="AB8" i="5" s="1"/>
  <c r="AC22" i="2"/>
  <c r="AC8" i="4" s="1"/>
  <c r="AC8" i="5" s="1"/>
  <c r="AD22" i="2"/>
  <c r="AD8" i="4" s="1"/>
  <c r="AD8" i="5" s="1"/>
  <c r="AE22" i="2"/>
  <c r="AE8" i="4" s="1"/>
  <c r="AE8" i="5" s="1"/>
  <c r="AF22" i="2"/>
  <c r="AF8" i="4" s="1"/>
  <c r="AF8" i="5" s="1"/>
  <c r="AG22" i="2"/>
  <c r="AG8" i="4" s="1"/>
  <c r="AG8" i="5" s="1"/>
  <c r="AH22" i="2"/>
  <c r="AH8" i="4" s="1"/>
  <c r="AH8" i="5" s="1"/>
  <c r="AI22" i="2"/>
  <c r="AI8" i="4" s="1"/>
  <c r="AI8" i="5" s="1"/>
  <c r="AJ22" i="2"/>
  <c r="AJ8" i="4" s="1"/>
  <c r="AJ8" i="5" s="1"/>
  <c r="AK22" i="2"/>
  <c r="AK8" i="4" s="1"/>
  <c r="AK8" i="5" s="1"/>
  <c r="AL22" i="2"/>
  <c r="AL8" i="4" s="1"/>
  <c r="AL8" i="5" s="1"/>
  <c r="AM22" i="2"/>
  <c r="AM8" i="4" s="1"/>
  <c r="AM8" i="5" s="1"/>
  <c r="AN22" i="2"/>
  <c r="AN8" i="4" s="1"/>
  <c r="AN8" i="5" s="1"/>
  <c r="AO22" i="2"/>
  <c r="AO8" i="4" s="1"/>
  <c r="AO8" i="5" s="1"/>
  <c r="AP22" i="2"/>
  <c r="AP8" i="4" s="1"/>
  <c r="AP8" i="5" s="1"/>
  <c r="AQ22" i="2"/>
  <c r="AQ8" i="4" s="1"/>
  <c r="AQ8" i="5" s="1"/>
  <c r="AR22" i="2"/>
  <c r="AR8" i="4" s="1"/>
  <c r="AR8" i="5" s="1"/>
  <c r="AS22" i="2"/>
  <c r="AS8" i="4" s="1"/>
  <c r="AS8" i="5" s="1"/>
  <c r="AT22" i="2"/>
  <c r="AT8" i="4" s="1"/>
  <c r="AT8" i="5" s="1"/>
  <c r="AU22" i="2"/>
  <c r="AU8" i="4" s="1"/>
  <c r="AU8" i="5" s="1"/>
  <c r="AV22" i="2"/>
  <c r="AV8" i="4" s="1"/>
  <c r="AV8" i="5" s="1"/>
  <c r="AW22" i="2"/>
  <c r="AW8" i="4" s="1"/>
  <c r="AW8" i="5" s="1"/>
  <c r="AX22" i="2"/>
  <c r="AX8" i="4" s="1"/>
  <c r="AX8" i="5" s="1"/>
  <c r="AY22" i="2"/>
  <c r="AY8" i="4" s="1"/>
  <c r="AY8" i="5" s="1"/>
  <c r="AZ22" i="2"/>
  <c r="AZ8" i="4" s="1"/>
  <c r="AZ8" i="5" s="1"/>
  <c r="BA22" i="2"/>
  <c r="BA8" i="4" s="1"/>
  <c r="BA8" i="5" s="1"/>
  <c r="BB22" i="2"/>
  <c r="BB8" i="4" s="1"/>
  <c r="BB8" i="5" s="1"/>
  <c r="BC22" i="2"/>
  <c r="BC8" i="4" s="1"/>
  <c r="BC8" i="5" s="1"/>
  <c r="BD22" i="2"/>
  <c r="BD8" i="4" s="1"/>
  <c r="BD8" i="5" s="1"/>
  <c r="BE22" i="2"/>
  <c r="BE8" i="4" s="1"/>
  <c r="BE8" i="5" s="1"/>
  <c r="BF22" i="2"/>
  <c r="BF8" i="4" s="1"/>
  <c r="BF8" i="5" s="1"/>
  <c r="BG22" i="2"/>
  <c r="BG8" i="4" s="1"/>
  <c r="BG8" i="5" s="1"/>
  <c r="BH22" i="2"/>
  <c r="BH8" i="4" s="1"/>
  <c r="BH8" i="5" s="1"/>
  <c r="BI22" i="2"/>
  <c r="BI8" i="4" s="1"/>
  <c r="BI8" i="5" s="1"/>
  <c r="BJ22" i="2"/>
  <c r="BJ8" i="4" s="1"/>
  <c r="BJ8" i="5" s="1"/>
  <c r="BK22" i="2"/>
  <c r="BK8" i="4" s="1"/>
  <c r="BK8" i="5" s="1"/>
  <c r="BL22" i="2"/>
  <c r="BL8" i="4" s="1"/>
  <c r="BL8" i="5" s="1"/>
  <c r="BM22" i="2"/>
  <c r="BM8" i="4" s="1"/>
  <c r="BM8" i="5" s="1"/>
  <c r="BN22" i="2"/>
  <c r="BN8" i="4" s="1"/>
  <c r="BN8" i="5" s="1"/>
  <c r="BO22" i="2"/>
  <c r="BO8" i="4" s="1"/>
  <c r="BO8" i="5" s="1"/>
  <c r="BP22" i="2"/>
  <c r="BP8" i="4" s="1"/>
  <c r="BP8" i="5" s="1"/>
  <c r="BQ22" i="2"/>
  <c r="BQ8" i="4" s="1"/>
  <c r="BQ8" i="5" s="1"/>
  <c r="BR22" i="2"/>
  <c r="BR8" i="4" s="1"/>
  <c r="BR8" i="5" s="1"/>
  <c r="BS22" i="2"/>
  <c r="BS8" i="4" s="1"/>
  <c r="BS8" i="5" s="1"/>
  <c r="BT22" i="2"/>
  <c r="BT8" i="4" s="1"/>
  <c r="BT8" i="5" s="1"/>
  <c r="BU22" i="2"/>
  <c r="BU8" i="4" s="1"/>
  <c r="BU8" i="5" s="1"/>
  <c r="BV22" i="2"/>
  <c r="BV8" i="4" s="1"/>
  <c r="BV8" i="5" s="1"/>
  <c r="BW22" i="2"/>
  <c r="BW8" i="4" s="1"/>
  <c r="BW8" i="5" s="1"/>
  <c r="BX22" i="2"/>
  <c r="BX8" i="4" s="1"/>
  <c r="BX8" i="5" s="1"/>
  <c r="BY22" i="2"/>
  <c r="BY8" i="4" s="1"/>
  <c r="BY8" i="5" s="1"/>
  <c r="BZ22" i="2"/>
  <c r="BZ8" i="4" s="1"/>
  <c r="BZ8" i="5" s="1"/>
  <c r="CA22" i="2"/>
  <c r="CA8" i="4" s="1"/>
  <c r="CA8" i="5" s="1"/>
  <c r="CB22" i="2"/>
  <c r="CB8" i="4" s="1"/>
  <c r="CB8" i="5" s="1"/>
  <c r="CC22" i="2"/>
  <c r="CC8" i="4" s="1"/>
  <c r="CC8" i="5" s="1"/>
  <c r="C23" i="2"/>
  <c r="C18" i="4" s="1"/>
  <c r="C18" i="5" s="1"/>
  <c r="D23" i="2"/>
  <c r="D18" i="4" s="1"/>
  <c r="D18" i="5" s="1"/>
  <c r="E23" i="2"/>
  <c r="E18" i="4" s="1"/>
  <c r="E18" i="5" s="1"/>
  <c r="F23" i="2"/>
  <c r="F18" i="4" s="1"/>
  <c r="F18" i="5" s="1"/>
  <c r="G23" i="2"/>
  <c r="G18" i="4" s="1"/>
  <c r="G18" i="5" s="1"/>
  <c r="H23" i="2"/>
  <c r="H18" i="4" s="1"/>
  <c r="H18" i="5" s="1"/>
  <c r="I23" i="2"/>
  <c r="I18" i="4" s="1"/>
  <c r="I18" i="5" s="1"/>
  <c r="J23" i="2"/>
  <c r="J18" i="4" s="1"/>
  <c r="J18" i="5" s="1"/>
  <c r="K23" i="2"/>
  <c r="K18" i="4" s="1"/>
  <c r="K18" i="5" s="1"/>
  <c r="L23" i="2"/>
  <c r="L18" i="4" s="1"/>
  <c r="L18" i="5" s="1"/>
  <c r="M23" i="2"/>
  <c r="M18" i="4" s="1"/>
  <c r="M18" i="5" s="1"/>
  <c r="N23" i="2"/>
  <c r="N18" i="4" s="1"/>
  <c r="N18" i="5" s="1"/>
  <c r="O23" i="2"/>
  <c r="O18" i="4" s="1"/>
  <c r="O18" i="5" s="1"/>
  <c r="P23" i="2"/>
  <c r="P18" i="4" s="1"/>
  <c r="P18" i="5" s="1"/>
  <c r="Q23" i="2"/>
  <c r="Q18" i="4" s="1"/>
  <c r="Q18" i="5" s="1"/>
  <c r="R23" i="2"/>
  <c r="R18" i="4" s="1"/>
  <c r="R18" i="5" s="1"/>
  <c r="S23" i="2"/>
  <c r="S18" i="4" s="1"/>
  <c r="S18" i="5" s="1"/>
  <c r="T23" i="2"/>
  <c r="T18" i="4" s="1"/>
  <c r="T18" i="5" s="1"/>
  <c r="U23" i="2"/>
  <c r="U18" i="4" s="1"/>
  <c r="U18" i="5" s="1"/>
  <c r="V23" i="2"/>
  <c r="V18" i="4" s="1"/>
  <c r="V18" i="5" s="1"/>
  <c r="W23" i="2"/>
  <c r="W18" i="4" s="1"/>
  <c r="W18" i="5" s="1"/>
  <c r="X23" i="2"/>
  <c r="X18" i="4" s="1"/>
  <c r="X18" i="5" s="1"/>
  <c r="Y23" i="2"/>
  <c r="Y18" i="4" s="1"/>
  <c r="Y18" i="5" s="1"/>
  <c r="Z23" i="2"/>
  <c r="Z18" i="4" s="1"/>
  <c r="Z18" i="5" s="1"/>
  <c r="AA23" i="2"/>
  <c r="AA18" i="4" s="1"/>
  <c r="AA18" i="5" s="1"/>
  <c r="AB23" i="2"/>
  <c r="AB18" i="4" s="1"/>
  <c r="AB18" i="5" s="1"/>
  <c r="AC23" i="2"/>
  <c r="AC18" i="4" s="1"/>
  <c r="AC18" i="5" s="1"/>
  <c r="AD23" i="2"/>
  <c r="AD18" i="4" s="1"/>
  <c r="AD18" i="5" s="1"/>
  <c r="AE23" i="2"/>
  <c r="AE18" i="4" s="1"/>
  <c r="AE18" i="5" s="1"/>
  <c r="AF23" i="2"/>
  <c r="AF18" i="4" s="1"/>
  <c r="AF18" i="5" s="1"/>
  <c r="AG23" i="2"/>
  <c r="AG18" i="4" s="1"/>
  <c r="AG18" i="5" s="1"/>
  <c r="AH23" i="2"/>
  <c r="AH18" i="4" s="1"/>
  <c r="AH18" i="5" s="1"/>
  <c r="AI23" i="2"/>
  <c r="AI18" i="4" s="1"/>
  <c r="AI18" i="5" s="1"/>
  <c r="AJ23" i="2"/>
  <c r="AJ18" i="4" s="1"/>
  <c r="AJ18" i="5" s="1"/>
  <c r="AK23" i="2"/>
  <c r="AK18" i="4" s="1"/>
  <c r="AK18" i="5" s="1"/>
  <c r="AL23" i="2"/>
  <c r="AL18" i="4" s="1"/>
  <c r="AL18" i="5" s="1"/>
  <c r="AM23" i="2"/>
  <c r="AM18" i="4" s="1"/>
  <c r="AM18" i="5" s="1"/>
  <c r="AN23" i="2"/>
  <c r="AN18" i="4" s="1"/>
  <c r="AN18" i="5" s="1"/>
  <c r="AO23" i="2"/>
  <c r="AO18" i="4" s="1"/>
  <c r="AO18" i="5" s="1"/>
  <c r="AP23" i="2"/>
  <c r="AP18" i="4" s="1"/>
  <c r="AP18" i="5" s="1"/>
  <c r="AQ23" i="2"/>
  <c r="AQ18" i="4" s="1"/>
  <c r="AQ18" i="5" s="1"/>
  <c r="AR23" i="2"/>
  <c r="AR18" i="4" s="1"/>
  <c r="AR18" i="5" s="1"/>
  <c r="AS23" i="2"/>
  <c r="AS18" i="4" s="1"/>
  <c r="AS18" i="5" s="1"/>
  <c r="AT23" i="2"/>
  <c r="AT18" i="4" s="1"/>
  <c r="AT18" i="5" s="1"/>
  <c r="AU23" i="2"/>
  <c r="AU18" i="4" s="1"/>
  <c r="AU18" i="5" s="1"/>
  <c r="AV23" i="2"/>
  <c r="AV18" i="4" s="1"/>
  <c r="AV18" i="5" s="1"/>
  <c r="AW23" i="2"/>
  <c r="AW18" i="4" s="1"/>
  <c r="AW18" i="5" s="1"/>
  <c r="AX23" i="2"/>
  <c r="AX18" i="4" s="1"/>
  <c r="AX18" i="5" s="1"/>
  <c r="AY23" i="2"/>
  <c r="AY18" i="4" s="1"/>
  <c r="AY18" i="5" s="1"/>
  <c r="AZ23" i="2"/>
  <c r="AZ18" i="4" s="1"/>
  <c r="AZ18" i="5" s="1"/>
  <c r="BA23" i="2"/>
  <c r="BA18" i="4" s="1"/>
  <c r="BA18" i="5" s="1"/>
  <c r="BB23" i="2"/>
  <c r="BB18" i="4" s="1"/>
  <c r="BB18" i="5" s="1"/>
  <c r="BC23" i="2"/>
  <c r="BC18" i="4" s="1"/>
  <c r="BC18" i="5" s="1"/>
  <c r="BD23" i="2"/>
  <c r="BD18" i="4" s="1"/>
  <c r="BD18" i="5" s="1"/>
  <c r="BE23" i="2"/>
  <c r="BE18" i="4" s="1"/>
  <c r="BE18" i="5" s="1"/>
  <c r="BF23" i="2"/>
  <c r="BF18" i="4" s="1"/>
  <c r="BF18" i="5" s="1"/>
  <c r="BG23" i="2"/>
  <c r="BG18" i="4" s="1"/>
  <c r="BG18" i="5" s="1"/>
  <c r="BH23" i="2"/>
  <c r="BH18" i="4" s="1"/>
  <c r="BH18" i="5" s="1"/>
  <c r="BI23" i="2"/>
  <c r="BI18" i="4" s="1"/>
  <c r="BI18" i="5" s="1"/>
  <c r="BJ23" i="2"/>
  <c r="BJ18" i="4" s="1"/>
  <c r="BJ18" i="5" s="1"/>
  <c r="BK23" i="2"/>
  <c r="BK18" i="4" s="1"/>
  <c r="BK18" i="5" s="1"/>
  <c r="BL23" i="2"/>
  <c r="BL18" i="4" s="1"/>
  <c r="BL18" i="5" s="1"/>
  <c r="BM23" i="2"/>
  <c r="BM18" i="4" s="1"/>
  <c r="BM18" i="5" s="1"/>
  <c r="BN23" i="2"/>
  <c r="BN18" i="4" s="1"/>
  <c r="BN18" i="5" s="1"/>
  <c r="BO23" i="2"/>
  <c r="BO18" i="4" s="1"/>
  <c r="BO18" i="5" s="1"/>
  <c r="BP23" i="2"/>
  <c r="BP18" i="4" s="1"/>
  <c r="BP18" i="5" s="1"/>
  <c r="BQ23" i="2"/>
  <c r="BQ18" i="4" s="1"/>
  <c r="BQ18" i="5" s="1"/>
  <c r="BR23" i="2"/>
  <c r="BR18" i="4" s="1"/>
  <c r="BR18" i="5" s="1"/>
  <c r="BS23" i="2"/>
  <c r="BS18" i="4" s="1"/>
  <c r="BS18" i="5" s="1"/>
  <c r="BT23" i="2"/>
  <c r="BT18" i="4" s="1"/>
  <c r="BT18" i="5" s="1"/>
  <c r="BU23" i="2"/>
  <c r="BU18" i="4" s="1"/>
  <c r="BU18" i="5" s="1"/>
  <c r="BV23" i="2"/>
  <c r="BV18" i="4" s="1"/>
  <c r="BV18" i="5" s="1"/>
  <c r="BW23" i="2"/>
  <c r="BW18" i="4" s="1"/>
  <c r="BW18" i="5" s="1"/>
  <c r="BX23" i="2"/>
  <c r="BX18" i="4" s="1"/>
  <c r="BX18" i="5" s="1"/>
  <c r="BY23" i="2"/>
  <c r="BY18" i="4" s="1"/>
  <c r="BY18" i="5" s="1"/>
  <c r="BZ23" i="2"/>
  <c r="BZ18" i="4" s="1"/>
  <c r="BZ18" i="5" s="1"/>
  <c r="CA23" i="2"/>
  <c r="CA18" i="4" s="1"/>
  <c r="CA18" i="5" s="1"/>
  <c r="CB23" i="2"/>
  <c r="CB18" i="4" s="1"/>
  <c r="CB18" i="5" s="1"/>
  <c r="CC23" i="2"/>
  <c r="CC18" i="4" s="1"/>
  <c r="CC18" i="5" s="1"/>
  <c r="C24" i="2"/>
  <c r="C34" i="4" s="1"/>
  <c r="C34" i="5" s="1"/>
  <c r="D24" i="2"/>
  <c r="D34" i="4" s="1"/>
  <c r="D34" i="5" s="1"/>
  <c r="E24" i="2"/>
  <c r="E34" i="4" s="1"/>
  <c r="E34" i="5" s="1"/>
  <c r="F24" i="2"/>
  <c r="F34" i="4" s="1"/>
  <c r="F34" i="5" s="1"/>
  <c r="G24" i="2"/>
  <c r="G34" i="4" s="1"/>
  <c r="G34" i="5" s="1"/>
  <c r="H24" i="2"/>
  <c r="H34" i="4" s="1"/>
  <c r="H34" i="5" s="1"/>
  <c r="I24" i="2"/>
  <c r="I34" i="4" s="1"/>
  <c r="I34" i="5" s="1"/>
  <c r="J24" i="2"/>
  <c r="J34" i="4" s="1"/>
  <c r="J34" i="5" s="1"/>
  <c r="K24" i="2"/>
  <c r="K34" i="4" s="1"/>
  <c r="K34" i="5" s="1"/>
  <c r="L24" i="2"/>
  <c r="L34" i="4" s="1"/>
  <c r="L34" i="5" s="1"/>
  <c r="M24" i="2"/>
  <c r="M34" i="4" s="1"/>
  <c r="M34" i="5" s="1"/>
  <c r="N24" i="2"/>
  <c r="N34" i="4" s="1"/>
  <c r="N34" i="5" s="1"/>
  <c r="O24" i="2"/>
  <c r="O34" i="4" s="1"/>
  <c r="O34" i="5" s="1"/>
  <c r="P24" i="2"/>
  <c r="P34" i="4" s="1"/>
  <c r="P34" i="5" s="1"/>
  <c r="Q24" i="2"/>
  <c r="Q34" i="4" s="1"/>
  <c r="Q34" i="5" s="1"/>
  <c r="R24" i="2"/>
  <c r="R34" i="4" s="1"/>
  <c r="R34" i="5" s="1"/>
  <c r="S24" i="2"/>
  <c r="S34" i="4" s="1"/>
  <c r="S34" i="5" s="1"/>
  <c r="T24" i="2"/>
  <c r="T34" i="4" s="1"/>
  <c r="T34" i="5" s="1"/>
  <c r="U24" i="2"/>
  <c r="U34" i="4" s="1"/>
  <c r="U34" i="5" s="1"/>
  <c r="V24" i="2"/>
  <c r="V34" i="4" s="1"/>
  <c r="V34" i="5" s="1"/>
  <c r="W24" i="2"/>
  <c r="W34" i="4" s="1"/>
  <c r="W34" i="5" s="1"/>
  <c r="X24" i="2"/>
  <c r="X34" i="4" s="1"/>
  <c r="X34" i="5" s="1"/>
  <c r="Y24" i="2"/>
  <c r="Y34" i="4" s="1"/>
  <c r="Y34" i="5" s="1"/>
  <c r="Z24" i="2"/>
  <c r="Z34" i="4" s="1"/>
  <c r="Z34" i="5" s="1"/>
  <c r="AA24" i="2"/>
  <c r="AA34" i="4" s="1"/>
  <c r="AA34" i="5" s="1"/>
  <c r="AB24" i="2"/>
  <c r="AB34" i="4" s="1"/>
  <c r="AB34" i="5" s="1"/>
  <c r="AC24" i="2"/>
  <c r="AC34" i="4" s="1"/>
  <c r="AC34" i="5" s="1"/>
  <c r="AD24" i="2"/>
  <c r="AD34" i="4" s="1"/>
  <c r="AD34" i="5" s="1"/>
  <c r="AE24" i="2"/>
  <c r="AE34" i="4" s="1"/>
  <c r="AE34" i="5" s="1"/>
  <c r="AF24" i="2"/>
  <c r="AF34" i="4" s="1"/>
  <c r="AF34" i="5" s="1"/>
  <c r="AG24" i="2"/>
  <c r="AG34" i="4" s="1"/>
  <c r="AG34" i="5" s="1"/>
  <c r="AH24" i="2"/>
  <c r="AH34" i="4" s="1"/>
  <c r="AH34" i="5" s="1"/>
  <c r="AI24" i="2"/>
  <c r="AI34" i="4" s="1"/>
  <c r="AI34" i="5" s="1"/>
  <c r="AJ24" i="2"/>
  <c r="AJ34" i="4" s="1"/>
  <c r="AJ34" i="5" s="1"/>
  <c r="AK24" i="2"/>
  <c r="AK34" i="4" s="1"/>
  <c r="AK34" i="5" s="1"/>
  <c r="AL24" i="2"/>
  <c r="AL34" i="4" s="1"/>
  <c r="AL34" i="5" s="1"/>
  <c r="AM24" i="2"/>
  <c r="AM34" i="4" s="1"/>
  <c r="AM34" i="5" s="1"/>
  <c r="AN24" i="2"/>
  <c r="AN34" i="4" s="1"/>
  <c r="AN34" i="5" s="1"/>
  <c r="AO24" i="2"/>
  <c r="AO34" i="4" s="1"/>
  <c r="AO34" i="5" s="1"/>
  <c r="AP24" i="2"/>
  <c r="AP34" i="4" s="1"/>
  <c r="AP34" i="5" s="1"/>
  <c r="AQ24" i="2"/>
  <c r="AQ34" i="4" s="1"/>
  <c r="AQ34" i="5" s="1"/>
  <c r="AR24" i="2"/>
  <c r="AR34" i="4" s="1"/>
  <c r="AR34" i="5" s="1"/>
  <c r="AS24" i="2"/>
  <c r="AS34" i="4" s="1"/>
  <c r="AS34" i="5" s="1"/>
  <c r="AT24" i="2"/>
  <c r="AT34" i="4" s="1"/>
  <c r="AT34" i="5" s="1"/>
  <c r="AU24" i="2"/>
  <c r="AU34" i="4" s="1"/>
  <c r="AU34" i="5" s="1"/>
  <c r="AV24" i="2"/>
  <c r="AV34" i="4" s="1"/>
  <c r="AV34" i="5" s="1"/>
  <c r="AW24" i="2"/>
  <c r="AW34" i="4" s="1"/>
  <c r="AW34" i="5" s="1"/>
  <c r="AX24" i="2"/>
  <c r="AX34" i="4" s="1"/>
  <c r="AX34" i="5" s="1"/>
  <c r="AY24" i="2"/>
  <c r="AY34" i="4" s="1"/>
  <c r="AY34" i="5" s="1"/>
  <c r="AZ24" i="2"/>
  <c r="AZ34" i="4" s="1"/>
  <c r="AZ34" i="5" s="1"/>
  <c r="BA24" i="2"/>
  <c r="BA34" i="4" s="1"/>
  <c r="BA34" i="5" s="1"/>
  <c r="BB24" i="2"/>
  <c r="BB34" i="4" s="1"/>
  <c r="BB34" i="5" s="1"/>
  <c r="BC24" i="2"/>
  <c r="BC34" i="4" s="1"/>
  <c r="BC34" i="5" s="1"/>
  <c r="BD24" i="2"/>
  <c r="BD34" i="4" s="1"/>
  <c r="BD34" i="5" s="1"/>
  <c r="BE24" i="2"/>
  <c r="BE34" i="4" s="1"/>
  <c r="BE34" i="5" s="1"/>
  <c r="BF24" i="2"/>
  <c r="BF34" i="4" s="1"/>
  <c r="BF34" i="5" s="1"/>
  <c r="BG24" i="2"/>
  <c r="BG34" i="4" s="1"/>
  <c r="BG34" i="5" s="1"/>
  <c r="BH24" i="2"/>
  <c r="BH34" i="4" s="1"/>
  <c r="BH34" i="5" s="1"/>
  <c r="BI24" i="2"/>
  <c r="BI34" i="4" s="1"/>
  <c r="BI34" i="5" s="1"/>
  <c r="BJ24" i="2"/>
  <c r="BJ34" i="4" s="1"/>
  <c r="BJ34" i="5" s="1"/>
  <c r="BK24" i="2"/>
  <c r="BK34" i="4" s="1"/>
  <c r="BK34" i="5" s="1"/>
  <c r="BL24" i="2"/>
  <c r="BL34" i="4" s="1"/>
  <c r="BL34" i="5" s="1"/>
  <c r="BM24" i="2"/>
  <c r="BM34" i="4" s="1"/>
  <c r="BM34" i="5" s="1"/>
  <c r="BN24" i="2"/>
  <c r="BN34" i="4" s="1"/>
  <c r="BN34" i="5" s="1"/>
  <c r="BO24" i="2"/>
  <c r="BO34" i="4" s="1"/>
  <c r="BO34" i="5" s="1"/>
  <c r="BP24" i="2"/>
  <c r="BP34" i="4" s="1"/>
  <c r="BP34" i="5" s="1"/>
  <c r="BQ24" i="2"/>
  <c r="BQ34" i="4" s="1"/>
  <c r="BQ34" i="5" s="1"/>
  <c r="BR24" i="2"/>
  <c r="BR34" i="4" s="1"/>
  <c r="BR34" i="5" s="1"/>
  <c r="BS24" i="2"/>
  <c r="BS34" i="4" s="1"/>
  <c r="BS34" i="5" s="1"/>
  <c r="BT24" i="2"/>
  <c r="BT34" i="4" s="1"/>
  <c r="BT34" i="5" s="1"/>
  <c r="BU24" i="2"/>
  <c r="BU34" i="4" s="1"/>
  <c r="BU34" i="5" s="1"/>
  <c r="BV24" i="2"/>
  <c r="BV34" i="4" s="1"/>
  <c r="BV34" i="5" s="1"/>
  <c r="BW24" i="2"/>
  <c r="BW34" i="4" s="1"/>
  <c r="BW34" i="5" s="1"/>
  <c r="BX24" i="2"/>
  <c r="BX34" i="4" s="1"/>
  <c r="BX34" i="5" s="1"/>
  <c r="BY24" i="2"/>
  <c r="BY34" i="4" s="1"/>
  <c r="BY34" i="5" s="1"/>
  <c r="BZ24" i="2"/>
  <c r="BZ34" i="4" s="1"/>
  <c r="BZ34" i="5" s="1"/>
  <c r="CA24" i="2"/>
  <c r="CA34" i="4" s="1"/>
  <c r="CA34" i="5" s="1"/>
  <c r="CB24" i="2"/>
  <c r="CB34" i="4" s="1"/>
  <c r="CB34" i="5" s="1"/>
  <c r="CC24" i="2"/>
  <c r="CC34" i="4" s="1"/>
  <c r="CC34" i="5" s="1"/>
  <c r="C25" i="2"/>
  <c r="C47" i="4" s="1"/>
  <c r="C47" i="5" s="1"/>
  <c r="D25" i="2"/>
  <c r="D47" i="4" s="1"/>
  <c r="D47" i="5" s="1"/>
  <c r="E25" i="2"/>
  <c r="E47" i="4" s="1"/>
  <c r="E47" i="5" s="1"/>
  <c r="F25" i="2"/>
  <c r="F47" i="4" s="1"/>
  <c r="F47" i="5" s="1"/>
  <c r="G25" i="2"/>
  <c r="G47" i="4" s="1"/>
  <c r="G47" i="5" s="1"/>
  <c r="H25" i="2"/>
  <c r="H47" i="4" s="1"/>
  <c r="H47" i="5" s="1"/>
  <c r="I25" i="2"/>
  <c r="I47" i="4" s="1"/>
  <c r="I47" i="5" s="1"/>
  <c r="J25" i="2"/>
  <c r="J47" i="4" s="1"/>
  <c r="J47" i="5" s="1"/>
  <c r="K25" i="2"/>
  <c r="K47" i="4" s="1"/>
  <c r="K47" i="5" s="1"/>
  <c r="L25" i="2"/>
  <c r="L47" i="4" s="1"/>
  <c r="L47" i="5" s="1"/>
  <c r="M25" i="2"/>
  <c r="M47" i="4" s="1"/>
  <c r="M47" i="5" s="1"/>
  <c r="N25" i="2"/>
  <c r="N47" i="4" s="1"/>
  <c r="N47" i="5" s="1"/>
  <c r="O25" i="2"/>
  <c r="O47" i="4" s="1"/>
  <c r="O47" i="5" s="1"/>
  <c r="P25" i="2"/>
  <c r="P47" i="4" s="1"/>
  <c r="P47" i="5" s="1"/>
  <c r="Q25" i="2"/>
  <c r="Q47" i="4" s="1"/>
  <c r="Q47" i="5" s="1"/>
  <c r="R25" i="2"/>
  <c r="R47" i="4" s="1"/>
  <c r="R47" i="5" s="1"/>
  <c r="S25" i="2"/>
  <c r="S47" i="4" s="1"/>
  <c r="S47" i="5" s="1"/>
  <c r="T25" i="2"/>
  <c r="T47" i="4" s="1"/>
  <c r="T47" i="5" s="1"/>
  <c r="U25" i="2"/>
  <c r="U47" i="4" s="1"/>
  <c r="U47" i="5" s="1"/>
  <c r="V25" i="2"/>
  <c r="V47" i="4" s="1"/>
  <c r="V47" i="5" s="1"/>
  <c r="W25" i="2"/>
  <c r="W47" i="4" s="1"/>
  <c r="W47" i="5" s="1"/>
  <c r="X25" i="2"/>
  <c r="X47" i="4" s="1"/>
  <c r="X47" i="5" s="1"/>
  <c r="Y25" i="2"/>
  <c r="Y47" i="4" s="1"/>
  <c r="Y47" i="5" s="1"/>
  <c r="Z25" i="2"/>
  <c r="Z47" i="4" s="1"/>
  <c r="Z47" i="5" s="1"/>
  <c r="AA25" i="2"/>
  <c r="AA47" i="4" s="1"/>
  <c r="AA47" i="5" s="1"/>
  <c r="AB25" i="2"/>
  <c r="AB47" i="4" s="1"/>
  <c r="AB47" i="5" s="1"/>
  <c r="AC25" i="2"/>
  <c r="AC47" i="4" s="1"/>
  <c r="AC47" i="5" s="1"/>
  <c r="AD25" i="2"/>
  <c r="AD47" i="4" s="1"/>
  <c r="AD47" i="5" s="1"/>
  <c r="AE25" i="2"/>
  <c r="AE47" i="4" s="1"/>
  <c r="AE47" i="5" s="1"/>
  <c r="AF25" i="2"/>
  <c r="AF47" i="4" s="1"/>
  <c r="AF47" i="5" s="1"/>
  <c r="AG25" i="2"/>
  <c r="AG47" i="4" s="1"/>
  <c r="AG47" i="5" s="1"/>
  <c r="AH25" i="2"/>
  <c r="AH47" i="4" s="1"/>
  <c r="AH47" i="5" s="1"/>
  <c r="AI25" i="2"/>
  <c r="AI47" i="4" s="1"/>
  <c r="AI47" i="5" s="1"/>
  <c r="AJ25" i="2"/>
  <c r="AJ47" i="4" s="1"/>
  <c r="AJ47" i="5" s="1"/>
  <c r="AK25" i="2"/>
  <c r="AK47" i="4" s="1"/>
  <c r="AK47" i="5" s="1"/>
  <c r="AL25" i="2"/>
  <c r="AL47" i="4" s="1"/>
  <c r="AL47" i="5" s="1"/>
  <c r="AM25" i="2"/>
  <c r="AM47" i="4" s="1"/>
  <c r="AM47" i="5" s="1"/>
  <c r="AN25" i="2"/>
  <c r="AN47" i="4" s="1"/>
  <c r="AN47" i="5" s="1"/>
  <c r="AO25" i="2"/>
  <c r="AO47" i="4" s="1"/>
  <c r="AO47" i="5" s="1"/>
  <c r="AP25" i="2"/>
  <c r="AP47" i="4" s="1"/>
  <c r="AP47" i="5" s="1"/>
  <c r="AQ25" i="2"/>
  <c r="AQ47" i="4" s="1"/>
  <c r="AQ47" i="5" s="1"/>
  <c r="AR25" i="2"/>
  <c r="AR47" i="4" s="1"/>
  <c r="AR47" i="5" s="1"/>
  <c r="AS25" i="2"/>
  <c r="AS47" i="4" s="1"/>
  <c r="AS47" i="5" s="1"/>
  <c r="AT25" i="2"/>
  <c r="AT47" i="4" s="1"/>
  <c r="AT47" i="5" s="1"/>
  <c r="AU25" i="2"/>
  <c r="AU47" i="4" s="1"/>
  <c r="AU47" i="5" s="1"/>
  <c r="AV25" i="2"/>
  <c r="AV47" i="4" s="1"/>
  <c r="AV47" i="5" s="1"/>
  <c r="AW25" i="2"/>
  <c r="AW47" i="4" s="1"/>
  <c r="AW47" i="5" s="1"/>
  <c r="AX25" i="2"/>
  <c r="AX47" i="4" s="1"/>
  <c r="AX47" i="5" s="1"/>
  <c r="AY25" i="2"/>
  <c r="AY47" i="4" s="1"/>
  <c r="AY47" i="5" s="1"/>
  <c r="AZ25" i="2"/>
  <c r="AZ47" i="4" s="1"/>
  <c r="AZ47" i="5" s="1"/>
  <c r="BA25" i="2"/>
  <c r="BA47" i="4" s="1"/>
  <c r="BA47" i="5" s="1"/>
  <c r="BB25" i="2"/>
  <c r="BB47" i="4" s="1"/>
  <c r="BB47" i="5" s="1"/>
  <c r="BC25" i="2"/>
  <c r="BC47" i="4" s="1"/>
  <c r="BC47" i="5" s="1"/>
  <c r="BD25" i="2"/>
  <c r="BD47" i="4" s="1"/>
  <c r="BD47" i="5" s="1"/>
  <c r="BE25" i="2"/>
  <c r="BE47" i="4" s="1"/>
  <c r="BE47" i="5" s="1"/>
  <c r="BF25" i="2"/>
  <c r="BF47" i="4" s="1"/>
  <c r="BF47" i="5" s="1"/>
  <c r="BG25" i="2"/>
  <c r="BG47" i="4" s="1"/>
  <c r="BG47" i="5" s="1"/>
  <c r="BH25" i="2"/>
  <c r="BH47" i="4" s="1"/>
  <c r="BH47" i="5" s="1"/>
  <c r="BI25" i="2"/>
  <c r="BI47" i="4" s="1"/>
  <c r="BI47" i="5" s="1"/>
  <c r="BJ25" i="2"/>
  <c r="BJ47" i="4" s="1"/>
  <c r="BJ47" i="5" s="1"/>
  <c r="BK25" i="2"/>
  <c r="BK47" i="4" s="1"/>
  <c r="BK47" i="5" s="1"/>
  <c r="BL25" i="2"/>
  <c r="BL47" i="4" s="1"/>
  <c r="BL47" i="5" s="1"/>
  <c r="BM25" i="2"/>
  <c r="BM47" i="4" s="1"/>
  <c r="BM47" i="5" s="1"/>
  <c r="BN25" i="2"/>
  <c r="BN47" i="4" s="1"/>
  <c r="BN47" i="5" s="1"/>
  <c r="BO25" i="2"/>
  <c r="BO47" i="4" s="1"/>
  <c r="BO47" i="5" s="1"/>
  <c r="BP25" i="2"/>
  <c r="BP47" i="4" s="1"/>
  <c r="BP47" i="5" s="1"/>
  <c r="BQ25" i="2"/>
  <c r="BQ47" i="4" s="1"/>
  <c r="BQ47" i="5" s="1"/>
  <c r="BR25" i="2"/>
  <c r="BR47" i="4" s="1"/>
  <c r="BR47" i="5" s="1"/>
  <c r="BS25" i="2"/>
  <c r="BS47" i="4" s="1"/>
  <c r="BS47" i="5" s="1"/>
  <c r="BT25" i="2"/>
  <c r="BT47" i="4" s="1"/>
  <c r="BT47" i="5" s="1"/>
  <c r="BU25" i="2"/>
  <c r="BU47" i="4" s="1"/>
  <c r="BU47" i="5" s="1"/>
  <c r="BV25" i="2"/>
  <c r="BV47" i="4" s="1"/>
  <c r="BV47" i="5" s="1"/>
  <c r="BW25" i="2"/>
  <c r="BW47" i="4" s="1"/>
  <c r="BW47" i="5" s="1"/>
  <c r="BX25" i="2"/>
  <c r="BX47" i="4" s="1"/>
  <c r="BX47" i="5" s="1"/>
  <c r="BY25" i="2"/>
  <c r="BY47" i="4" s="1"/>
  <c r="BY47" i="5" s="1"/>
  <c r="BZ25" i="2"/>
  <c r="BZ47" i="4" s="1"/>
  <c r="BZ47" i="5" s="1"/>
  <c r="CA25" i="2"/>
  <c r="CA47" i="4" s="1"/>
  <c r="CA47" i="5" s="1"/>
  <c r="CB25" i="2"/>
  <c r="CB47" i="4" s="1"/>
  <c r="CB47" i="5" s="1"/>
  <c r="CC25" i="2"/>
  <c r="CC47" i="4" s="1"/>
  <c r="CC47" i="5" s="1"/>
  <c r="C26" i="2"/>
  <c r="C48" i="4" s="1"/>
  <c r="C48" i="5" s="1"/>
  <c r="D26" i="2"/>
  <c r="D48" i="4" s="1"/>
  <c r="D48" i="5" s="1"/>
  <c r="E26" i="2"/>
  <c r="E48" i="4" s="1"/>
  <c r="E48" i="5" s="1"/>
  <c r="F26" i="2"/>
  <c r="F48" i="4" s="1"/>
  <c r="F48" i="5" s="1"/>
  <c r="G26" i="2"/>
  <c r="G48" i="4" s="1"/>
  <c r="G48" i="5" s="1"/>
  <c r="H26" i="2"/>
  <c r="H48" i="4" s="1"/>
  <c r="H48" i="5" s="1"/>
  <c r="I26" i="2"/>
  <c r="I48" i="4" s="1"/>
  <c r="I48" i="5" s="1"/>
  <c r="J26" i="2"/>
  <c r="J48" i="4" s="1"/>
  <c r="J48" i="5" s="1"/>
  <c r="K26" i="2"/>
  <c r="K48" i="4" s="1"/>
  <c r="K48" i="5" s="1"/>
  <c r="L26" i="2"/>
  <c r="L48" i="4" s="1"/>
  <c r="L48" i="5" s="1"/>
  <c r="M26" i="2"/>
  <c r="M48" i="4" s="1"/>
  <c r="M48" i="5" s="1"/>
  <c r="N26" i="2"/>
  <c r="N48" i="4" s="1"/>
  <c r="N48" i="5" s="1"/>
  <c r="O26" i="2"/>
  <c r="O48" i="4" s="1"/>
  <c r="O48" i="5" s="1"/>
  <c r="P26" i="2"/>
  <c r="P48" i="4" s="1"/>
  <c r="P48" i="5" s="1"/>
  <c r="Q26" i="2"/>
  <c r="Q48" i="4" s="1"/>
  <c r="Q48" i="5" s="1"/>
  <c r="R26" i="2"/>
  <c r="R48" i="4" s="1"/>
  <c r="R48" i="5" s="1"/>
  <c r="S26" i="2"/>
  <c r="S48" i="4" s="1"/>
  <c r="S48" i="5" s="1"/>
  <c r="T26" i="2"/>
  <c r="T48" i="4" s="1"/>
  <c r="T48" i="5" s="1"/>
  <c r="U26" i="2"/>
  <c r="U48" i="4" s="1"/>
  <c r="U48" i="5" s="1"/>
  <c r="V26" i="2"/>
  <c r="V48" i="4" s="1"/>
  <c r="V48" i="5" s="1"/>
  <c r="W26" i="2"/>
  <c r="W48" i="4" s="1"/>
  <c r="W48" i="5" s="1"/>
  <c r="X26" i="2"/>
  <c r="X48" i="4" s="1"/>
  <c r="X48" i="5" s="1"/>
  <c r="Y26" i="2"/>
  <c r="Y48" i="4" s="1"/>
  <c r="Y48" i="5" s="1"/>
  <c r="Z26" i="2"/>
  <c r="Z48" i="4" s="1"/>
  <c r="Z48" i="5" s="1"/>
  <c r="AA26" i="2"/>
  <c r="AA48" i="4" s="1"/>
  <c r="AA48" i="5" s="1"/>
  <c r="AB26" i="2"/>
  <c r="AB48" i="4" s="1"/>
  <c r="AB48" i="5" s="1"/>
  <c r="AC26" i="2"/>
  <c r="AC48" i="4" s="1"/>
  <c r="AC48" i="5" s="1"/>
  <c r="AD26" i="2"/>
  <c r="AD48" i="4" s="1"/>
  <c r="AD48" i="5" s="1"/>
  <c r="AE26" i="2"/>
  <c r="AE48" i="4" s="1"/>
  <c r="AE48" i="5" s="1"/>
  <c r="AF26" i="2"/>
  <c r="AF48" i="4" s="1"/>
  <c r="AF48" i="5" s="1"/>
  <c r="AG26" i="2"/>
  <c r="AG48" i="4" s="1"/>
  <c r="AG48" i="5" s="1"/>
  <c r="AH26" i="2"/>
  <c r="AH48" i="4" s="1"/>
  <c r="AH48" i="5" s="1"/>
  <c r="AI26" i="2"/>
  <c r="AI48" i="4" s="1"/>
  <c r="AI48" i="5" s="1"/>
  <c r="AJ26" i="2"/>
  <c r="AJ48" i="4" s="1"/>
  <c r="AJ48" i="5" s="1"/>
  <c r="AK26" i="2"/>
  <c r="AK48" i="4" s="1"/>
  <c r="AK48" i="5" s="1"/>
  <c r="AL26" i="2"/>
  <c r="AL48" i="4" s="1"/>
  <c r="AL48" i="5" s="1"/>
  <c r="AM26" i="2"/>
  <c r="AM48" i="4" s="1"/>
  <c r="AM48" i="5" s="1"/>
  <c r="AN26" i="2"/>
  <c r="AN48" i="4" s="1"/>
  <c r="AN48" i="5" s="1"/>
  <c r="AO26" i="2"/>
  <c r="AO48" i="4" s="1"/>
  <c r="AO48" i="5" s="1"/>
  <c r="AP26" i="2"/>
  <c r="AP48" i="4" s="1"/>
  <c r="AP48" i="5" s="1"/>
  <c r="AQ26" i="2"/>
  <c r="AQ48" i="4" s="1"/>
  <c r="AQ48" i="5" s="1"/>
  <c r="AR26" i="2"/>
  <c r="AR48" i="4" s="1"/>
  <c r="AR48" i="5" s="1"/>
  <c r="AS26" i="2"/>
  <c r="AS48" i="4" s="1"/>
  <c r="AS48" i="5" s="1"/>
  <c r="AT26" i="2"/>
  <c r="AT48" i="4" s="1"/>
  <c r="AT48" i="5" s="1"/>
  <c r="AU26" i="2"/>
  <c r="AU48" i="4" s="1"/>
  <c r="AU48" i="5" s="1"/>
  <c r="AV26" i="2"/>
  <c r="AV48" i="4" s="1"/>
  <c r="AV48" i="5" s="1"/>
  <c r="AW26" i="2"/>
  <c r="AW48" i="4" s="1"/>
  <c r="AW48" i="5" s="1"/>
  <c r="AX26" i="2"/>
  <c r="AX48" i="4" s="1"/>
  <c r="AX48" i="5" s="1"/>
  <c r="AY26" i="2"/>
  <c r="AY48" i="4" s="1"/>
  <c r="AY48" i="5" s="1"/>
  <c r="AZ26" i="2"/>
  <c r="AZ48" i="4" s="1"/>
  <c r="AZ48" i="5" s="1"/>
  <c r="BA26" i="2"/>
  <c r="BA48" i="4" s="1"/>
  <c r="BA48" i="5" s="1"/>
  <c r="BB26" i="2"/>
  <c r="BB48" i="4" s="1"/>
  <c r="BB48" i="5" s="1"/>
  <c r="BC26" i="2"/>
  <c r="BC48" i="4" s="1"/>
  <c r="BC48" i="5" s="1"/>
  <c r="BD26" i="2"/>
  <c r="BD48" i="4" s="1"/>
  <c r="BD48" i="5" s="1"/>
  <c r="BE26" i="2"/>
  <c r="BE48" i="4" s="1"/>
  <c r="BE48" i="5" s="1"/>
  <c r="BF26" i="2"/>
  <c r="BF48" i="4" s="1"/>
  <c r="BF48" i="5" s="1"/>
  <c r="BG26" i="2"/>
  <c r="BG48" i="4" s="1"/>
  <c r="BG48" i="5" s="1"/>
  <c r="BH26" i="2"/>
  <c r="BH48" i="4" s="1"/>
  <c r="BH48" i="5" s="1"/>
  <c r="BI26" i="2"/>
  <c r="BI48" i="4" s="1"/>
  <c r="BI48" i="5" s="1"/>
  <c r="BJ26" i="2"/>
  <c r="BJ48" i="4" s="1"/>
  <c r="BJ48" i="5" s="1"/>
  <c r="BK26" i="2"/>
  <c r="BK48" i="4" s="1"/>
  <c r="BK48" i="5" s="1"/>
  <c r="BL26" i="2"/>
  <c r="BL48" i="4" s="1"/>
  <c r="BL48" i="5" s="1"/>
  <c r="BM26" i="2"/>
  <c r="BM48" i="4" s="1"/>
  <c r="BM48" i="5" s="1"/>
  <c r="BN26" i="2"/>
  <c r="BN48" i="4" s="1"/>
  <c r="BN48" i="5" s="1"/>
  <c r="BO26" i="2"/>
  <c r="BO48" i="4" s="1"/>
  <c r="BO48" i="5" s="1"/>
  <c r="BP26" i="2"/>
  <c r="BP48" i="4" s="1"/>
  <c r="BP48" i="5" s="1"/>
  <c r="BQ26" i="2"/>
  <c r="BQ48" i="4" s="1"/>
  <c r="BQ48" i="5" s="1"/>
  <c r="BR26" i="2"/>
  <c r="BR48" i="4" s="1"/>
  <c r="BR48" i="5" s="1"/>
  <c r="BS26" i="2"/>
  <c r="BS48" i="4" s="1"/>
  <c r="BS48" i="5" s="1"/>
  <c r="BT26" i="2"/>
  <c r="BT48" i="4" s="1"/>
  <c r="BT48" i="5" s="1"/>
  <c r="BU26" i="2"/>
  <c r="BU48" i="4" s="1"/>
  <c r="BU48" i="5" s="1"/>
  <c r="BV26" i="2"/>
  <c r="BV48" i="4" s="1"/>
  <c r="BV48" i="5" s="1"/>
  <c r="BW26" i="2"/>
  <c r="BW48" i="4" s="1"/>
  <c r="BW48" i="5" s="1"/>
  <c r="BX26" i="2"/>
  <c r="BX48" i="4" s="1"/>
  <c r="BX48" i="5" s="1"/>
  <c r="BY26" i="2"/>
  <c r="BY48" i="4" s="1"/>
  <c r="BY48" i="5" s="1"/>
  <c r="BZ26" i="2"/>
  <c r="BZ48" i="4" s="1"/>
  <c r="BZ48" i="5" s="1"/>
  <c r="CA26" i="2"/>
  <c r="CA48" i="4" s="1"/>
  <c r="CA48" i="5" s="1"/>
  <c r="CB26" i="2"/>
  <c r="CB48" i="4" s="1"/>
  <c r="CB48" i="5" s="1"/>
  <c r="CC26" i="2"/>
  <c r="CC48" i="4" s="1"/>
  <c r="CC48" i="5" s="1"/>
  <c r="C27" i="2"/>
  <c r="C39" i="4" s="1"/>
  <c r="C39" i="5" s="1"/>
  <c r="D27" i="2"/>
  <c r="D39" i="4" s="1"/>
  <c r="D39" i="5" s="1"/>
  <c r="E27" i="2"/>
  <c r="E39" i="4" s="1"/>
  <c r="E39" i="5" s="1"/>
  <c r="F27" i="2"/>
  <c r="F39" i="4" s="1"/>
  <c r="F39" i="5" s="1"/>
  <c r="G27" i="2"/>
  <c r="G39" i="4" s="1"/>
  <c r="G39" i="5" s="1"/>
  <c r="H27" i="2"/>
  <c r="H39" i="4" s="1"/>
  <c r="H39" i="5" s="1"/>
  <c r="I27" i="2"/>
  <c r="I39" i="4" s="1"/>
  <c r="I39" i="5" s="1"/>
  <c r="J27" i="2"/>
  <c r="J39" i="4" s="1"/>
  <c r="J39" i="5" s="1"/>
  <c r="K27" i="2"/>
  <c r="K39" i="4" s="1"/>
  <c r="K39" i="5" s="1"/>
  <c r="L27" i="2"/>
  <c r="L39" i="4" s="1"/>
  <c r="L39" i="5" s="1"/>
  <c r="M27" i="2"/>
  <c r="M39" i="4" s="1"/>
  <c r="M39" i="5" s="1"/>
  <c r="N27" i="2"/>
  <c r="N39" i="4" s="1"/>
  <c r="N39" i="5" s="1"/>
  <c r="O27" i="2"/>
  <c r="O39" i="4" s="1"/>
  <c r="O39" i="5" s="1"/>
  <c r="P27" i="2"/>
  <c r="P39" i="4" s="1"/>
  <c r="P39" i="5" s="1"/>
  <c r="Q27" i="2"/>
  <c r="Q39" i="4" s="1"/>
  <c r="Q39" i="5" s="1"/>
  <c r="R27" i="2"/>
  <c r="R39" i="4" s="1"/>
  <c r="R39" i="5" s="1"/>
  <c r="S27" i="2"/>
  <c r="S39" i="4" s="1"/>
  <c r="S39" i="5" s="1"/>
  <c r="T27" i="2"/>
  <c r="T39" i="4" s="1"/>
  <c r="T39" i="5" s="1"/>
  <c r="U27" i="2"/>
  <c r="U39" i="4" s="1"/>
  <c r="U39" i="5" s="1"/>
  <c r="V27" i="2"/>
  <c r="V39" i="4" s="1"/>
  <c r="V39" i="5" s="1"/>
  <c r="W27" i="2"/>
  <c r="W39" i="4" s="1"/>
  <c r="W39" i="5" s="1"/>
  <c r="X27" i="2"/>
  <c r="X39" i="4" s="1"/>
  <c r="X39" i="5" s="1"/>
  <c r="Y27" i="2"/>
  <c r="Y39" i="4" s="1"/>
  <c r="Y39" i="5" s="1"/>
  <c r="Z27" i="2"/>
  <c r="Z39" i="4" s="1"/>
  <c r="Z39" i="5" s="1"/>
  <c r="AA27" i="2"/>
  <c r="AA39" i="4" s="1"/>
  <c r="AA39" i="5" s="1"/>
  <c r="AB27" i="2"/>
  <c r="AB39" i="4" s="1"/>
  <c r="AB39" i="5" s="1"/>
  <c r="AC27" i="2"/>
  <c r="AC39" i="4" s="1"/>
  <c r="AC39" i="5" s="1"/>
  <c r="AD27" i="2"/>
  <c r="AD39" i="4" s="1"/>
  <c r="AD39" i="5" s="1"/>
  <c r="AE27" i="2"/>
  <c r="AE39" i="4" s="1"/>
  <c r="AE39" i="5" s="1"/>
  <c r="AF27" i="2"/>
  <c r="AF39" i="4" s="1"/>
  <c r="AF39" i="5" s="1"/>
  <c r="AG27" i="2"/>
  <c r="AG39" i="4" s="1"/>
  <c r="AG39" i="5" s="1"/>
  <c r="AH27" i="2"/>
  <c r="AH39" i="4" s="1"/>
  <c r="AH39" i="5" s="1"/>
  <c r="AI27" i="2"/>
  <c r="AI39" i="4" s="1"/>
  <c r="AI39" i="5" s="1"/>
  <c r="AJ27" i="2"/>
  <c r="AJ39" i="4" s="1"/>
  <c r="AJ39" i="5" s="1"/>
  <c r="AK27" i="2"/>
  <c r="AK39" i="4" s="1"/>
  <c r="AK39" i="5" s="1"/>
  <c r="AL27" i="2"/>
  <c r="AL39" i="4" s="1"/>
  <c r="AL39" i="5" s="1"/>
  <c r="AM27" i="2"/>
  <c r="AM39" i="4" s="1"/>
  <c r="AM39" i="5" s="1"/>
  <c r="AN27" i="2"/>
  <c r="AN39" i="4" s="1"/>
  <c r="AN39" i="5" s="1"/>
  <c r="AO27" i="2"/>
  <c r="AO39" i="4" s="1"/>
  <c r="AO39" i="5" s="1"/>
  <c r="AP27" i="2"/>
  <c r="AP39" i="4" s="1"/>
  <c r="AP39" i="5" s="1"/>
  <c r="AQ27" i="2"/>
  <c r="AQ39" i="4" s="1"/>
  <c r="AQ39" i="5" s="1"/>
  <c r="AR27" i="2"/>
  <c r="AR39" i="4" s="1"/>
  <c r="AR39" i="5" s="1"/>
  <c r="AS27" i="2"/>
  <c r="AS39" i="4" s="1"/>
  <c r="AS39" i="5" s="1"/>
  <c r="AT27" i="2"/>
  <c r="AT39" i="4" s="1"/>
  <c r="AT39" i="5" s="1"/>
  <c r="AU27" i="2"/>
  <c r="AU39" i="4" s="1"/>
  <c r="AU39" i="5" s="1"/>
  <c r="AV27" i="2"/>
  <c r="AV39" i="4" s="1"/>
  <c r="AV39" i="5" s="1"/>
  <c r="AW27" i="2"/>
  <c r="AW39" i="4" s="1"/>
  <c r="AW39" i="5" s="1"/>
  <c r="AX27" i="2"/>
  <c r="AX39" i="4" s="1"/>
  <c r="AX39" i="5" s="1"/>
  <c r="AY27" i="2"/>
  <c r="AY39" i="4" s="1"/>
  <c r="AY39" i="5" s="1"/>
  <c r="AZ27" i="2"/>
  <c r="AZ39" i="4" s="1"/>
  <c r="AZ39" i="5" s="1"/>
  <c r="BA27" i="2"/>
  <c r="BA39" i="4" s="1"/>
  <c r="BA39" i="5" s="1"/>
  <c r="BB27" i="2"/>
  <c r="BB39" i="4" s="1"/>
  <c r="BB39" i="5" s="1"/>
  <c r="BC27" i="2"/>
  <c r="BC39" i="4" s="1"/>
  <c r="BC39" i="5" s="1"/>
  <c r="BD27" i="2"/>
  <c r="BD39" i="4" s="1"/>
  <c r="BD39" i="5" s="1"/>
  <c r="BE27" i="2"/>
  <c r="BE39" i="4" s="1"/>
  <c r="BE39" i="5" s="1"/>
  <c r="BF27" i="2"/>
  <c r="BF39" i="4" s="1"/>
  <c r="BF39" i="5" s="1"/>
  <c r="BG27" i="2"/>
  <c r="BG39" i="4" s="1"/>
  <c r="BG39" i="5" s="1"/>
  <c r="BH27" i="2"/>
  <c r="BH39" i="4" s="1"/>
  <c r="BH39" i="5" s="1"/>
  <c r="BI27" i="2"/>
  <c r="BI39" i="4" s="1"/>
  <c r="BI39" i="5" s="1"/>
  <c r="BJ27" i="2"/>
  <c r="BJ39" i="4" s="1"/>
  <c r="BJ39" i="5" s="1"/>
  <c r="BK27" i="2"/>
  <c r="BK39" i="4" s="1"/>
  <c r="BK39" i="5" s="1"/>
  <c r="BL27" i="2"/>
  <c r="BL39" i="4" s="1"/>
  <c r="BL39" i="5" s="1"/>
  <c r="BM27" i="2"/>
  <c r="BM39" i="4" s="1"/>
  <c r="BM39" i="5" s="1"/>
  <c r="BN27" i="2"/>
  <c r="BN39" i="4" s="1"/>
  <c r="BN39" i="5" s="1"/>
  <c r="BO27" i="2"/>
  <c r="BO39" i="4" s="1"/>
  <c r="BO39" i="5" s="1"/>
  <c r="BP27" i="2"/>
  <c r="BP39" i="4" s="1"/>
  <c r="BP39" i="5" s="1"/>
  <c r="BQ27" i="2"/>
  <c r="BQ39" i="4" s="1"/>
  <c r="BQ39" i="5" s="1"/>
  <c r="BR27" i="2"/>
  <c r="BR39" i="4" s="1"/>
  <c r="BR39" i="5" s="1"/>
  <c r="BS27" i="2"/>
  <c r="BS39" i="4" s="1"/>
  <c r="BS39" i="5" s="1"/>
  <c r="BT27" i="2"/>
  <c r="BT39" i="4" s="1"/>
  <c r="BT39" i="5" s="1"/>
  <c r="BU27" i="2"/>
  <c r="BU39" i="4" s="1"/>
  <c r="BU39" i="5" s="1"/>
  <c r="BV27" i="2"/>
  <c r="BV39" i="4" s="1"/>
  <c r="BV39" i="5" s="1"/>
  <c r="BW27" i="2"/>
  <c r="BW39" i="4" s="1"/>
  <c r="BW39" i="5" s="1"/>
  <c r="BX27" i="2"/>
  <c r="BX39" i="4" s="1"/>
  <c r="BX39" i="5" s="1"/>
  <c r="BY27" i="2"/>
  <c r="BY39" i="4" s="1"/>
  <c r="BY39" i="5" s="1"/>
  <c r="BZ27" i="2"/>
  <c r="BZ39" i="4" s="1"/>
  <c r="BZ39" i="5" s="1"/>
  <c r="CA27" i="2"/>
  <c r="CA39" i="4" s="1"/>
  <c r="CA39" i="5" s="1"/>
  <c r="CB27" i="2"/>
  <c r="CB39" i="4" s="1"/>
  <c r="CB39" i="5" s="1"/>
  <c r="CC27" i="2"/>
  <c r="CC39" i="4" s="1"/>
  <c r="CC39" i="5" s="1"/>
  <c r="C28" i="2"/>
  <c r="C46" i="4" s="1"/>
  <c r="C46" i="5" s="1"/>
  <c r="D28" i="2"/>
  <c r="D46" i="4" s="1"/>
  <c r="D46" i="5" s="1"/>
  <c r="E28" i="2"/>
  <c r="E46" i="4" s="1"/>
  <c r="E46" i="5" s="1"/>
  <c r="F28" i="2"/>
  <c r="F46" i="4" s="1"/>
  <c r="F46" i="5" s="1"/>
  <c r="G28" i="2"/>
  <c r="G46" i="4" s="1"/>
  <c r="G46" i="5" s="1"/>
  <c r="H28" i="2"/>
  <c r="H46" i="4" s="1"/>
  <c r="H46" i="5" s="1"/>
  <c r="I28" i="2"/>
  <c r="I46" i="4" s="1"/>
  <c r="I46" i="5" s="1"/>
  <c r="J28" i="2"/>
  <c r="J46" i="4" s="1"/>
  <c r="J46" i="5" s="1"/>
  <c r="K28" i="2"/>
  <c r="K46" i="4" s="1"/>
  <c r="K46" i="5" s="1"/>
  <c r="L28" i="2"/>
  <c r="L46" i="4" s="1"/>
  <c r="L46" i="5" s="1"/>
  <c r="M28" i="2"/>
  <c r="M46" i="4" s="1"/>
  <c r="M46" i="5" s="1"/>
  <c r="N28" i="2"/>
  <c r="N46" i="4" s="1"/>
  <c r="N46" i="5" s="1"/>
  <c r="O28" i="2"/>
  <c r="O46" i="4" s="1"/>
  <c r="O46" i="5" s="1"/>
  <c r="P28" i="2"/>
  <c r="P46" i="4" s="1"/>
  <c r="P46" i="5" s="1"/>
  <c r="Q28" i="2"/>
  <c r="Q46" i="4" s="1"/>
  <c r="Q46" i="5" s="1"/>
  <c r="R28" i="2"/>
  <c r="R46" i="4" s="1"/>
  <c r="R46" i="5" s="1"/>
  <c r="S28" i="2"/>
  <c r="S46" i="4" s="1"/>
  <c r="S46" i="5" s="1"/>
  <c r="T28" i="2"/>
  <c r="T46" i="4" s="1"/>
  <c r="T46" i="5" s="1"/>
  <c r="U28" i="2"/>
  <c r="U46" i="4" s="1"/>
  <c r="U46" i="5" s="1"/>
  <c r="V28" i="2"/>
  <c r="V46" i="4" s="1"/>
  <c r="V46" i="5" s="1"/>
  <c r="W28" i="2"/>
  <c r="W46" i="4" s="1"/>
  <c r="W46" i="5" s="1"/>
  <c r="X28" i="2"/>
  <c r="X46" i="4" s="1"/>
  <c r="X46" i="5" s="1"/>
  <c r="Y28" i="2"/>
  <c r="Y46" i="4" s="1"/>
  <c r="Y46" i="5" s="1"/>
  <c r="Z28" i="2"/>
  <c r="Z46" i="4" s="1"/>
  <c r="Z46" i="5" s="1"/>
  <c r="AA28" i="2"/>
  <c r="AA46" i="4" s="1"/>
  <c r="AA46" i="5" s="1"/>
  <c r="AB28" i="2"/>
  <c r="AB46" i="4" s="1"/>
  <c r="AB46" i="5" s="1"/>
  <c r="AC28" i="2"/>
  <c r="AC46" i="4" s="1"/>
  <c r="AC46" i="5" s="1"/>
  <c r="AD28" i="2"/>
  <c r="AD46" i="4" s="1"/>
  <c r="AD46" i="5" s="1"/>
  <c r="AE28" i="2"/>
  <c r="AE46" i="4" s="1"/>
  <c r="AE46" i="5" s="1"/>
  <c r="AF28" i="2"/>
  <c r="AF46" i="4" s="1"/>
  <c r="AF46" i="5" s="1"/>
  <c r="AG28" i="2"/>
  <c r="AG46" i="4" s="1"/>
  <c r="AG46" i="5" s="1"/>
  <c r="AH28" i="2"/>
  <c r="AH46" i="4" s="1"/>
  <c r="AH46" i="5" s="1"/>
  <c r="AI28" i="2"/>
  <c r="AI46" i="4" s="1"/>
  <c r="AI46" i="5" s="1"/>
  <c r="AJ28" i="2"/>
  <c r="AJ46" i="4" s="1"/>
  <c r="AJ46" i="5" s="1"/>
  <c r="AK28" i="2"/>
  <c r="AK46" i="4" s="1"/>
  <c r="AK46" i="5" s="1"/>
  <c r="AL28" i="2"/>
  <c r="AL46" i="4" s="1"/>
  <c r="AL46" i="5" s="1"/>
  <c r="AM28" i="2"/>
  <c r="AM46" i="4" s="1"/>
  <c r="AM46" i="5" s="1"/>
  <c r="AN28" i="2"/>
  <c r="AN46" i="4" s="1"/>
  <c r="AN46" i="5" s="1"/>
  <c r="AO28" i="2"/>
  <c r="AO46" i="4" s="1"/>
  <c r="AO46" i="5" s="1"/>
  <c r="AP28" i="2"/>
  <c r="AP46" i="4" s="1"/>
  <c r="AP46" i="5" s="1"/>
  <c r="AQ28" i="2"/>
  <c r="AQ46" i="4" s="1"/>
  <c r="AQ46" i="5" s="1"/>
  <c r="AR28" i="2"/>
  <c r="AR46" i="4" s="1"/>
  <c r="AR46" i="5" s="1"/>
  <c r="AS28" i="2"/>
  <c r="AS46" i="4" s="1"/>
  <c r="AS46" i="5" s="1"/>
  <c r="AT28" i="2"/>
  <c r="AT46" i="4" s="1"/>
  <c r="AT46" i="5" s="1"/>
  <c r="AU28" i="2"/>
  <c r="AU46" i="4" s="1"/>
  <c r="AU46" i="5" s="1"/>
  <c r="AV28" i="2"/>
  <c r="AV46" i="4" s="1"/>
  <c r="AV46" i="5" s="1"/>
  <c r="AW28" i="2"/>
  <c r="AW46" i="4" s="1"/>
  <c r="AW46" i="5" s="1"/>
  <c r="AX28" i="2"/>
  <c r="AX46" i="4" s="1"/>
  <c r="AX46" i="5" s="1"/>
  <c r="AY28" i="2"/>
  <c r="AY46" i="4" s="1"/>
  <c r="AY46" i="5" s="1"/>
  <c r="AZ28" i="2"/>
  <c r="AZ46" i="4" s="1"/>
  <c r="AZ46" i="5" s="1"/>
  <c r="BA28" i="2"/>
  <c r="BA46" i="4" s="1"/>
  <c r="BA46" i="5" s="1"/>
  <c r="BB28" i="2"/>
  <c r="BB46" i="4" s="1"/>
  <c r="BB46" i="5" s="1"/>
  <c r="BC28" i="2"/>
  <c r="BC46" i="4" s="1"/>
  <c r="BC46" i="5" s="1"/>
  <c r="BD28" i="2"/>
  <c r="BD46" i="4" s="1"/>
  <c r="BD46" i="5" s="1"/>
  <c r="BE28" i="2"/>
  <c r="BE46" i="4" s="1"/>
  <c r="BE46" i="5" s="1"/>
  <c r="BF28" i="2"/>
  <c r="BF46" i="4" s="1"/>
  <c r="BF46" i="5" s="1"/>
  <c r="BG28" i="2"/>
  <c r="BG46" i="4" s="1"/>
  <c r="BG46" i="5" s="1"/>
  <c r="BH28" i="2"/>
  <c r="BH46" i="4" s="1"/>
  <c r="BH46" i="5" s="1"/>
  <c r="BI28" i="2"/>
  <c r="BI46" i="4" s="1"/>
  <c r="BI46" i="5" s="1"/>
  <c r="BJ28" i="2"/>
  <c r="BJ46" i="4" s="1"/>
  <c r="BJ46" i="5" s="1"/>
  <c r="BK28" i="2"/>
  <c r="BK46" i="4" s="1"/>
  <c r="BK46" i="5" s="1"/>
  <c r="BL28" i="2"/>
  <c r="BL46" i="4" s="1"/>
  <c r="BL46" i="5" s="1"/>
  <c r="BM28" i="2"/>
  <c r="BM46" i="4" s="1"/>
  <c r="BM46" i="5" s="1"/>
  <c r="BN28" i="2"/>
  <c r="BN46" i="4" s="1"/>
  <c r="BN46" i="5" s="1"/>
  <c r="BO28" i="2"/>
  <c r="BO46" i="4" s="1"/>
  <c r="BO46" i="5" s="1"/>
  <c r="BP28" i="2"/>
  <c r="BP46" i="4" s="1"/>
  <c r="BP46" i="5" s="1"/>
  <c r="BQ28" i="2"/>
  <c r="BQ46" i="4" s="1"/>
  <c r="BQ46" i="5" s="1"/>
  <c r="BR28" i="2"/>
  <c r="BR46" i="4" s="1"/>
  <c r="BR46" i="5" s="1"/>
  <c r="BS28" i="2"/>
  <c r="BS46" i="4" s="1"/>
  <c r="BS46" i="5" s="1"/>
  <c r="BT28" i="2"/>
  <c r="BT46" i="4" s="1"/>
  <c r="BT46" i="5" s="1"/>
  <c r="BU28" i="2"/>
  <c r="BU46" i="4" s="1"/>
  <c r="BU46" i="5" s="1"/>
  <c r="BV28" i="2"/>
  <c r="BV46" i="4" s="1"/>
  <c r="BV46" i="5" s="1"/>
  <c r="BW28" i="2"/>
  <c r="BW46" i="4" s="1"/>
  <c r="BW46" i="5" s="1"/>
  <c r="BX28" i="2"/>
  <c r="BX46" i="4" s="1"/>
  <c r="BX46" i="5" s="1"/>
  <c r="BY28" i="2"/>
  <c r="BY46" i="4" s="1"/>
  <c r="BY46" i="5" s="1"/>
  <c r="BZ28" i="2"/>
  <c r="BZ46" i="4" s="1"/>
  <c r="BZ46" i="5" s="1"/>
  <c r="CA28" i="2"/>
  <c r="CA46" i="4" s="1"/>
  <c r="CA46" i="5" s="1"/>
  <c r="CB28" i="2"/>
  <c r="CB46" i="4" s="1"/>
  <c r="CB46" i="5" s="1"/>
  <c r="CC28" i="2"/>
  <c r="CC46" i="4" s="1"/>
  <c r="CC46" i="5" s="1"/>
  <c r="C29" i="2"/>
  <c r="C9" i="4" s="1"/>
  <c r="C9" i="5" s="1"/>
  <c r="D29" i="2"/>
  <c r="D9" i="4" s="1"/>
  <c r="D9" i="5" s="1"/>
  <c r="E29" i="2"/>
  <c r="E9" i="4" s="1"/>
  <c r="E9" i="5" s="1"/>
  <c r="F29" i="2"/>
  <c r="F9" i="4" s="1"/>
  <c r="F9" i="5" s="1"/>
  <c r="G29" i="2"/>
  <c r="G9" i="4" s="1"/>
  <c r="G9" i="5" s="1"/>
  <c r="H29" i="2"/>
  <c r="H9" i="4" s="1"/>
  <c r="H9" i="5" s="1"/>
  <c r="I29" i="2"/>
  <c r="I9" i="4" s="1"/>
  <c r="I9" i="5" s="1"/>
  <c r="J29" i="2"/>
  <c r="J9" i="4" s="1"/>
  <c r="J9" i="5" s="1"/>
  <c r="K29" i="2"/>
  <c r="K9" i="4" s="1"/>
  <c r="K9" i="5" s="1"/>
  <c r="L29" i="2"/>
  <c r="L9" i="4" s="1"/>
  <c r="L9" i="5" s="1"/>
  <c r="M29" i="2"/>
  <c r="M9" i="4" s="1"/>
  <c r="M9" i="5" s="1"/>
  <c r="N29" i="2"/>
  <c r="N9" i="4" s="1"/>
  <c r="N9" i="5" s="1"/>
  <c r="O29" i="2"/>
  <c r="O9" i="4" s="1"/>
  <c r="O9" i="5" s="1"/>
  <c r="P29" i="2"/>
  <c r="P9" i="4" s="1"/>
  <c r="P9" i="5" s="1"/>
  <c r="Q29" i="2"/>
  <c r="Q9" i="4" s="1"/>
  <c r="Q9" i="5" s="1"/>
  <c r="R29" i="2"/>
  <c r="R9" i="4" s="1"/>
  <c r="R9" i="5" s="1"/>
  <c r="S29" i="2"/>
  <c r="S9" i="4" s="1"/>
  <c r="S9" i="5" s="1"/>
  <c r="T29" i="2"/>
  <c r="T9" i="4" s="1"/>
  <c r="T9" i="5" s="1"/>
  <c r="U29" i="2"/>
  <c r="U9" i="4" s="1"/>
  <c r="U9" i="5" s="1"/>
  <c r="V29" i="2"/>
  <c r="V9" i="4" s="1"/>
  <c r="V9" i="5" s="1"/>
  <c r="W29" i="2"/>
  <c r="W9" i="4" s="1"/>
  <c r="W9" i="5" s="1"/>
  <c r="X29" i="2"/>
  <c r="X9" i="4" s="1"/>
  <c r="X9" i="5" s="1"/>
  <c r="Y29" i="2"/>
  <c r="Y9" i="4" s="1"/>
  <c r="Y9" i="5" s="1"/>
  <c r="Z29" i="2"/>
  <c r="Z9" i="4" s="1"/>
  <c r="Z9" i="5" s="1"/>
  <c r="AA29" i="2"/>
  <c r="AA9" i="4" s="1"/>
  <c r="AA9" i="5" s="1"/>
  <c r="AB29" i="2"/>
  <c r="AB9" i="4" s="1"/>
  <c r="AB9" i="5" s="1"/>
  <c r="AC29" i="2"/>
  <c r="AC9" i="4" s="1"/>
  <c r="AC9" i="5" s="1"/>
  <c r="AD29" i="2"/>
  <c r="AD9" i="4" s="1"/>
  <c r="AD9" i="5" s="1"/>
  <c r="AE29" i="2"/>
  <c r="AE9" i="4" s="1"/>
  <c r="AE9" i="5" s="1"/>
  <c r="AF29" i="2"/>
  <c r="AF9" i="4" s="1"/>
  <c r="AF9" i="5" s="1"/>
  <c r="AG29" i="2"/>
  <c r="AG9" i="4" s="1"/>
  <c r="AG9" i="5" s="1"/>
  <c r="AH29" i="2"/>
  <c r="AH9" i="4" s="1"/>
  <c r="AH9" i="5" s="1"/>
  <c r="AI29" i="2"/>
  <c r="AI9" i="4" s="1"/>
  <c r="AI9" i="5" s="1"/>
  <c r="AJ29" i="2"/>
  <c r="AJ9" i="4" s="1"/>
  <c r="AJ9" i="5" s="1"/>
  <c r="AK29" i="2"/>
  <c r="AK9" i="4" s="1"/>
  <c r="AK9" i="5" s="1"/>
  <c r="AL29" i="2"/>
  <c r="AL9" i="4" s="1"/>
  <c r="AL9" i="5" s="1"/>
  <c r="AM29" i="2"/>
  <c r="AM9" i="4" s="1"/>
  <c r="AM9" i="5" s="1"/>
  <c r="AN29" i="2"/>
  <c r="AN9" i="4" s="1"/>
  <c r="AN9" i="5" s="1"/>
  <c r="AO29" i="2"/>
  <c r="AO9" i="4" s="1"/>
  <c r="AO9" i="5" s="1"/>
  <c r="AP29" i="2"/>
  <c r="AP9" i="4" s="1"/>
  <c r="AP9" i="5" s="1"/>
  <c r="AQ29" i="2"/>
  <c r="AQ9" i="4" s="1"/>
  <c r="AQ9" i="5" s="1"/>
  <c r="AR29" i="2"/>
  <c r="AR9" i="4" s="1"/>
  <c r="AR9" i="5" s="1"/>
  <c r="AS29" i="2"/>
  <c r="AS9" i="4" s="1"/>
  <c r="AS9" i="5" s="1"/>
  <c r="AT29" i="2"/>
  <c r="AT9" i="4" s="1"/>
  <c r="AT9" i="5" s="1"/>
  <c r="AU29" i="2"/>
  <c r="AU9" i="4" s="1"/>
  <c r="AU9" i="5" s="1"/>
  <c r="AV29" i="2"/>
  <c r="AV9" i="4" s="1"/>
  <c r="AV9" i="5" s="1"/>
  <c r="AW29" i="2"/>
  <c r="AW9" i="4" s="1"/>
  <c r="AW9" i="5" s="1"/>
  <c r="AX29" i="2"/>
  <c r="AX9" i="4" s="1"/>
  <c r="AX9" i="5" s="1"/>
  <c r="AY29" i="2"/>
  <c r="AY9" i="4" s="1"/>
  <c r="AY9" i="5" s="1"/>
  <c r="AZ29" i="2"/>
  <c r="AZ9" i="4" s="1"/>
  <c r="AZ9" i="5" s="1"/>
  <c r="BA29" i="2"/>
  <c r="BA9" i="4" s="1"/>
  <c r="BA9" i="5" s="1"/>
  <c r="BB29" i="2"/>
  <c r="BB9" i="4" s="1"/>
  <c r="BB9" i="5" s="1"/>
  <c r="BC29" i="2"/>
  <c r="BC9" i="4" s="1"/>
  <c r="BC9" i="5" s="1"/>
  <c r="BD29" i="2"/>
  <c r="BD9" i="4" s="1"/>
  <c r="BD9" i="5" s="1"/>
  <c r="BE29" i="2"/>
  <c r="BE9" i="4" s="1"/>
  <c r="BE9" i="5" s="1"/>
  <c r="BF29" i="2"/>
  <c r="BF9" i="4" s="1"/>
  <c r="BF9" i="5" s="1"/>
  <c r="BG29" i="2"/>
  <c r="BG9" i="4" s="1"/>
  <c r="BG9" i="5" s="1"/>
  <c r="BH29" i="2"/>
  <c r="BH9" i="4" s="1"/>
  <c r="BH9" i="5" s="1"/>
  <c r="BI29" i="2"/>
  <c r="BI9" i="4" s="1"/>
  <c r="BI9" i="5" s="1"/>
  <c r="BJ29" i="2"/>
  <c r="BJ9" i="4" s="1"/>
  <c r="BJ9" i="5" s="1"/>
  <c r="BK29" i="2"/>
  <c r="BK9" i="4" s="1"/>
  <c r="BK9" i="5" s="1"/>
  <c r="BL29" i="2"/>
  <c r="BL9" i="4" s="1"/>
  <c r="BL9" i="5" s="1"/>
  <c r="BM29" i="2"/>
  <c r="BM9" i="4" s="1"/>
  <c r="BM9" i="5" s="1"/>
  <c r="BN29" i="2"/>
  <c r="BN9" i="4" s="1"/>
  <c r="BN9" i="5" s="1"/>
  <c r="BO29" i="2"/>
  <c r="BO9" i="4" s="1"/>
  <c r="BO9" i="5" s="1"/>
  <c r="BP29" i="2"/>
  <c r="BP9" i="4" s="1"/>
  <c r="BP9" i="5" s="1"/>
  <c r="BQ29" i="2"/>
  <c r="BQ9" i="4" s="1"/>
  <c r="BQ9" i="5" s="1"/>
  <c r="BR29" i="2"/>
  <c r="BR9" i="4" s="1"/>
  <c r="BR9" i="5" s="1"/>
  <c r="BS29" i="2"/>
  <c r="BS9" i="4" s="1"/>
  <c r="BS9" i="5" s="1"/>
  <c r="BT29" i="2"/>
  <c r="BT9" i="4" s="1"/>
  <c r="BT9" i="5" s="1"/>
  <c r="BU29" i="2"/>
  <c r="BU9" i="4" s="1"/>
  <c r="BU9" i="5" s="1"/>
  <c r="BV29" i="2"/>
  <c r="BV9" i="4" s="1"/>
  <c r="BV9" i="5" s="1"/>
  <c r="BW29" i="2"/>
  <c r="BW9" i="4" s="1"/>
  <c r="BW9" i="5" s="1"/>
  <c r="BX29" i="2"/>
  <c r="BX9" i="4" s="1"/>
  <c r="BX9" i="5" s="1"/>
  <c r="BY29" i="2"/>
  <c r="BY9" i="4" s="1"/>
  <c r="BY9" i="5" s="1"/>
  <c r="BZ29" i="2"/>
  <c r="BZ9" i="4" s="1"/>
  <c r="BZ9" i="5" s="1"/>
  <c r="CA29" i="2"/>
  <c r="CA9" i="4" s="1"/>
  <c r="CA9" i="5" s="1"/>
  <c r="CB29" i="2"/>
  <c r="CB9" i="4" s="1"/>
  <c r="CB9" i="5" s="1"/>
  <c r="CC29" i="2"/>
  <c r="CC9" i="4" s="1"/>
  <c r="CC9" i="5" s="1"/>
  <c r="C30" i="2"/>
  <c r="C45" i="4" s="1"/>
  <c r="C45" i="5" s="1"/>
  <c r="D30" i="2"/>
  <c r="D45" i="4" s="1"/>
  <c r="D45" i="5" s="1"/>
  <c r="E30" i="2"/>
  <c r="E45" i="4" s="1"/>
  <c r="E45" i="5" s="1"/>
  <c r="F30" i="2"/>
  <c r="F45" i="4" s="1"/>
  <c r="F45" i="5" s="1"/>
  <c r="G30" i="2"/>
  <c r="G45" i="4" s="1"/>
  <c r="G45" i="5" s="1"/>
  <c r="H30" i="2"/>
  <c r="H45" i="4" s="1"/>
  <c r="H45" i="5" s="1"/>
  <c r="I30" i="2"/>
  <c r="I45" i="4" s="1"/>
  <c r="I45" i="5" s="1"/>
  <c r="J30" i="2"/>
  <c r="J45" i="4" s="1"/>
  <c r="J45" i="5" s="1"/>
  <c r="K30" i="2"/>
  <c r="K45" i="4" s="1"/>
  <c r="K45" i="5" s="1"/>
  <c r="L30" i="2"/>
  <c r="L45" i="4" s="1"/>
  <c r="L45" i="5" s="1"/>
  <c r="M30" i="2"/>
  <c r="M45" i="4" s="1"/>
  <c r="M45" i="5" s="1"/>
  <c r="N30" i="2"/>
  <c r="N45" i="4" s="1"/>
  <c r="N45" i="5" s="1"/>
  <c r="O30" i="2"/>
  <c r="O45" i="4" s="1"/>
  <c r="O45" i="5" s="1"/>
  <c r="P30" i="2"/>
  <c r="P45" i="4" s="1"/>
  <c r="P45" i="5" s="1"/>
  <c r="Q30" i="2"/>
  <c r="Q45" i="4" s="1"/>
  <c r="Q45" i="5" s="1"/>
  <c r="R30" i="2"/>
  <c r="R45" i="4" s="1"/>
  <c r="R45" i="5" s="1"/>
  <c r="S30" i="2"/>
  <c r="S45" i="4" s="1"/>
  <c r="S45" i="5" s="1"/>
  <c r="T30" i="2"/>
  <c r="T45" i="4" s="1"/>
  <c r="T45" i="5" s="1"/>
  <c r="U30" i="2"/>
  <c r="U45" i="4" s="1"/>
  <c r="U45" i="5" s="1"/>
  <c r="V30" i="2"/>
  <c r="V45" i="4" s="1"/>
  <c r="V45" i="5" s="1"/>
  <c r="W30" i="2"/>
  <c r="W45" i="4" s="1"/>
  <c r="W45" i="5" s="1"/>
  <c r="X30" i="2"/>
  <c r="X45" i="4" s="1"/>
  <c r="X45" i="5" s="1"/>
  <c r="Y30" i="2"/>
  <c r="Y45" i="4" s="1"/>
  <c r="Y45" i="5" s="1"/>
  <c r="Z30" i="2"/>
  <c r="Z45" i="4" s="1"/>
  <c r="Z45" i="5" s="1"/>
  <c r="AA30" i="2"/>
  <c r="AA45" i="4" s="1"/>
  <c r="AA45" i="5" s="1"/>
  <c r="AB30" i="2"/>
  <c r="AB45" i="4" s="1"/>
  <c r="AB45" i="5" s="1"/>
  <c r="AC30" i="2"/>
  <c r="AC45" i="4" s="1"/>
  <c r="AC45" i="5" s="1"/>
  <c r="AD30" i="2"/>
  <c r="AD45" i="4" s="1"/>
  <c r="AD45" i="5" s="1"/>
  <c r="AE30" i="2"/>
  <c r="AE45" i="4" s="1"/>
  <c r="AE45" i="5" s="1"/>
  <c r="AF30" i="2"/>
  <c r="AF45" i="4" s="1"/>
  <c r="AF45" i="5" s="1"/>
  <c r="AG30" i="2"/>
  <c r="AG45" i="4" s="1"/>
  <c r="AG45" i="5" s="1"/>
  <c r="AH30" i="2"/>
  <c r="AH45" i="4" s="1"/>
  <c r="AH45" i="5" s="1"/>
  <c r="AI30" i="2"/>
  <c r="AI45" i="4" s="1"/>
  <c r="AI45" i="5" s="1"/>
  <c r="AJ30" i="2"/>
  <c r="AJ45" i="4" s="1"/>
  <c r="AJ45" i="5" s="1"/>
  <c r="AK30" i="2"/>
  <c r="AK45" i="4" s="1"/>
  <c r="AK45" i="5" s="1"/>
  <c r="AL30" i="2"/>
  <c r="AL45" i="4" s="1"/>
  <c r="AL45" i="5" s="1"/>
  <c r="AM30" i="2"/>
  <c r="AM45" i="4" s="1"/>
  <c r="AM45" i="5" s="1"/>
  <c r="AN30" i="2"/>
  <c r="AN45" i="4" s="1"/>
  <c r="AN45" i="5" s="1"/>
  <c r="AO30" i="2"/>
  <c r="AO45" i="4" s="1"/>
  <c r="AO45" i="5" s="1"/>
  <c r="AP30" i="2"/>
  <c r="AP45" i="4" s="1"/>
  <c r="AP45" i="5" s="1"/>
  <c r="AQ30" i="2"/>
  <c r="AQ45" i="4" s="1"/>
  <c r="AQ45" i="5" s="1"/>
  <c r="AR30" i="2"/>
  <c r="AR45" i="4" s="1"/>
  <c r="AR45" i="5" s="1"/>
  <c r="AS30" i="2"/>
  <c r="AS45" i="4" s="1"/>
  <c r="AS45" i="5" s="1"/>
  <c r="AT30" i="2"/>
  <c r="AT45" i="4" s="1"/>
  <c r="AT45" i="5" s="1"/>
  <c r="AU30" i="2"/>
  <c r="AU45" i="4" s="1"/>
  <c r="AU45" i="5" s="1"/>
  <c r="AV30" i="2"/>
  <c r="AV45" i="4" s="1"/>
  <c r="AV45" i="5" s="1"/>
  <c r="AW30" i="2"/>
  <c r="AW45" i="4" s="1"/>
  <c r="AW45" i="5" s="1"/>
  <c r="AX30" i="2"/>
  <c r="AX45" i="4" s="1"/>
  <c r="AX45" i="5" s="1"/>
  <c r="AY30" i="2"/>
  <c r="AY45" i="4" s="1"/>
  <c r="AY45" i="5" s="1"/>
  <c r="AZ30" i="2"/>
  <c r="AZ45" i="4" s="1"/>
  <c r="AZ45" i="5" s="1"/>
  <c r="BA30" i="2"/>
  <c r="BA45" i="4" s="1"/>
  <c r="BA45" i="5" s="1"/>
  <c r="BB30" i="2"/>
  <c r="BB45" i="4" s="1"/>
  <c r="BB45" i="5" s="1"/>
  <c r="BC30" i="2"/>
  <c r="BC45" i="4" s="1"/>
  <c r="BC45" i="5" s="1"/>
  <c r="BD30" i="2"/>
  <c r="BD45" i="4" s="1"/>
  <c r="BD45" i="5" s="1"/>
  <c r="BE30" i="2"/>
  <c r="BE45" i="4" s="1"/>
  <c r="BE45" i="5" s="1"/>
  <c r="BF30" i="2"/>
  <c r="BF45" i="4" s="1"/>
  <c r="BF45" i="5" s="1"/>
  <c r="BG30" i="2"/>
  <c r="BG45" i="4" s="1"/>
  <c r="BG45" i="5" s="1"/>
  <c r="BH30" i="2"/>
  <c r="BH45" i="4" s="1"/>
  <c r="BH45" i="5" s="1"/>
  <c r="BI30" i="2"/>
  <c r="BI45" i="4" s="1"/>
  <c r="BI45" i="5" s="1"/>
  <c r="BJ30" i="2"/>
  <c r="BJ45" i="4" s="1"/>
  <c r="BJ45" i="5" s="1"/>
  <c r="BK30" i="2"/>
  <c r="BK45" i="4" s="1"/>
  <c r="BK45" i="5" s="1"/>
  <c r="BL30" i="2"/>
  <c r="BL45" i="4" s="1"/>
  <c r="BL45" i="5" s="1"/>
  <c r="BM30" i="2"/>
  <c r="BM45" i="4" s="1"/>
  <c r="BM45" i="5" s="1"/>
  <c r="BN30" i="2"/>
  <c r="BN45" i="4" s="1"/>
  <c r="BN45" i="5" s="1"/>
  <c r="BO30" i="2"/>
  <c r="BO45" i="4" s="1"/>
  <c r="BO45" i="5" s="1"/>
  <c r="BP30" i="2"/>
  <c r="BP45" i="4" s="1"/>
  <c r="BP45" i="5" s="1"/>
  <c r="BQ30" i="2"/>
  <c r="BQ45" i="4" s="1"/>
  <c r="BQ45" i="5" s="1"/>
  <c r="BR30" i="2"/>
  <c r="BR45" i="4" s="1"/>
  <c r="BR45" i="5" s="1"/>
  <c r="BS30" i="2"/>
  <c r="BS45" i="4" s="1"/>
  <c r="BS45" i="5" s="1"/>
  <c r="BT30" i="2"/>
  <c r="BT45" i="4" s="1"/>
  <c r="BT45" i="5" s="1"/>
  <c r="BU30" i="2"/>
  <c r="BU45" i="4" s="1"/>
  <c r="BU45" i="5" s="1"/>
  <c r="BV30" i="2"/>
  <c r="BV45" i="4" s="1"/>
  <c r="BV45" i="5" s="1"/>
  <c r="BW30" i="2"/>
  <c r="BW45" i="4" s="1"/>
  <c r="BW45" i="5" s="1"/>
  <c r="BX30" i="2"/>
  <c r="BX45" i="4" s="1"/>
  <c r="BX45" i="5" s="1"/>
  <c r="BY30" i="2"/>
  <c r="BY45" i="4" s="1"/>
  <c r="BY45" i="5" s="1"/>
  <c r="BZ30" i="2"/>
  <c r="BZ45" i="4" s="1"/>
  <c r="BZ45" i="5" s="1"/>
  <c r="CA30" i="2"/>
  <c r="CA45" i="4" s="1"/>
  <c r="CA45" i="5" s="1"/>
  <c r="CB30" i="2"/>
  <c r="CB45" i="4" s="1"/>
  <c r="CB45" i="5" s="1"/>
  <c r="CC30" i="2"/>
  <c r="CC45" i="4" s="1"/>
  <c r="CC45" i="5" s="1"/>
  <c r="C31" i="2"/>
  <c r="C20" i="4" s="1"/>
  <c r="C20" i="5" s="1"/>
  <c r="D31" i="2"/>
  <c r="D20" i="4" s="1"/>
  <c r="D20" i="5" s="1"/>
  <c r="E31" i="2"/>
  <c r="E20" i="4" s="1"/>
  <c r="E20" i="5" s="1"/>
  <c r="F31" i="2"/>
  <c r="F20" i="4" s="1"/>
  <c r="F20" i="5" s="1"/>
  <c r="G31" i="2"/>
  <c r="G20" i="4" s="1"/>
  <c r="G20" i="5" s="1"/>
  <c r="H31" i="2"/>
  <c r="H20" i="4" s="1"/>
  <c r="H20" i="5" s="1"/>
  <c r="I31" i="2"/>
  <c r="I20" i="4" s="1"/>
  <c r="I20" i="5" s="1"/>
  <c r="J31" i="2"/>
  <c r="J20" i="4" s="1"/>
  <c r="J20" i="5" s="1"/>
  <c r="K31" i="2"/>
  <c r="K20" i="4" s="1"/>
  <c r="K20" i="5" s="1"/>
  <c r="L31" i="2"/>
  <c r="L20" i="4" s="1"/>
  <c r="L20" i="5" s="1"/>
  <c r="M31" i="2"/>
  <c r="M20" i="4" s="1"/>
  <c r="M20" i="5" s="1"/>
  <c r="N31" i="2"/>
  <c r="N20" i="4" s="1"/>
  <c r="N20" i="5" s="1"/>
  <c r="O31" i="2"/>
  <c r="O20" i="4" s="1"/>
  <c r="O20" i="5" s="1"/>
  <c r="P31" i="2"/>
  <c r="P20" i="4" s="1"/>
  <c r="P20" i="5" s="1"/>
  <c r="Q31" i="2"/>
  <c r="Q20" i="4" s="1"/>
  <c r="Q20" i="5" s="1"/>
  <c r="R31" i="2"/>
  <c r="R20" i="4" s="1"/>
  <c r="R20" i="5" s="1"/>
  <c r="S31" i="2"/>
  <c r="S20" i="4" s="1"/>
  <c r="S20" i="5" s="1"/>
  <c r="T31" i="2"/>
  <c r="T20" i="4" s="1"/>
  <c r="T20" i="5" s="1"/>
  <c r="U31" i="2"/>
  <c r="U20" i="4" s="1"/>
  <c r="U20" i="5" s="1"/>
  <c r="V31" i="2"/>
  <c r="V20" i="4" s="1"/>
  <c r="V20" i="5" s="1"/>
  <c r="W31" i="2"/>
  <c r="W20" i="4" s="1"/>
  <c r="W20" i="5" s="1"/>
  <c r="X31" i="2"/>
  <c r="X20" i="4" s="1"/>
  <c r="X20" i="5" s="1"/>
  <c r="Y31" i="2"/>
  <c r="Y20" i="4" s="1"/>
  <c r="Y20" i="5" s="1"/>
  <c r="Z31" i="2"/>
  <c r="Z20" i="4" s="1"/>
  <c r="Z20" i="5" s="1"/>
  <c r="AA31" i="2"/>
  <c r="AA20" i="4" s="1"/>
  <c r="AA20" i="5" s="1"/>
  <c r="AB31" i="2"/>
  <c r="AB20" i="4" s="1"/>
  <c r="AB20" i="5" s="1"/>
  <c r="AC31" i="2"/>
  <c r="AC20" i="4" s="1"/>
  <c r="AC20" i="5" s="1"/>
  <c r="AD31" i="2"/>
  <c r="AD20" i="4" s="1"/>
  <c r="AD20" i="5" s="1"/>
  <c r="AE31" i="2"/>
  <c r="AE20" i="4" s="1"/>
  <c r="AE20" i="5" s="1"/>
  <c r="AF31" i="2"/>
  <c r="AF20" i="4" s="1"/>
  <c r="AF20" i="5" s="1"/>
  <c r="AG31" i="2"/>
  <c r="AG20" i="4" s="1"/>
  <c r="AG20" i="5" s="1"/>
  <c r="AH31" i="2"/>
  <c r="AH20" i="4" s="1"/>
  <c r="AH20" i="5" s="1"/>
  <c r="AI31" i="2"/>
  <c r="AI20" i="4" s="1"/>
  <c r="AI20" i="5" s="1"/>
  <c r="AJ31" i="2"/>
  <c r="AJ20" i="4" s="1"/>
  <c r="AJ20" i="5" s="1"/>
  <c r="AK31" i="2"/>
  <c r="AK20" i="4" s="1"/>
  <c r="AK20" i="5" s="1"/>
  <c r="AL31" i="2"/>
  <c r="AL20" i="4" s="1"/>
  <c r="AL20" i="5" s="1"/>
  <c r="AM31" i="2"/>
  <c r="AM20" i="4" s="1"/>
  <c r="AM20" i="5" s="1"/>
  <c r="AN31" i="2"/>
  <c r="AN20" i="4" s="1"/>
  <c r="AN20" i="5" s="1"/>
  <c r="AO31" i="2"/>
  <c r="AO20" i="4" s="1"/>
  <c r="AO20" i="5" s="1"/>
  <c r="AP31" i="2"/>
  <c r="AP20" i="4" s="1"/>
  <c r="AP20" i="5" s="1"/>
  <c r="AQ31" i="2"/>
  <c r="AQ20" i="4" s="1"/>
  <c r="AQ20" i="5" s="1"/>
  <c r="AR31" i="2"/>
  <c r="AR20" i="4" s="1"/>
  <c r="AR20" i="5" s="1"/>
  <c r="AS31" i="2"/>
  <c r="AS20" i="4" s="1"/>
  <c r="AS20" i="5" s="1"/>
  <c r="AT31" i="2"/>
  <c r="AT20" i="4" s="1"/>
  <c r="AT20" i="5" s="1"/>
  <c r="AU31" i="2"/>
  <c r="AU20" i="4" s="1"/>
  <c r="AU20" i="5" s="1"/>
  <c r="AV31" i="2"/>
  <c r="AV20" i="4" s="1"/>
  <c r="AV20" i="5" s="1"/>
  <c r="AW31" i="2"/>
  <c r="AW20" i="4" s="1"/>
  <c r="AW20" i="5" s="1"/>
  <c r="AX31" i="2"/>
  <c r="AX20" i="4" s="1"/>
  <c r="AX20" i="5" s="1"/>
  <c r="AY31" i="2"/>
  <c r="AY20" i="4" s="1"/>
  <c r="AY20" i="5" s="1"/>
  <c r="AZ31" i="2"/>
  <c r="AZ20" i="4" s="1"/>
  <c r="AZ20" i="5" s="1"/>
  <c r="BA31" i="2"/>
  <c r="BA20" i="4" s="1"/>
  <c r="BA20" i="5" s="1"/>
  <c r="BB31" i="2"/>
  <c r="BB20" i="4" s="1"/>
  <c r="BB20" i="5" s="1"/>
  <c r="BC31" i="2"/>
  <c r="BC20" i="4" s="1"/>
  <c r="BC20" i="5" s="1"/>
  <c r="BD31" i="2"/>
  <c r="BD20" i="4" s="1"/>
  <c r="BD20" i="5" s="1"/>
  <c r="BE31" i="2"/>
  <c r="BE20" i="4" s="1"/>
  <c r="BE20" i="5" s="1"/>
  <c r="BF31" i="2"/>
  <c r="BF20" i="4" s="1"/>
  <c r="BF20" i="5" s="1"/>
  <c r="BG31" i="2"/>
  <c r="BG20" i="4" s="1"/>
  <c r="BG20" i="5" s="1"/>
  <c r="BH31" i="2"/>
  <c r="BH20" i="4" s="1"/>
  <c r="BH20" i="5" s="1"/>
  <c r="BI31" i="2"/>
  <c r="BI20" i="4" s="1"/>
  <c r="BI20" i="5" s="1"/>
  <c r="BJ31" i="2"/>
  <c r="BJ20" i="4" s="1"/>
  <c r="BJ20" i="5" s="1"/>
  <c r="BK31" i="2"/>
  <c r="BK20" i="4" s="1"/>
  <c r="BK20" i="5" s="1"/>
  <c r="BL31" i="2"/>
  <c r="BL20" i="4" s="1"/>
  <c r="BL20" i="5" s="1"/>
  <c r="BM31" i="2"/>
  <c r="BM20" i="4" s="1"/>
  <c r="BM20" i="5" s="1"/>
  <c r="BN31" i="2"/>
  <c r="BN20" i="4" s="1"/>
  <c r="BN20" i="5" s="1"/>
  <c r="BO31" i="2"/>
  <c r="BO20" i="4" s="1"/>
  <c r="BO20" i="5" s="1"/>
  <c r="BP31" i="2"/>
  <c r="BP20" i="4" s="1"/>
  <c r="BP20" i="5" s="1"/>
  <c r="BQ31" i="2"/>
  <c r="BQ20" i="4" s="1"/>
  <c r="BQ20" i="5" s="1"/>
  <c r="BR31" i="2"/>
  <c r="BR20" i="4" s="1"/>
  <c r="BR20" i="5" s="1"/>
  <c r="BS31" i="2"/>
  <c r="BS20" i="4" s="1"/>
  <c r="BS20" i="5" s="1"/>
  <c r="BT31" i="2"/>
  <c r="BT20" i="4" s="1"/>
  <c r="BT20" i="5" s="1"/>
  <c r="BU31" i="2"/>
  <c r="BU20" i="4" s="1"/>
  <c r="BU20" i="5" s="1"/>
  <c r="BV31" i="2"/>
  <c r="BV20" i="4" s="1"/>
  <c r="BV20" i="5" s="1"/>
  <c r="BW31" i="2"/>
  <c r="BW20" i="4" s="1"/>
  <c r="BW20" i="5" s="1"/>
  <c r="BX31" i="2"/>
  <c r="BX20" i="4" s="1"/>
  <c r="BX20" i="5" s="1"/>
  <c r="BY31" i="2"/>
  <c r="BY20" i="4" s="1"/>
  <c r="BY20" i="5" s="1"/>
  <c r="BZ31" i="2"/>
  <c r="BZ20" i="4" s="1"/>
  <c r="BZ20" i="5" s="1"/>
  <c r="CA31" i="2"/>
  <c r="CA20" i="4" s="1"/>
  <c r="CA20" i="5" s="1"/>
  <c r="CB31" i="2"/>
  <c r="CB20" i="4" s="1"/>
  <c r="CB20" i="5" s="1"/>
  <c r="CC31" i="2"/>
  <c r="CC20" i="4" s="1"/>
  <c r="CC20" i="5" s="1"/>
  <c r="C32" i="2"/>
  <c r="C6" i="4" s="1"/>
  <c r="C6" i="5" s="1"/>
  <c r="D32" i="2"/>
  <c r="D6" i="4" s="1"/>
  <c r="D6" i="5" s="1"/>
  <c r="E32" i="2"/>
  <c r="E6" i="4" s="1"/>
  <c r="E6" i="5" s="1"/>
  <c r="F32" i="2"/>
  <c r="F6" i="4" s="1"/>
  <c r="F6" i="5" s="1"/>
  <c r="G32" i="2"/>
  <c r="G6" i="4" s="1"/>
  <c r="G6" i="5" s="1"/>
  <c r="H32" i="2"/>
  <c r="H6" i="4" s="1"/>
  <c r="H6" i="5" s="1"/>
  <c r="I32" i="2"/>
  <c r="I6" i="4" s="1"/>
  <c r="I6" i="5" s="1"/>
  <c r="J32" i="2"/>
  <c r="J6" i="4" s="1"/>
  <c r="J6" i="5" s="1"/>
  <c r="K32" i="2"/>
  <c r="K6" i="4" s="1"/>
  <c r="K6" i="5" s="1"/>
  <c r="L32" i="2"/>
  <c r="L6" i="4" s="1"/>
  <c r="L6" i="5" s="1"/>
  <c r="M32" i="2"/>
  <c r="M6" i="4" s="1"/>
  <c r="M6" i="5" s="1"/>
  <c r="N32" i="2"/>
  <c r="N6" i="4" s="1"/>
  <c r="N6" i="5" s="1"/>
  <c r="O32" i="2"/>
  <c r="O6" i="4" s="1"/>
  <c r="O6" i="5" s="1"/>
  <c r="P32" i="2"/>
  <c r="P6" i="4" s="1"/>
  <c r="P6" i="5" s="1"/>
  <c r="Q32" i="2"/>
  <c r="Q6" i="4" s="1"/>
  <c r="Q6" i="5" s="1"/>
  <c r="R32" i="2"/>
  <c r="R6" i="4" s="1"/>
  <c r="R6" i="5" s="1"/>
  <c r="S32" i="2"/>
  <c r="S6" i="4" s="1"/>
  <c r="S6" i="5" s="1"/>
  <c r="T32" i="2"/>
  <c r="T6" i="4" s="1"/>
  <c r="T6" i="5" s="1"/>
  <c r="U32" i="2"/>
  <c r="U6" i="4" s="1"/>
  <c r="U6" i="5" s="1"/>
  <c r="V32" i="2"/>
  <c r="V6" i="4" s="1"/>
  <c r="V6" i="5" s="1"/>
  <c r="W32" i="2"/>
  <c r="W6" i="4" s="1"/>
  <c r="W6" i="5" s="1"/>
  <c r="X32" i="2"/>
  <c r="X6" i="4" s="1"/>
  <c r="X6" i="5" s="1"/>
  <c r="Y32" i="2"/>
  <c r="Y6" i="4" s="1"/>
  <c r="Y6" i="5" s="1"/>
  <c r="Z32" i="2"/>
  <c r="Z6" i="4" s="1"/>
  <c r="Z6" i="5" s="1"/>
  <c r="AA32" i="2"/>
  <c r="AA6" i="4" s="1"/>
  <c r="AA6" i="5" s="1"/>
  <c r="AB32" i="2"/>
  <c r="AB6" i="4" s="1"/>
  <c r="AB6" i="5" s="1"/>
  <c r="AC32" i="2"/>
  <c r="AC6" i="4" s="1"/>
  <c r="AC6" i="5" s="1"/>
  <c r="AD32" i="2"/>
  <c r="AD6" i="4" s="1"/>
  <c r="AD6" i="5" s="1"/>
  <c r="AE32" i="2"/>
  <c r="AE6" i="4" s="1"/>
  <c r="AE6" i="5" s="1"/>
  <c r="AF32" i="2"/>
  <c r="AF6" i="4" s="1"/>
  <c r="AF6" i="5" s="1"/>
  <c r="AG32" i="2"/>
  <c r="AG6" i="4" s="1"/>
  <c r="AG6" i="5" s="1"/>
  <c r="AH32" i="2"/>
  <c r="AH6" i="4" s="1"/>
  <c r="AH6" i="5" s="1"/>
  <c r="AI32" i="2"/>
  <c r="AI6" i="4" s="1"/>
  <c r="AI6" i="5" s="1"/>
  <c r="AJ32" i="2"/>
  <c r="AJ6" i="4" s="1"/>
  <c r="AJ6" i="5" s="1"/>
  <c r="AK32" i="2"/>
  <c r="AK6" i="4" s="1"/>
  <c r="AK6" i="5" s="1"/>
  <c r="AL32" i="2"/>
  <c r="AL6" i="4" s="1"/>
  <c r="AL6" i="5" s="1"/>
  <c r="AM32" i="2"/>
  <c r="AM6" i="4" s="1"/>
  <c r="AM6" i="5" s="1"/>
  <c r="AN32" i="2"/>
  <c r="AN6" i="4" s="1"/>
  <c r="AN6" i="5" s="1"/>
  <c r="AO32" i="2"/>
  <c r="AO6" i="4" s="1"/>
  <c r="AO6" i="5" s="1"/>
  <c r="AP32" i="2"/>
  <c r="AP6" i="4" s="1"/>
  <c r="AP6" i="5" s="1"/>
  <c r="AQ32" i="2"/>
  <c r="AQ6" i="4" s="1"/>
  <c r="AQ6" i="5" s="1"/>
  <c r="AR32" i="2"/>
  <c r="AR6" i="4" s="1"/>
  <c r="AR6" i="5" s="1"/>
  <c r="AS32" i="2"/>
  <c r="AS6" i="4" s="1"/>
  <c r="AS6" i="5" s="1"/>
  <c r="AT32" i="2"/>
  <c r="AT6" i="4" s="1"/>
  <c r="AT6" i="5" s="1"/>
  <c r="AU32" i="2"/>
  <c r="AU6" i="4" s="1"/>
  <c r="AU6" i="5" s="1"/>
  <c r="AV32" i="2"/>
  <c r="AV6" i="4" s="1"/>
  <c r="AV6" i="5" s="1"/>
  <c r="AW32" i="2"/>
  <c r="AW6" i="4" s="1"/>
  <c r="AW6" i="5" s="1"/>
  <c r="AX32" i="2"/>
  <c r="AX6" i="4" s="1"/>
  <c r="AX6" i="5" s="1"/>
  <c r="AY32" i="2"/>
  <c r="AY6" i="4" s="1"/>
  <c r="AY6" i="5" s="1"/>
  <c r="AZ32" i="2"/>
  <c r="AZ6" i="4" s="1"/>
  <c r="AZ6" i="5" s="1"/>
  <c r="BA32" i="2"/>
  <c r="BA6" i="4" s="1"/>
  <c r="BA6" i="5" s="1"/>
  <c r="BB32" i="2"/>
  <c r="BB6" i="4" s="1"/>
  <c r="BB6" i="5" s="1"/>
  <c r="BC32" i="2"/>
  <c r="BC6" i="4" s="1"/>
  <c r="BC6" i="5" s="1"/>
  <c r="BD32" i="2"/>
  <c r="BD6" i="4" s="1"/>
  <c r="BD6" i="5" s="1"/>
  <c r="BE32" i="2"/>
  <c r="BE6" i="4" s="1"/>
  <c r="BE6" i="5" s="1"/>
  <c r="BF32" i="2"/>
  <c r="BF6" i="4" s="1"/>
  <c r="BF6" i="5" s="1"/>
  <c r="BG32" i="2"/>
  <c r="BG6" i="4" s="1"/>
  <c r="BG6" i="5" s="1"/>
  <c r="BH32" i="2"/>
  <c r="BH6" i="4" s="1"/>
  <c r="BH6" i="5" s="1"/>
  <c r="BI32" i="2"/>
  <c r="BI6" i="4" s="1"/>
  <c r="BI6" i="5" s="1"/>
  <c r="BJ32" i="2"/>
  <c r="BJ6" i="4" s="1"/>
  <c r="BJ6" i="5" s="1"/>
  <c r="BK32" i="2"/>
  <c r="BK6" i="4" s="1"/>
  <c r="BK6" i="5" s="1"/>
  <c r="BL32" i="2"/>
  <c r="BL6" i="4" s="1"/>
  <c r="BL6" i="5" s="1"/>
  <c r="BM32" i="2"/>
  <c r="BM6" i="4" s="1"/>
  <c r="BM6" i="5" s="1"/>
  <c r="BN32" i="2"/>
  <c r="BN6" i="4" s="1"/>
  <c r="BN6" i="5" s="1"/>
  <c r="BO32" i="2"/>
  <c r="BO6" i="4" s="1"/>
  <c r="BO6" i="5" s="1"/>
  <c r="BP32" i="2"/>
  <c r="BP6" i="4" s="1"/>
  <c r="BP6" i="5" s="1"/>
  <c r="BQ32" i="2"/>
  <c r="BQ6" i="4" s="1"/>
  <c r="BQ6" i="5" s="1"/>
  <c r="BR32" i="2"/>
  <c r="BR6" i="4" s="1"/>
  <c r="BR6" i="5" s="1"/>
  <c r="BS32" i="2"/>
  <c r="BS6" i="4" s="1"/>
  <c r="BS6" i="5" s="1"/>
  <c r="BT32" i="2"/>
  <c r="BT6" i="4" s="1"/>
  <c r="BT6" i="5" s="1"/>
  <c r="BU32" i="2"/>
  <c r="BU6" i="4" s="1"/>
  <c r="BU6" i="5" s="1"/>
  <c r="BV32" i="2"/>
  <c r="BV6" i="4" s="1"/>
  <c r="BV6" i="5" s="1"/>
  <c r="BW32" i="2"/>
  <c r="BW6" i="4" s="1"/>
  <c r="BW6" i="5" s="1"/>
  <c r="BX32" i="2"/>
  <c r="BX6" i="4" s="1"/>
  <c r="BX6" i="5" s="1"/>
  <c r="BY32" i="2"/>
  <c r="BY6" i="4" s="1"/>
  <c r="BY6" i="5" s="1"/>
  <c r="BZ32" i="2"/>
  <c r="BZ6" i="4" s="1"/>
  <c r="BZ6" i="5" s="1"/>
  <c r="CA32" i="2"/>
  <c r="CA6" i="4" s="1"/>
  <c r="CA6" i="5" s="1"/>
  <c r="CB32" i="2"/>
  <c r="CB6" i="4" s="1"/>
  <c r="CB6" i="5" s="1"/>
  <c r="CC32" i="2"/>
  <c r="CC6" i="4" s="1"/>
  <c r="CC6" i="5" s="1"/>
  <c r="C33" i="2"/>
  <c r="C23" i="4" s="1"/>
  <c r="C23" i="5" s="1"/>
  <c r="D33" i="2"/>
  <c r="D23" i="4" s="1"/>
  <c r="D23" i="5" s="1"/>
  <c r="E33" i="2"/>
  <c r="E23" i="4" s="1"/>
  <c r="E23" i="5" s="1"/>
  <c r="F33" i="2"/>
  <c r="F23" i="4" s="1"/>
  <c r="F23" i="5" s="1"/>
  <c r="G33" i="2"/>
  <c r="G23" i="4" s="1"/>
  <c r="G23" i="5" s="1"/>
  <c r="H33" i="2"/>
  <c r="H23" i="4" s="1"/>
  <c r="H23" i="5" s="1"/>
  <c r="I33" i="2"/>
  <c r="I23" i="4" s="1"/>
  <c r="I23" i="5" s="1"/>
  <c r="J33" i="2"/>
  <c r="J23" i="4" s="1"/>
  <c r="J23" i="5" s="1"/>
  <c r="K33" i="2"/>
  <c r="K23" i="4" s="1"/>
  <c r="K23" i="5" s="1"/>
  <c r="L33" i="2"/>
  <c r="L23" i="4" s="1"/>
  <c r="L23" i="5" s="1"/>
  <c r="M33" i="2"/>
  <c r="M23" i="4" s="1"/>
  <c r="M23" i="5" s="1"/>
  <c r="N33" i="2"/>
  <c r="N23" i="4" s="1"/>
  <c r="N23" i="5" s="1"/>
  <c r="O33" i="2"/>
  <c r="O23" i="4" s="1"/>
  <c r="O23" i="5" s="1"/>
  <c r="P33" i="2"/>
  <c r="P23" i="4" s="1"/>
  <c r="P23" i="5" s="1"/>
  <c r="Q33" i="2"/>
  <c r="Q23" i="4" s="1"/>
  <c r="Q23" i="5" s="1"/>
  <c r="R33" i="2"/>
  <c r="R23" i="4" s="1"/>
  <c r="R23" i="5" s="1"/>
  <c r="S33" i="2"/>
  <c r="S23" i="4" s="1"/>
  <c r="S23" i="5" s="1"/>
  <c r="T33" i="2"/>
  <c r="T23" i="4" s="1"/>
  <c r="T23" i="5" s="1"/>
  <c r="U33" i="2"/>
  <c r="U23" i="4" s="1"/>
  <c r="U23" i="5" s="1"/>
  <c r="V33" i="2"/>
  <c r="V23" i="4" s="1"/>
  <c r="V23" i="5" s="1"/>
  <c r="W33" i="2"/>
  <c r="W23" i="4" s="1"/>
  <c r="W23" i="5" s="1"/>
  <c r="X33" i="2"/>
  <c r="X23" i="4" s="1"/>
  <c r="X23" i="5" s="1"/>
  <c r="Y33" i="2"/>
  <c r="Y23" i="4" s="1"/>
  <c r="Y23" i="5" s="1"/>
  <c r="Z33" i="2"/>
  <c r="Z23" i="4" s="1"/>
  <c r="Z23" i="5" s="1"/>
  <c r="AA33" i="2"/>
  <c r="AA23" i="4" s="1"/>
  <c r="AA23" i="5" s="1"/>
  <c r="AB33" i="2"/>
  <c r="AB23" i="4" s="1"/>
  <c r="AB23" i="5" s="1"/>
  <c r="AC33" i="2"/>
  <c r="AC23" i="4" s="1"/>
  <c r="AC23" i="5" s="1"/>
  <c r="AD33" i="2"/>
  <c r="AD23" i="4" s="1"/>
  <c r="AD23" i="5" s="1"/>
  <c r="AE33" i="2"/>
  <c r="AE23" i="4" s="1"/>
  <c r="AE23" i="5" s="1"/>
  <c r="AF33" i="2"/>
  <c r="AF23" i="4" s="1"/>
  <c r="AF23" i="5" s="1"/>
  <c r="AG33" i="2"/>
  <c r="AG23" i="4" s="1"/>
  <c r="AG23" i="5" s="1"/>
  <c r="AH33" i="2"/>
  <c r="AH23" i="4" s="1"/>
  <c r="AH23" i="5" s="1"/>
  <c r="AI33" i="2"/>
  <c r="AI23" i="4" s="1"/>
  <c r="AI23" i="5" s="1"/>
  <c r="AJ33" i="2"/>
  <c r="AJ23" i="4" s="1"/>
  <c r="AJ23" i="5" s="1"/>
  <c r="AK33" i="2"/>
  <c r="AK23" i="4" s="1"/>
  <c r="AK23" i="5" s="1"/>
  <c r="AL33" i="2"/>
  <c r="AL23" i="4" s="1"/>
  <c r="AL23" i="5" s="1"/>
  <c r="AM33" i="2"/>
  <c r="AM23" i="4" s="1"/>
  <c r="AM23" i="5" s="1"/>
  <c r="AN33" i="2"/>
  <c r="AN23" i="4" s="1"/>
  <c r="AN23" i="5" s="1"/>
  <c r="AO33" i="2"/>
  <c r="AO23" i="4" s="1"/>
  <c r="AO23" i="5" s="1"/>
  <c r="AP33" i="2"/>
  <c r="AP23" i="4" s="1"/>
  <c r="AP23" i="5" s="1"/>
  <c r="AQ33" i="2"/>
  <c r="AQ23" i="4" s="1"/>
  <c r="AQ23" i="5" s="1"/>
  <c r="AR33" i="2"/>
  <c r="AR23" i="4" s="1"/>
  <c r="AR23" i="5" s="1"/>
  <c r="AS33" i="2"/>
  <c r="AS23" i="4" s="1"/>
  <c r="AS23" i="5" s="1"/>
  <c r="AT33" i="2"/>
  <c r="AT23" i="4" s="1"/>
  <c r="AT23" i="5" s="1"/>
  <c r="AU33" i="2"/>
  <c r="AU23" i="4" s="1"/>
  <c r="AU23" i="5" s="1"/>
  <c r="AV33" i="2"/>
  <c r="AV23" i="4" s="1"/>
  <c r="AV23" i="5" s="1"/>
  <c r="AW33" i="2"/>
  <c r="AW23" i="4" s="1"/>
  <c r="AW23" i="5" s="1"/>
  <c r="AX33" i="2"/>
  <c r="AX23" i="4" s="1"/>
  <c r="AX23" i="5" s="1"/>
  <c r="AY33" i="2"/>
  <c r="AY23" i="4" s="1"/>
  <c r="AY23" i="5" s="1"/>
  <c r="AZ33" i="2"/>
  <c r="AZ23" i="4" s="1"/>
  <c r="AZ23" i="5" s="1"/>
  <c r="BA33" i="2"/>
  <c r="BA23" i="4" s="1"/>
  <c r="BA23" i="5" s="1"/>
  <c r="BB33" i="2"/>
  <c r="BB23" i="4" s="1"/>
  <c r="BB23" i="5" s="1"/>
  <c r="BC33" i="2"/>
  <c r="BC23" i="4" s="1"/>
  <c r="BC23" i="5" s="1"/>
  <c r="BD33" i="2"/>
  <c r="BD23" i="4" s="1"/>
  <c r="BD23" i="5" s="1"/>
  <c r="BE33" i="2"/>
  <c r="BE23" i="4" s="1"/>
  <c r="BE23" i="5" s="1"/>
  <c r="BF33" i="2"/>
  <c r="BF23" i="4" s="1"/>
  <c r="BF23" i="5" s="1"/>
  <c r="BG33" i="2"/>
  <c r="BG23" i="4" s="1"/>
  <c r="BG23" i="5" s="1"/>
  <c r="BH33" i="2"/>
  <c r="BH23" i="4" s="1"/>
  <c r="BH23" i="5" s="1"/>
  <c r="BI33" i="2"/>
  <c r="BI23" i="4" s="1"/>
  <c r="BI23" i="5" s="1"/>
  <c r="BJ33" i="2"/>
  <c r="BJ23" i="4" s="1"/>
  <c r="BJ23" i="5" s="1"/>
  <c r="BK33" i="2"/>
  <c r="BK23" i="4" s="1"/>
  <c r="BK23" i="5" s="1"/>
  <c r="BL33" i="2"/>
  <c r="BL23" i="4" s="1"/>
  <c r="BL23" i="5" s="1"/>
  <c r="BM33" i="2"/>
  <c r="BM23" i="4" s="1"/>
  <c r="BM23" i="5" s="1"/>
  <c r="BN33" i="2"/>
  <c r="BN23" i="4" s="1"/>
  <c r="BN23" i="5" s="1"/>
  <c r="BO33" i="2"/>
  <c r="BO23" i="4" s="1"/>
  <c r="BO23" i="5" s="1"/>
  <c r="BP33" i="2"/>
  <c r="BP23" i="4" s="1"/>
  <c r="BP23" i="5" s="1"/>
  <c r="BQ33" i="2"/>
  <c r="BQ23" i="4" s="1"/>
  <c r="BQ23" i="5" s="1"/>
  <c r="BR33" i="2"/>
  <c r="BR23" i="4" s="1"/>
  <c r="BR23" i="5" s="1"/>
  <c r="BS33" i="2"/>
  <c r="BS23" i="4" s="1"/>
  <c r="BS23" i="5" s="1"/>
  <c r="BT33" i="2"/>
  <c r="BT23" i="4" s="1"/>
  <c r="BT23" i="5" s="1"/>
  <c r="BU33" i="2"/>
  <c r="BU23" i="4" s="1"/>
  <c r="BU23" i="5" s="1"/>
  <c r="BV33" i="2"/>
  <c r="BV23" i="4" s="1"/>
  <c r="BV23" i="5" s="1"/>
  <c r="BW33" i="2"/>
  <c r="BW23" i="4" s="1"/>
  <c r="BW23" i="5" s="1"/>
  <c r="BX33" i="2"/>
  <c r="BX23" i="4" s="1"/>
  <c r="BX23" i="5" s="1"/>
  <c r="BY33" i="2"/>
  <c r="BY23" i="4" s="1"/>
  <c r="BY23" i="5" s="1"/>
  <c r="BZ33" i="2"/>
  <c r="BZ23" i="4" s="1"/>
  <c r="BZ23" i="5" s="1"/>
  <c r="CA33" i="2"/>
  <c r="CA23" i="4" s="1"/>
  <c r="CA23" i="5" s="1"/>
  <c r="CB33" i="2"/>
  <c r="CB23" i="4" s="1"/>
  <c r="CB23" i="5" s="1"/>
  <c r="CC33" i="2"/>
  <c r="CC23" i="4" s="1"/>
  <c r="CC23" i="5" s="1"/>
  <c r="C34" i="2"/>
  <c r="C33" i="4" s="1"/>
  <c r="C33" i="5" s="1"/>
  <c r="D34" i="2"/>
  <c r="D33" i="4" s="1"/>
  <c r="D33" i="5" s="1"/>
  <c r="E34" i="2"/>
  <c r="E33" i="4" s="1"/>
  <c r="E33" i="5" s="1"/>
  <c r="F34" i="2"/>
  <c r="F33" i="4" s="1"/>
  <c r="F33" i="5" s="1"/>
  <c r="G34" i="2"/>
  <c r="G33" i="4" s="1"/>
  <c r="G33" i="5" s="1"/>
  <c r="H34" i="2"/>
  <c r="H33" i="4" s="1"/>
  <c r="H33" i="5" s="1"/>
  <c r="I34" i="2"/>
  <c r="I33" i="4" s="1"/>
  <c r="I33" i="5" s="1"/>
  <c r="J34" i="2"/>
  <c r="J33" i="4" s="1"/>
  <c r="J33" i="5" s="1"/>
  <c r="K34" i="2"/>
  <c r="K33" i="4" s="1"/>
  <c r="K33" i="5" s="1"/>
  <c r="L34" i="2"/>
  <c r="L33" i="4" s="1"/>
  <c r="L33" i="5" s="1"/>
  <c r="M34" i="2"/>
  <c r="M33" i="4" s="1"/>
  <c r="M33" i="5" s="1"/>
  <c r="N34" i="2"/>
  <c r="N33" i="4" s="1"/>
  <c r="N33" i="5" s="1"/>
  <c r="O34" i="2"/>
  <c r="O33" i="4" s="1"/>
  <c r="O33" i="5" s="1"/>
  <c r="P34" i="2"/>
  <c r="P33" i="4" s="1"/>
  <c r="P33" i="5" s="1"/>
  <c r="Q34" i="2"/>
  <c r="Q33" i="4" s="1"/>
  <c r="Q33" i="5" s="1"/>
  <c r="R34" i="2"/>
  <c r="R33" i="4" s="1"/>
  <c r="R33" i="5" s="1"/>
  <c r="S34" i="2"/>
  <c r="S33" i="4" s="1"/>
  <c r="S33" i="5" s="1"/>
  <c r="T34" i="2"/>
  <c r="T33" i="4" s="1"/>
  <c r="T33" i="5" s="1"/>
  <c r="U34" i="2"/>
  <c r="U33" i="4" s="1"/>
  <c r="U33" i="5" s="1"/>
  <c r="V34" i="2"/>
  <c r="V33" i="4" s="1"/>
  <c r="V33" i="5" s="1"/>
  <c r="W34" i="2"/>
  <c r="W33" i="4" s="1"/>
  <c r="W33" i="5" s="1"/>
  <c r="X34" i="2"/>
  <c r="X33" i="4" s="1"/>
  <c r="X33" i="5" s="1"/>
  <c r="Y34" i="2"/>
  <c r="Y33" i="4" s="1"/>
  <c r="Y33" i="5" s="1"/>
  <c r="Z34" i="2"/>
  <c r="Z33" i="4" s="1"/>
  <c r="Z33" i="5" s="1"/>
  <c r="AA34" i="2"/>
  <c r="AA33" i="4" s="1"/>
  <c r="AA33" i="5" s="1"/>
  <c r="AB34" i="2"/>
  <c r="AB33" i="4" s="1"/>
  <c r="AB33" i="5" s="1"/>
  <c r="AC34" i="2"/>
  <c r="AC33" i="4" s="1"/>
  <c r="AC33" i="5" s="1"/>
  <c r="AD34" i="2"/>
  <c r="AD33" i="4" s="1"/>
  <c r="AD33" i="5" s="1"/>
  <c r="AE34" i="2"/>
  <c r="AE33" i="4" s="1"/>
  <c r="AE33" i="5" s="1"/>
  <c r="AF34" i="2"/>
  <c r="AF33" i="4" s="1"/>
  <c r="AF33" i="5" s="1"/>
  <c r="AG34" i="2"/>
  <c r="AG33" i="4" s="1"/>
  <c r="AG33" i="5" s="1"/>
  <c r="AH34" i="2"/>
  <c r="AH33" i="4" s="1"/>
  <c r="AH33" i="5" s="1"/>
  <c r="AI34" i="2"/>
  <c r="AI33" i="4" s="1"/>
  <c r="AI33" i="5" s="1"/>
  <c r="AJ34" i="2"/>
  <c r="AJ33" i="4" s="1"/>
  <c r="AJ33" i="5" s="1"/>
  <c r="AK34" i="2"/>
  <c r="AK33" i="4" s="1"/>
  <c r="AK33" i="5" s="1"/>
  <c r="AL34" i="2"/>
  <c r="AL33" i="4" s="1"/>
  <c r="AL33" i="5" s="1"/>
  <c r="AM34" i="2"/>
  <c r="AM33" i="4" s="1"/>
  <c r="AM33" i="5" s="1"/>
  <c r="AN34" i="2"/>
  <c r="AN33" i="4" s="1"/>
  <c r="AN33" i="5" s="1"/>
  <c r="AO34" i="2"/>
  <c r="AO33" i="4" s="1"/>
  <c r="AO33" i="5" s="1"/>
  <c r="AP34" i="2"/>
  <c r="AP33" i="4" s="1"/>
  <c r="AP33" i="5" s="1"/>
  <c r="AQ34" i="2"/>
  <c r="AQ33" i="4" s="1"/>
  <c r="AQ33" i="5" s="1"/>
  <c r="AR34" i="2"/>
  <c r="AR33" i="4" s="1"/>
  <c r="AR33" i="5" s="1"/>
  <c r="AS34" i="2"/>
  <c r="AS33" i="4" s="1"/>
  <c r="AS33" i="5" s="1"/>
  <c r="AT34" i="2"/>
  <c r="AT33" i="4" s="1"/>
  <c r="AT33" i="5" s="1"/>
  <c r="AU34" i="2"/>
  <c r="AU33" i="4" s="1"/>
  <c r="AU33" i="5" s="1"/>
  <c r="AV34" i="2"/>
  <c r="AV33" i="4" s="1"/>
  <c r="AV33" i="5" s="1"/>
  <c r="AW34" i="2"/>
  <c r="AW33" i="4" s="1"/>
  <c r="AW33" i="5" s="1"/>
  <c r="AX34" i="2"/>
  <c r="AX33" i="4" s="1"/>
  <c r="AX33" i="5" s="1"/>
  <c r="AY34" i="2"/>
  <c r="AY33" i="4" s="1"/>
  <c r="AY33" i="5" s="1"/>
  <c r="AZ34" i="2"/>
  <c r="AZ33" i="4" s="1"/>
  <c r="AZ33" i="5" s="1"/>
  <c r="BA34" i="2"/>
  <c r="BA33" i="4" s="1"/>
  <c r="BA33" i="5" s="1"/>
  <c r="BB34" i="2"/>
  <c r="BB33" i="4" s="1"/>
  <c r="BB33" i="5" s="1"/>
  <c r="BC34" i="2"/>
  <c r="BC33" i="4" s="1"/>
  <c r="BC33" i="5" s="1"/>
  <c r="BD34" i="2"/>
  <c r="BD33" i="4" s="1"/>
  <c r="BD33" i="5" s="1"/>
  <c r="BE34" i="2"/>
  <c r="BE33" i="4" s="1"/>
  <c r="BE33" i="5" s="1"/>
  <c r="BF34" i="2"/>
  <c r="BF33" i="4" s="1"/>
  <c r="BF33" i="5" s="1"/>
  <c r="BG34" i="2"/>
  <c r="BG33" i="4" s="1"/>
  <c r="BG33" i="5" s="1"/>
  <c r="BH34" i="2"/>
  <c r="BH33" i="4" s="1"/>
  <c r="BH33" i="5" s="1"/>
  <c r="BI34" i="2"/>
  <c r="BI33" i="4" s="1"/>
  <c r="BI33" i="5" s="1"/>
  <c r="BJ34" i="2"/>
  <c r="BJ33" i="4" s="1"/>
  <c r="BJ33" i="5" s="1"/>
  <c r="BK34" i="2"/>
  <c r="BK33" i="4" s="1"/>
  <c r="BK33" i="5" s="1"/>
  <c r="BL34" i="2"/>
  <c r="BL33" i="4" s="1"/>
  <c r="BL33" i="5" s="1"/>
  <c r="BM34" i="2"/>
  <c r="BM33" i="4" s="1"/>
  <c r="BM33" i="5" s="1"/>
  <c r="BN34" i="2"/>
  <c r="BN33" i="4" s="1"/>
  <c r="BN33" i="5" s="1"/>
  <c r="BO34" i="2"/>
  <c r="BO33" i="4" s="1"/>
  <c r="BO33" i="5" s="1"/>
  <c r="BP34" i="2"/>
  <c r="BP33" i="4" s="1"/>
  <c r="BP33" i="5" s="1"/>
  <c r="BQ34" i="2"/>
  <c r="BQ33" i="4" s="1"/>
  <c r="BQ33" i="5" s="1"/>
  <c r="BR34" i="2"/>
  <c r="BR33" i="4" s="1"/>
  <c r="BR33" i="5" s="1"/>
  <c r="BS34" i="2"/>
  <c r="BS33" i="4" s="1"/>
  <c r="BS33" i="5" s="1"/>
  <c r="BT34" i="2"/>
  <c r="BT33" i="4" s="1"/>
  <c r="BT33" i="5" s="1"/>
  <c r="BU34" i="2"/>
  <c r="BU33" i="4" s="1"/>
  <c r="BU33" i="5" s="1"/>
  <c r="BV34" i="2"/>
  <c r="BV33" i="4" s="1"/>
  <c r="BV33" i="5" s="1"/>
  <c r="BW34" i="2"/>
  <c r="BW33" i="4" s="1"/>
  <c r="BW33" i="5" s="1"/>
  <c r="BX34" i="2"/>
  <c r="BX33" i="4" s="1"/>
  <c r="BX33" i="5" s="1"/>
  <c r="BY34" i="2"/>
  <c r="BY33" i="4" s="1"/>
  <c r="BY33" i="5" s="1"/>
  <c r="BZ34" i="2"/>
  <c r="BZ33" i="4" s="1"/>
  <c r="BZ33" i="5" s="1"/>
  <c r="CA34" i="2"/>
  <c r="CA33" i="4" s="1"/>
  <c r="CA33" i="5" s="1"/>
  <c r="CB34" i="2"/>
  <c r="CB33" i="4" s="1"/>
  <c r="CB33" i="5" s="1"/>
  <c r="CC34" i="2"/>
  <c r="CC33" i="4" s="1"/>
  <c r="CC33" i="5" s="1"/>
  <c r="C35" i="2"/>
  <c r="C21" i="4" s="1"/>
  <c r="C21" i="5" s="1"/>
  <c r="D35" i="2"/>
  <c r="D21" i="4" s="1"/>
  <c r="D21" i="5" s="1"/>
  <c r="E35" i="2"/>
  <c r="E21" i="4" s="1"/>
  <c r="E21" i="5" s="1"/>
  <c r="F35" i="2"/>
  <c r="F21" i="4" s="1"/>
  <c r="F21" i="5" s="1"/>
  <c r="G35" i="2"/>
  <c r="G21" i="4" s="1"/>
  <c r="G21" i="5" s="1"/>
  <c r="H35" i="2"/>
  <c r="H21" i="4" s="1"/>
  <c r="H21" i="5" s="1"/>
  <c r="I35" i="2"/>
  <c r="I21" i="4" s="1"/>
  <c r="I21" i="5" s="1"/>
  <c r="J35" i="2"/>
  <c r="J21" i="4" s="1"/>
  <c r="J21" i="5" s="1"/>
  <c r="K35" i="2"/>
  <c r="K21" i="4" s="1"/>
  <c r="K21" i="5" s="1"/>
  <c r="L35" i="2"/>
  <c r="L21" i="4" s="1"/>
  <c r="L21" i="5" s="1"/>
  <c r="M35" i="2"/>
  <c r="M21" i="4" s="1"/>
  <c r="M21" i="5" s="1"/>
  <c r="N35" i="2"/>
  <c r="N21" i="4" s="1"/>
  <c r="N21" i="5" s="1"/>
  <c r="O35" i="2"/>
  <c r="O21" i="4" s="1"/>
  <c r="O21" i="5" s="1"/>
  <c r="P35" i="2"/>
  <c r="P21" i="4" s="1"/>
  <c r="P21" i="5" s="1"/>
  <c r="Q35" i="2"/>
  <c r="Q21" i="4" s="1"/>
  <c r="Q21" i="5" s="1"/>
  <c r="R35" i="2"/>
  <c r="R21" i="4" s="1"/>
  <c r="R21" i="5" s="1"/>
  <c r="S35" i="2"/>
  <c r="S21" i="4" s="1"/>
  <c r="S21" i="5" s="1"/>
  <c r="T35" i="2"/>
  <c r="T21" i="4" s="1"/>
  <c r="T21" i="5" s="1"/>
  <c r="U35" i="2"/>
  <c r="U21" i="4" s="1"/>
  <c r="U21" i="5" s="1"/>
  <c r="V35" i="2"/>
  <c r="V21" i="4" s="1"/>
  <c r="V21" i="5" s="1"/>
  <c r="W35" i="2"/>
  <c r="W21" i="4" s="1"/>
  <c r="W21" i="5" s="1"/>
  <c r="X35" i="2"/>
  <c r="X21" i="4" s="1"/>
  <c r="X21" i="5" s="1"/>
  <c r="Y35" i="2"/>
  <c r="Y21" i="4" s="1"/>
  <c r="Y21" i="5" s="1"/>
  <c r="Z35" i="2"/>
  <c r="Z21" i="4" s="1"/>
  <c r="Z21" i="5" s="1"/>
  <c r="AA35" i="2"/>
  <c r="AA21" i="4" s="1"/>
  <c r="AA21" i="5" s="1"/>
  <c r="AB35" i="2"/>
  <c r="AB21" i="4" s="1"/>
  <c r="AB21" i="5" s="1"/>
  <c r="AC35" i="2"/>
  <c r="AC21" i="4" s="1"/>
  <c r="AC21" i="5" s="1"/>
  <c r="AD35" i="2"/>
  <c r="AD21" i="4" s="1"/>
  <c r="AD21" i="5" s="1"/>
  <c r="AE35" i="2"/>
  <c r="AE21" i="4" s="1"/>
  <c r="AE21" i="5" s="1"/>
  <c r="AF35" i="2"/>
  <c r="AF21" i="4" s="1"/>
  <c r="AF21" i="5" s="1"/>
  <c r="AG35" i="2"/>
  <c r="AG21" i="4" s="1"/>
  <c r="AG21" i="5" s="1"/>
  <c r="AH35" i="2"/>
  <c r="AH21" i="4" s="1"/>
  <c r="AH21" i="5" s="1"/>
  <c r="AI35" i="2"/>
  <c r="AI21" i="4" s="1"/>
  <c r="AI21" i="5" s="1"/>
  <c r="AJ35" i="2"/>
  <c r="AJ21" i="4" s="1"/>
  <c r="AJ21" i="5" s="1"/>
  <c r="AK35" i="2"/>
  <c r="AK21" i="4" s="1"/>
  <c r="AK21" i="5" s="1"/>
  <c r="AL35" i="2"/>
  <c r="AL21" i="4" s="1"/>
  <c r="AL21" i="5" s="1"/>
  <c r="AM35" i="2"/>
  <c r="AM21" i="4" s="1"/>
  <c r="AM21" i="5" s="1"/>
  <c r="AN35" i="2"/>
  <c r="AN21" i="4" s="1"/>
  <c r="AN21" i="5" s="1"/>
  <c r="AO35" i="2"/>
  <c r="AO21" i="4" s="1"/>
  <c r="AO21" i="5" s="1"/>
  <c r="AP35" i="2"/>
  <c r="AP21" i="4" s="1"/>
  <c r="AP21" i="5" s="1"/>
  <c r="AQ35" i="2"/>
  <c r="AQ21" i="4" s="1"/>
  <c r="AQ21" i="5" s="1"/>
  <c r="AR35" i="2"/>
  <c r="AR21" i="4" s="1"/>
  <c r="AR21" i="5" s="1"/>
  <c r="AS35" i="2"/>
  <c r="AS21" i="4" s="1"/>
  <c r="AS21" i="5" s="1"/>
  <c r="AT35" i="2"/>
  <c r="AT21" i="4" s="1"/>
  <c r="AT21" i="5" s="1"/>
  <c r="AU35" i="2"/>
  <c r="AU21" i="4" s="1"/>
  <c r="AU21" i="5" s="1"/>
  <c r="AV35" i="2"/>
  <c r="AV21" i="4" s="1"/>
  <c r="AV21" i="5" s="1"/>
  <c r="AW35" i="2"/>
  <c r="AW21" i="4" s="1"/>
  <c r="AW21" i="5" s="1"/>
  <c r="AX35" i="2"/>
  <c r="AX21" i="4" s="1"/>
  <c r="AX21" i="5" s="1"/>
  <c r="AY35" i="2"/>
  <c r="AY21" i="4" s="1"/>
  <c r="AY21" i="5" s="1"/>
  <c r="AZ35" i="2"/>
  <c r="AZ21" i="4" s="1"/>
  <c r="AZ21" i="5" s="1"/>
  <c r="BA35" i="2"/>
  <c r="BA21" i="4" s="1"/>
  <c r="BA21" i="5" s="1"/>
  <c r="BB35" i="2"/>
  <c r="BB21" i="4" s="1"/>
  <c r="BB21" i="5" s="1"/>
  <c r="BC35" i="2"/>
  <c r="BC21" i="4" s="1"/>
  <c r="BC21" i="5" s="1"/>
  <c r="BD35" i="2"/>
  <c r="BD21" i="4" s="1"/>
  <c r="BD21" i="5" s="1"/>
  <c r="BE35" i="2"/>
  <c r="BE21" i="4" s="1"/>
  <c r="BE21" i="5" s="1"/>
  <c r="BF35" i="2"/>
  <c r="BF21" i="4" s="1"/>
  <c r="BF21" i="5" s="1"/>
  <c r="BG35" i="2"/>
  <c r="BG21" i="4" s="1"/>
  <c r="BG21" i="5" s="1"/>
  <c r="BH35" i="2"/>
  <c r="BH21" i="4" s="1"/>
  <c r="BH21" i="5" s="1"/>
  <c r="BI35" i="2"/>
  <c r="BI21" i="4" s="1"/>
  <c r="BI21" i="5" s="1"/>
  <c r="BJ35" i="2"/>
  <c r="BJ21" i="4" s="1"/>
  <c r="BJ21" i="5" s="1"/>
  <c r="BK35" i="2"/>
  <c r="BK21" i="4" s="1"/>
  <c r="BK21" i="5" s="1"/>
  <c r="BL35" i="2"/>
  <c r="BL21" i="4" s="1"/>
  <c r="BL21" i="5" s="1"/>
  <c r="BM35" i="2"/>
  <c r="BM21" i="4" s="1"/>
  <c r="BM21" i="5" s="1"/>
  <c r="BN35" i="2"/>
  <c r="BN21" i="4" s="1"/>
  <c r="BN21" i="5" s="1"/>
  <c r="BO35" i="2"/>
  <c r="BO21" i="4" s="1"/>
  <c r="BO21" i="5" s="1"/>
  <c r="BP35" i="2"/>
  <c r="BP21" i="4" s="1"/>
  <c r="BP21" i="5" s="1"/>
  <c r="BQ35" i="2"/>
  <c r="BQ21" i="4" s="1"/>
  <c r="BQ21" i="5" s="1"/>
  <c r="BR35" i="2"/>
  <c r="BR21" i="4" s="1"/>
  <c r="BR21" i="5" s="1"/>
  <c r="BS35" i="2"/>
  <c r="BS21" i="4" s="1"/>
  <c r="BS21" i="5" s="1"/>
  <c r="BT35" i="2"/>
  <c r="BT21" i="4" s="1"/>
  <c r="BT21" i="5" s="1"/>
  <c r="BU35" i="2"/>
  <c r="BU21" i="4" s="1"/>
  <c r="BU21" i="5" s="1"/>
  <c r="BV35" i="2"/>
  <c r="BV21" i="4" s="1"/>
  <c r="BV21" i="5" s="1"/>
  <c r="BW35" i="2"/>
  <c r="BW21" i="4" s="1"/>
  <c r="BW21" i="5" s="1"/>
  <c r="BX35" i="2"/>
  <c r="BX21" i="4" s="1"/>
  <c r="BX21" i="5" s="1"/>
  <c r="BY35" i="2"/>
  <c r="BY21" i="4" s="1"/>
  <c r="BY21" i="5" s="1"/>
  <c r="BZ35" i="2"/>
  <c r="BZ21" i="4" s="1"/>
  <c r="BZ21" i="5" s="1"/>
  <c r="CA35" i="2"/>
  <c r="CA21" i="4" s="1"/>
  <c r="CA21" i="5" s="1"/>
  <c r="CB35" i="2"/>
  <c r="CB21" i="4" s="1"/>
  <c r="CB21" i="5" s="1"/>
  <c r="CC35" i="2"/>
  <c r="CC21" i="4" s="1"/>
  <c r="CC21" i="5" s="1"/>
  <c r="C36" i="2"/>
  <c r="C42" i="4" s="1"/>
  <c r="C42" i="5" s="1"/>
  <c r="D36" i="2"/>
  <c r="D42" i="4" s="1"/>
  <c r="D42" i="5" s="1"/>
  <c r="E36" i="2"/>
  <c r="E42" i="4" s="1"/>
  <c r="E42" i="5" s="1"/>
  <c r="F36" i="2"/>
  <c r="F42" i="4" s="1"/>
  <c r="F42" i="5" s="1"/>
  <c r="G36" i="2"/>
  <c r="G42" i="4" s="1"/>
  <c r="G42" i="5" s="1"/>
  <c r="H36" i="2"/>
  <c r="H42" i="4" s="1"/>
  <c r="H42" i="5" s="1"/>
  <c r="I36" i="2"/>
  <c r="I42" i="4" s="1"/>
  <c r="I42" i="5" s="1"/>
  <c r="J36" i="2"/>
  <c r="J42" i="4" s="1"/>
  <c r="J42" i="5" s="1"/>
  <c r="K36" i="2"/>
  <c r="K42" i="4" s="1"/>
  <c r="K42" i="5" s="1"/>
  <c r="L36" i="2"/>
  <c r="L42" i="4" s="1"/>
  <c r="L42" i="5" s="1"/>
  <c r="M36" i="2"/>
  <c r="M42" i="4" s="1"/>
  <c r="M42" i="5" s="1"/>
  <c r="N36" i="2"/>
  <c r="N42" i="4" s="1"/>
  <c r="N42" i="5" s="1"/>
  <c r="O36" i="2"/>
  <c r="O42" i="4" s="1"/>
  <c r="O42" i="5" s="1"/>
  <c r="P36" i="2"/>
  <c r="P42" i="4" s="1"/>
  <c r="P42" i="5" s="1"/>
  <c r="Q36" i="2"/>
  <c r="Q42" i="4" s="1"/>
  <c r="Q42" i="5" s="1"/>
  <c r="R36" i="2"/>
  <c r="R42" i="4" s="1"/>
  <c r="R42" i="5" s="1"/>
  <c r="S36" i="2"/>
  <c r="S42" i="4" s="1"/>
  <c r="S42" i="5" s="1"/>
  <c r="T36" i="2"/>
  <c r="T42" i="4" s="1"/>
  <c r="T42" i="5" s="1"/>
  <c r="U36" i="2"/>
  <c r="U42" i="4" s="1"/>
  <c r="U42" i="5" s="1"/>
  <c r="V36" i="2"/>
  <c r="V42" i="4" s="1"/>
  <c r="V42" i="5" s="1"/>
  <c r="W36" i="2"/>
  <c r="W42" i="4" s="1"/>
  <c r="W42" i="5" s="1"/>
  <c r="X36" i="2"/>
  <c r="X42" i="4" s="1"/>
  <c r="X42" i="5" s="1"/>
  <c r="Y36" i="2"/>
  <c r="Y42" i="4" s="1"/>
  <c r="Y42" i="5" s="1"/>
  <c r="Z36" i="2"/>
  <c r="Z42" i="4" s="1"/>
  <c r="Z42" i="5" s="1"/>
  <c r="AA36" i="2"/>
  <c r="AA42" i="4" s="1"/>
  <c r="AA42" i="5" s="1"/>
  <c r="AB36" i="2"/>
  <c r="AB42" i="4" s="1"/>
  <c r="AB42" i="5" s="1"/>
  <c r="AC36" i="2"/>
  <c r="AC42" i="4" s="1"/>
  <c r="AC42" i="5" s="1"/>
  <c r="AD36" i="2"/>
  <c r="AD42" i="4" s="1"/>
  <c r="AD42" i="5" s="1"/>
  <c r="AE36" i="2"/>
  <c r="AE42" i="4" s="1"/>
  <c r="AE42" i="5" s="1"/>
  <c r="AF36" i="2"/>
  <c r="AF42" i="4" s="1"/>
  <c r="AF42" i="5" s="1"/>
  <c r="AG36" i="2"/>
  <c r="AG42" i="4" s="1"/>
  <c r="AG42" i="5" s="1"/>
  <c r="AH36" i="2"/>
  <c r="AH42" i="4" s="1"/>
  <c r="AH42" i="5" s="1"/>
  <c r="AI36" i="2"/>
  <c r="AI42" i="4" s="1"/>
  <c r="AI42" i="5" s="1"/>
  <c r="AJ36" i="2"/>
  <c r="AJ42" i="4" s="1"/>
  <c r="AJ42" i="5" s="1"/>
  <c r="AK36" i="2"/>
  <c r="AK42" i="4" s="1"/>
  <c r="AK42" i="5" s="1"/>
  <c r="AL36" i="2"/>
  <c r="AL42" i="4" s="1"/>
  <c r="AL42" i="5" s="1"/>
  <c r="AM36" i="2"/>
  <c r="AM42" i="4" s="1"/>
  <c r="AM42" i="5" s="1"/>
  <c r="AN36" i="2"/>
  <c r="AN42" i="4" s="1"/>
  <c r="AN42" i="5" s="1"/>
  <c r="AO36" i="2"/>
  <c r="AO42" i="4" s="1"/>
  <c r="AO42" i="5" s="1"/>
  <c r="AP36" i="2"/>
  <c r="AP42" i="4" s="1"/>
  <c r="AP42" i="5" s="1"/>
  <c r="AQ36" i="2"/>
  <c r="AQ42" i="4" s="1"/>
  <c r="AQ42" i="5" s="1"/>
  <c r="AR36" i="2"/>
  <c r="AR42" i="4" s="1"/>
  <c r="AR42" i="5" s="1"/>
  <c r="AS36" i="2"/>
  <c r="AS42" i="4" s="1"/>
  <c r="AS42" i="5" s="1"/>
  <c r="AT36" i="2"/>
  <c r="AT42" i="4" s="1"/>
  <c r="AT42" i="5" s="1"/>
  <c r="AU36" i="2"/>
  <c r="AU42" i="4" s="1"/>
  <c r="AU42" i="5" s="1"/>
  <c r="AV36" i="2"/>
  <c r="AV42" i="4" s="1"/>
  <c r="AV42" i="5" s="1"/>
  <c r="AW36" i="2"/>
  <c r="AW42" i="4" s="1"/>
  <c r="AW42" i="5" s="1"/>
  <c r="AX36" i="2"/>
  <c r="AX42" i="4" s="1"/>
  <c r="AX42" i="5" s="1"/>
  <c r="AY36" i="2"/>
  <c r="AY42" i="4" s="1"/>
  <c r="AY42" i="5" s="1"/>
  <c r="AZ36" i="2"/>
  <c r="AZ42" i="4" s="1"/>
  <c r="AZ42" i="5" s="1"/>
  <c r="BA36" i="2"/>
  <c r="BA42" i="4" s="1"/>
  <c r="BA42" i="5" s="1"/>
  <c r="BB36" i="2"/>
  <c r="BB42" i="4" s="1"/>
  <c r="BB42" i="5" s="1"/>
  <c r="BC36" i="2"/>
  <c r="BC42" i="4" s="1"/>
  <c r="BC42" i="5" s="1"/>
  <c r="BD36" i="2"/>
  <c r="BD42" i="4" s="1"/>
  <c r="BD42" i="5" s="1"/>
  <c r="BE36" i="2"/>
  <c r="BE42" i="4" s="1"/>
  <c r="BE42" i="5" s="1"/>
  <c r="BF36" i="2"/>
  <c r="BF42" i="4" s="1"/>
  <c r="BF42" i="5" s="1"/>
  <c r="BG36" i="2"/>
  <c r="BG42" i="4" s="1"/>
  <c r="BG42" i="5" s="1"/>
  <c r="BH36" i="2"/>
  <c r="BH42" i="4" s="1"/>
  <c r="BH42" i="5" s="1"/>
  <c r="BI36" i="2"/>
  <c r="BI42" i="4" s="1"/>
  <c r="BI42" i="5" s="1"/>
  <c r="BJ36" i="2"/>
  <c r="BJ42" i="4" s="1"/>
  <c r="BJ42" i="5" s="1"/>
  <c r="BK36" i="2"/>
  <c r="BK42" i="4" s="1"/>
  <c r="BK42" i="5" s="1"/>
  <c r="BL36" i="2"/>
  <c r="BL42" i="4" s="1"/>
  <c r="BL42" i="5" s="1"/>
  <c r="BM36" i="2"/>
  <c r="BM42" i="4" s="1"/>
  <c r="BM42" i="5" s="1"/>
  <c r="BN36" i="2"/>
  <c r="BN42" i="4" s="1"/>
  <c r="BN42" i="5" s="1"/>
  <c r="BO36" i="2"/>
  <c r="BO42" i="4" s="1"/>
  <c r="BO42" i="5" s="1"/>
  <c r="BP36" i="2"/>
  <c r="BP42" i="4" s="1"/>
  <c r="BP42" i="5" s="1"/>
  <c r="BQ36" i="2"/>
  <c r="BQ42" i="4" s="1"/>
  <c r="BQ42" i="5" s="1"/>
  <c r="BR36" i="2"/>
  <c r="BR42" i="4" s="1"/>
  <c r="BR42" i="5" s="1"/>
  <c r="BS36" i="2"/>
  <c r="BS42" i="4" s="1"/>
  <c r="BS42" i="5" s="1"/>
  <c r="BT36" i="2"/>
  <c r="BT42" i="4" s="1"/>
  <c r="BT42" i="5" s="1"/>
  <c r="BU36" i="2"/>
  <c r="BU42" i="4" s="1"/>
  <c r="BU42" i="5" s="1"/>
  <c r="BV36" i="2"/>
  <c r="BV42" i="4" s="1"/>
  <c r="BV42" i="5" s="1"/>
  <c r="BW36" i="2"/>
  <c r="BW42" i="4" s="1"/>
  <c r="BW42" i="5" s="1"/>
  <c r="BX36" i="2"/>
  <c r="BX42" i="4" s="1"/>
  <c r="BX42" i="5" s="1"/>
  <c r="BY36" i="2"/>
  <c r="BY42" i="4" s="1"/>
  <c r="BY42" i="5" s="1"/>
  <c r="BZ36" i="2"/>
  <c r="BZ42" i="4" s="1"/>
  <c r="BZ42" i="5" s="1"/>
  <c r="CA36" i="2"/>
  <c r="CA42" i="4" s="1"/>
  <c r="CA42" i="5" s="1"/>
  <c r="CB36" i="2"/>
  <c r="CB42" i="4" s="1"/>
  <c r="CB42" i="5" s="1"/>
  <c r="CC36" i="2"/>
  <c r="CC42" i="4" s="1"/>
  <c r="CC42" i="5" s="1"/>
  <c r="C37" i="2"/>
  <c r="C19" i="4" s="1"/>
  <c r="C19" i="5" s="1"/>
  <c r="D37" i="2"/>
  <c r="D19" i="4" s="1"/>
  <c r="D19" i="5" s="1"/>
  <c r="E37" i="2"/>
  <c r="E19" i="4" s="1"/>
  <c r="E19" i="5" s="1"/>
  <c r="F37" i="2"/>
  <c r="F19" i="4" s="1"/>
  <c r="F19" i="5" s="1"/>
  <c r="G37" i="2"/>
  <c r="G19" i="4" s="1"/>
  <c r="G19" i="5" s="1"/>
  <c r="H37" i="2"/>
  <c r="H19" i="4" s="1"/>
  <c r="H19" i="5" s="1"/>
  <c r="I37" i="2"/>
  <c r="I19" i="4" s="1"/>
  <c r="I19" i="5" s="1"/>
  <c r="J37" i="2"/>
  <c r="J19" i="4" s="1"/>
  <c r="J19" i="5" s="1"/>
  <c r="K37" i="2"/>
  <c r="K19" i="4" s="1"/>
  <c r="K19" i="5" s="1"/>
  <c r="L37" i="2"/>
  <c r="L19" i="4" s="1"/>
  <c r="L19" i="5" s="1"/>
  <c r="M37" i="2"/>
  <c r="M19" i="4" s="1"/>
  <c r="M19" i="5" s="1"/>
  <c r="N37" i="2"/>
  <c r="N19" i="4" s="1"/>
  <c r="N19" i="5" s="1"/>
  <c r="O37" i="2"/>
  <c r="O19" i="4" s="1"/>
  <c r="O19" i="5" s="1"/>
  <c r="P37" i="2"/>
  <c r="P19" i="4" s="1"/>
  <c r="P19" i="5" s="1"/>
  <c r="Q37" i="2"/>
  <c r="Q19" i="4" s="1"/>
  <c r="Q19" i="5" s="1"/>
  <c r="R37" i="2"/>
  <c r="R19" i="4" s="1"/>
  <c r="R19" i="5" s="1"/>
  <c r="S37" i="2"/>
  <c r="S19" i="4" s="1"/>
  <c r="S19" i="5" s="1"/>
  <c r="T37" i="2"/>
  <c r="T19" i="4" s="1"/>
  <c r="T19" i="5" s="1"/>
  <c r="U37" i="2"/>
  <c r="U19" i="4" s="1"/>
  <c r="U19" i="5" s="1"/>
  <c r="V37" i="2"/>
  <c r="V19" i="4" s="1"/>
  <c r="V19" i="5" s="1"/>
  <c r="W37" i="2"/>
  <c r="W19" i="4" s="1"/>
  <c r="W19" i="5" s="1"/>
  <c r="X37" i="2"/>
  <c r="X19" i="4" s="1"/>
  <c r="X19" i="5" s="1"/>
  <c r="Y37" i="2"/>
  <c r="Y19" i="4" s="1"/>
  <c r="Y19" i="5" s="1"/>
  <c r="Z37" i="2"/>
  <c r="Z19" i="4" s="1"/>
  <c r="Z19" i="5" s="1"/>
  <c r="AA37" i="2"/>
  <c r="AA19" i="4" s="1"/>
  <c r="AA19" i="5" s="1"/>
  <c r="AB37" i="2"/>
  <c r="AB19" i="4" s="1"/>
  <c r="AB19" i="5" s="1"/>
  <c r="AC37" i="2"/>
  <c r="AC19" i="4" s="1"/>
  <c r="AC19" i="5" s="1"/>
  <c r="AD37" i="2"/>
  <c r="AD19" i="4" s="1"/>
  <c r="AD19" i="5" s="1"/>
  <c r="AE37" i="2"/>
  <c r="AE19" i="4" s="1"/>
  <c r="AE19" i="5" s="1"/>
  <c r="AF37" i="2"/>
  <c r="AF19" i="4" s="1"/>
  <c r="AF19" i="5" s="1"/>
  <c r="AG37" i="2"/>
  <c r="AG19" i="4" s="1"/>
  <c r="AG19" i="5" s="1"/>
  <c r="AH37" i="2"/>
  <c r="AH19" i="4" s="1"/>
  <c r="AH19" i="5" s="1"/>
  <c r="AI37" i="2"/>
  <c r="AI19" i="4" s="1"/>
  <c r="AI19" i="5" s="1"/>
  <c r="AJ37" i="2"/>
  <c r="AJ19" i="4" s="1"/>
  <c r="AJ19" i="5" s="1"/>
  <c r="AK37" i="2"/>
  <c r="AK19" i="4" s="1"/>
  <c r="AK19" i="5" s="1"/>
  <c r="AL37" i="2"/>
  <c r="AL19" i="4" s="1"/>
  <c r="AL19" i="5" s="1"/>
  <c r="AM37" i="2"/>
  <c r="AM19" i="4" s="1"/>
  <c r="AM19" i="5" s="1"/>
  <c r="AN37" i="2"/>
  <c r="AN19" i="4" s="1"/>
  <c r="AN19" i="5" s="1"/>
  <c r="AO37" i="2"/>
  <c r="AO19" i="4" s="1"/>
  <c r="AO19" i="5" s="1"/>
  <c r="AP37" i="2"/>
  <c r="AP19" i="4" s="1"/>
  <c r="AP19" i="5" s="1"/>
  <c r="AQ37" i="2"/>
  <c r="AQ19" i="4" s="1"/>
  <c r="AQ19" i="5" s="1"/>
  <c r="AR37" i="2"/>
  <c r="AR19" i="4" s="1"/>
  <c r="AR19" i="5" s="1"/>
  <c r="AS37" i="2"/>
  <c r="AS19" i="4" s="1"/>
  <c r="AS19" i="5" s="1"/>
  <c r="AT37" i="2"/>
  <c r="AT19" i="4" s="1"/>
  <c r="AT19" i="5" s="1"/>
  <c r="AU37" i="2"/>
  <c r="AU19" i="4" s="1"/>
  <c r="AU19" i="5" s="1"/>
  <c r="AV37" i="2"/>
  <c r="AV19" i="4" s="1"/>
  <c r="AV19" i="5" s="1"/>
  <c r="AW37" i="2"/>
  <c r="AW19" i="4" s="1"/>
  <c r="AW19" i="5" s="1"/>
  <c r="AX37" i="2"/>
  <c r="AX19" i="4" s="1"/>
  <c r="AX19" i="5" s="1"/>
  <c r="AY37" i="2"/>
  <c r="AY19" i="4" s="1"/>
  <c r="AY19" i="5" s="1"/>
  <c r="AZ37" i="2"/>
  <c r="AZ19" i="4" s="1"/>
  <c r="AZ19" i="5" s="1"/>
  <c r="BA37" i="2"/>
  <c r="BA19" i="4" s="1"/>
  <c r="BA19" i="5" s="1"/>
  <c r="BB37" i="2"/>
  <c r="BB19" i="4" s="1"/>
  <c r="BB19" i="5" s="1"/>
  <c r="BC37" i="2"/>
  <c r="BC19" i="4" s="1"/>
  <c r="BC19" i="5" s="1"/>
  <c r="BD37" i="2"/>
  <c r="BD19" i="4" s="1"/>
  <c r="BD19" i="5" s="1"/>
  <c r="BE37" i="2"/>
  <c r="BE19" i="4" s="1"/>
  <c r="BE19" i="5" s="1"/>
  <c r="BF37" i="2"/>
  <c r="BF19" i="4" s="1"/>
  <c r="BF19" i="5" s="1"/>
  <c r="BG37" i="2"/>
  <c r="BG19" i="4" s="1"/>
  <c r="BG19" i="5" s="1"/>
  <c r="BH37" i="2"/>
  <c r="BH19" i="4" s="1"/>
  <c r="BH19" i="5" s="1"/>
  <c r="BI37" i="2"/>
  <c r="BI19" i="4" s="1"/>
  <c r="BI19" i="5" s="1"/>
  <c r="BJ37" i="2"/>
  <c r="BJ19" i="4" s="1"/>
  <c r="BJ19" i="5" s="1"/>
  <c r="BK37" i="2"/>
  <c r="BK19" i="4" s="1"/>
  <c r="BK19" i="5" s="1"/>
  <c r="BL37" i="2"/>
  <c r="BL19" i="4" s="1"/>
  <c r="BL19" i="5" s="1"/>
  <c r="BM37" i="2"/>
  <c r="BM19" i="4" s="1"/>
  <c r="BM19" i="5" s="1"/>
  <c r="BN37" i="2"/>
  <c r="BN19" i="4" s="1"/>
  <c r="BN19" i="5" s="1"/>
  <c r="BO37" i="2"/>
  <c r="BO19" i="4" s="1"/>
  <c r="BO19" i="5" s="1"/>
  <c r="BP37" i="2"/>
  <c r="BP19" i="4" s="1"/>
  <c r="BP19" i="5" s="1"/>
  <c r="BQ37" i="2"/>
  <c r="BQ19" i="4" s="1"/>
  <c r="BQ19" i="5" s="1"/>
  <c r="BR37" i="2"/>
  <c r="BR19" i="4" s="1"/>
  <c r="BR19" i="5" s="1"/>
  <c r="BS37" i="2"/>
  <c r="BS19" i="4" s="1"/>
  <c r="BS19" i="5" s="1"/>
  <c r="BT37" i="2"/>
  <c r="BT19" i="4" s="1"/>
  <c r="BT19" i="5" s="1"/>
  <c r="BU37" i="2"/>
  <c r="BU19" i="4" s="1"/>
  <c r="BU19" i="5" s="1"/>
  <c r="BV37" i="2"/>
  <c r="BV19" i="4" s="1"/>
  <c r="BV19" i="5" s="1"/>
  <c r="BW37" i="2"/>
  <c r="BW19" i="4" s="1"/>
  <c r="BW19" i="5" s="1"/>
  <c r="BX37" i="2"/>
  <c r="BX19" i="4" s="1"/>
  <c r="BX19" i="5" s="1"/>
  <c r="BY37" i="2"/>
  <c r="BY19" i="4" s="1"/>
  <c r="BY19" i="5" s="1"/>
  <c r="BZ37" i="2"/>
  <c r="BZ19" i="4" s="1"/>
  <c r="BZ19" i="5" s="1"/>
  <c r="CA37" i="2"/>
  <c r="CA19" i="4" s="1"/>
  <c r="CA19" i="5" s="1"/>
  <c r="CB37" i="2"/>
  <c r="CB19" i="4" s="1"/>
  <c r="CB19" i="5" s="1"/>
  <c r="CC37" i="2"/>
  <c r="CC19" i="4" s="1"/>
  <c r="CC19" i="5" s="1"/>
  <c r="C38" i="2"/>
  <c r="C49" i="4" s="1"/>
  <c r="C49" i="5" s="1"/>
  <c r="D38" i="2"/>
  <c r="D49" i="4" s="1"/>
  <c r="D49" i="5" s="1"/>
  <c r="E38" i="2"/>
  <c r="E49" i="4" s="1"/>
  <c r="E49" i="5" s="1"/>
  <c r="F38" i="2"/>
  <c r="F49" i="4" s="1"/>
  <c r="F49" i="5" s="1"/>
  <c r="G38" i="2"/>
  <c r="G49" i="4" s="1"/>
  <c r="G49" i="5" s="1"/>
  <c r="H38" i="2"/>
  <c r="H49" i="4" s="1"/>
  <c r="H49" i="5" s="1"/>
  <c r="I38" i="2"/>
  <c r="I49" i="4" s="1"/>
  <c r="I49" i="5" s="1"/>
  <c r="J38" i="2"/>
  <c r="J49" i="4" s="1"/>
  <c r="J49" i="5" s="1"/>
  <c r="K38" i="2"/>
  <c r="K49" i="4" s="1"/>
  <c r="K49" i="5" s="1"/>
  <c r="L38" i="2"/>
  <c r="L49" i="4" s="1"/>
  <c r="L49" i="5" s="1"/>
  <c r="M38" i="2"/>
  <c r="M49" i="4" s="1"/>
  <c r="M49" i="5" s="1"/>
  <c r="N38" i="2"/>
  <c r="N49" i="4" s="1"/>
  <c r="N49" i="5" s="1"/>
  <c r="O38" i="2"/>
  <c r="O49" i="4" s="1"/>
  <c r="O49" i="5" s="1"/>
  <c r="P38" i="2"/>
  <c r="P49" i="4" s="1"/>
  <c r="P49" i="5" s="1"/>
  <c r="Q38" i="2"/>
  <c r="Q49" i="4" s="1"/>
  <c r="Q49" i="5" s="1"/>
  <c r="R38" i="2"/>
  <c r="R49" i="4" s="1"/>
  <c r="R49" i="5" s="1"/>
  <c r="S38" i="2"/>
  <c r="S49" i="4" s="1"/>
  <c r="S49" i="5" s="1"/>
  <c r="T38" i="2"/>
  <c r="T49" i="4" s="1"/>
  <c r="T49" i="5" s="1"/>
  <c r="U38" i="2"/>
  <c r="U49" i="4" s="1"/>
  <c r="U49" i="5" s="1"/>
  <c r="V38" i="2"/>
  <c r="V49" i="4" s="1"/>
  <c r="V49" i="5" s="1"/>
  <c r="W38" i="2"/>
  <c r="W49" i="4" s="1"/>
  <c r="W49" i="5" s="1"/>
  <c r="X38" i="2"/>
  <c r="X49" i="4" s="1"/>
  <c r="X49" i="5" s="1"/>
  <c r="Y38" i="2"/>
  <c r="Y49" i="4" s="1"/>
  <c r="Y49" i="5" s="1"/>
  <c r="Z38" i="2"/>
  <c r="Z49" i="4" s="1"/>
  <c r="Z49" i="5" s="1"/>
  <c r="AA38" i="2"/>
  <c r="AA49" i="4" s="1"/>
  <c r="AA49" i="5" s="1"/>
  <c r="AB38" i="2"/>
  <c r="AB49" i="4" s="1"/>
  <c r="AB49" i="5" s="1"/>
  <c r="AC38" i="2"/>
  <c r="AC49" i="4" s="1"/>
  <c r="AC49" i="5" s="1"/>
  <c r="AD38" i="2"/>
  <c r="AD49" i="4" s="1"/>
  <c r="AD49" i="5" s="1"/>
  <c r="AE38" i="2"/>
  <c r="AE49" i="4" s="1"/>
  <c r="AE49" i="5" s="1"/>
  <c r="AF38" i="2"/>
  <c r="AF49" i="4" s="1"/>
  <c r="AF49" i="5" s="1"/>
  <c r="AG38" i="2"/>
  <c r="AG49" i="4" s="1"/>
  <c r="AG49" i="5" s="1"/>
  <c r="AH38" i="2"/>
  <c r="AH49" i="4" s="1"/>
  <c r="AH49" i="5" s="1"/>
  <c r="AI38" i="2"/>
  <c r="AI49" i="4" s="1"/>
  <c r="AI49" i="5" s="1"/>
  <c r="AJ38" i="2"/>
  <c r="AJ49" i="4" s="1"/>
  <c r="AJ49" i="5" s="1"/>
  <c r="AK38" i="2"/>
  <c r="AK49" i="4" s="1"/>
  <c r="AK49" i="5" s="1"/>
  <c r="AL38" i="2"/>
  <c r="AL49" i="4" s="1"/>
  <c r="AL49" i="5" s="1"/>
  <c r="AM38" i="2"/>
  <c r="AM49" i="4" s="1"/>
  <c r="AM49" i="5" s="1"/>
  <c r="AN38" i="2"/>
  <c r="AN49" i="4" s="1"/>
  <c r="AN49" i="5" s="1"/>
  <c r="AO38" i="2"/>
  <c r="AO49" i="4" s="1"/>
  <c r="AO49" i="5" s="1"/>
  <c r="AP38" i="2"/>
  <c r="AP49" i="4" s="1"/>
  <c r="AP49" i="5" s="1"/>
  <c r="AQ38" i="2"/>
  <c r="AQ49" i="4" s="1"/>
  <c r="AQ49" i="5" s="1"/>
  <c r="AR38" i="2"/>
  <c r="AR49" i="4" s="1"/>
  <c r="AR49" i="5" s="1"/>
  <c r="AS38" i="2"/>
  <c r="AS49" i="4" s="1"/>
  <c r="AS49" i="5" s="1"/>
  <c r="AT38" i="2"/>
  <c r="AT49" i="4" s="1"/>
  <c r="AT49" i="5" s="1"/>
  <c r="AU38" i="2"/>
  <c r="AU49" i="4" s="1"/>
  <c r="AU49" i="5" s="1"/>
  <c r="AV38" i="2"/>
  <c r="AV49" i="4" s="1"/>
  <c r="AV49" i="5" s="1"/>
  <c r="AW38" i="2"/>
  <c r="AW49" i="4" s="1"/>
  <c r="AW49" i="5" s="1"/>
  <c r="AX38" i="2"/>
  <c r="AX49" i="4" s="1"/>
  <c r="AX49" i="5" s="1"/>
  <c r="AY38" i="2"/>
  <c r="AY49" i="4" s="1"/>
  <c r="AY49" i="5" s="1"/>
  <c r="AZ38" i="2"/>
  <c r="AZ49" i="4" s="1"/>
  <c r="AZ49" i="5" s="1"/>
  <c r="BA38" i="2"/>
  <c r="BA49" i="4" s="1"/>
  <c r="BA49" i="5" s="1"/>
  <c r="BB38" i="2"/>
  <c r="BB49" i="4" s="1"/>
  <c r="BB49" i="5" s="1"/>
  <c r="BC38" i="2"/>
  <c r="BC49" i="4" s="1"/>
  <c r="BC49" i="5" s="1"/>
  <c r="BD38" i="2"/>
  <c r="BD49" i="4" s="1"/>
  <c r="BD49" i="5" s="1"/>
  <c r="BE38" i="2"/>
  <c r="BE49" i="4" s="1"/>
  <c r="BE49" i="5" s="1"/>
  <c r="BF38" i="2"/>
  <c r="BF49" i="4" s="1"/>
  <c r="BF49" i="5" s="1"/>
  <c r="BG38" i="2"/>
  <c r="BG49" i="4" s="1"/>
  <c r="BG49" i="5" s="1"/>
  <c r="BH38" i="2"/>
  <c r="BH49" i="4" s="1"/>
  <c r="BH49" i="5" s="1"/>
  <c r="BI38" i="2"/>
  <c r="BI49" i="4" s="1"/>
  <c r="BI49" i="5" s="1"/>
  <c r="BJ38" i="2"/>
  <c r="BJ49" i="4" s="1"/>
  <c r="BJ49" i="5" s="1"/>
  <c r="BK38" i="2"/>
  <c r="BK49" i="4" s="1"/>
  <c r="BK49" i="5" s="1"/>
  <c r="BL38" i="2"/>
  <c r="BL49" i="4" s="1"/>
  <c r="BL49" i="5" s="1"/>
  <c r="BM38" i="2"/>
  <c r="BM49" i="4" s="1"/>
  <c r="BM49" i="5" s="1"/>
  <c r="BN38" i="2"/>
  <c r="BN49" i="4" s="1"/>
  <c r="BN49" i="5" s="1"/>
  <c r="BO38" i="2"/>
  <c r="BO49" i="4" s="1"/>
  <c r="BO49" i="5" s="1"/>
  <c r="BP38" i="2"/>
  <c r="BP49" i="4" s="1"/>
  <c r="BP49" i="5" s="1"/>
  <c r="BQ38" i="2"/>
  <c r="BQ49" i="4" s="1"/>
  <c r="BQ49" i="5" s="1"/>
  <c r="BR38" i="2"/>
  <c r="BR49" i="4" s="1"/>
  <c r="BR49" i="5" s="1"/>
  <c r="BS38" i="2"/>
  <c r="BS49" i="4" s="1"/>
  <c r="BS49" i="5" s="1"/>
  <c r="BT38" i="2"/>
  <c r="BT49" i="4" s="1"/>
  <c r="BT49" i="5" s="1"/>
  <c r="BU38" i="2"/>
  <c r="BU49" i="4" s="1"/>
  <c r="BU49" i="5" s="1"/>
  <c r="BV38" i="2"/>
  <c r="BV49" i="4" s="1"/>
  <c r="BV49" i="5" s="1"/>
  <c r="BW38" i="2"/>
  <c r="BW49" i="4" s="1"/>
  <c r="BW49" i="5" s="1"/>
  <c r="BX38" i="2"/>
  <c r="BX49" i="4" s="1"/>
  <c r="BX49" i="5" s="1"/>
  <c r="BY38" i="2"/>
  <c r="BY49" i="4" s="1"/>
  <c r="BY49" i="5" s="1"/>
  <c r="BZ38" i="2"/>
  <c r="BZ49" i="4" s="1"/>
  <c r="BZ49" i="5" s="1"/>
  <c r="CA38" i="2"/>
  <c r="CA49" i="4" s="1"/>
  <c r="CA49" i="5" s="1"/>
  <c r="CB38" i="2"/>
  <c r="CB49" i="4" s="1"/>
  <c r="CB49" i="5" s="1"/>
  <c r="CC38" i="2"/>
  <c r="CC49" i="4" s="1"/>
  <c r="CC49" i="5" s="1"/>
  <c r="C39" i="2"/>
  <c r="C50" i="4" s="1"/>
  <c r="C50" i="5" s="1"/>
  <c r="D39" i="2"/>
  <c r="D50" i="4" s="1"/>
  <c r="D50" i="5" s="1"/>
  <c r="E39" i="2"/>
  <c r="E50" i="4" s="1"/>
  <c r="E50" i="5" s="1"/>
  <c r="F39" i="2"/>
  <c r="F50" i="4" s="1"/>
  <c r="F50" i="5" s="1"/>
  <c r="G39" i="2"/>
  <c r="G50" i="4" s="1"/>
  <c r="G50" i="5" s="1"/>
  <c r="H39" i="2"/>
  <c r="H50" i="4" s="1"/>
  <c r="H50" i="5" s="1"/>
  <c r="I39" i="2"/>
  <c r="I50" i="4" s="1"/>
  <c r="I50" i="5" s="1"/>
  <c r="J39" i="2"/>
  <c r="J50" i="4" s="1"/>
  <c r="J50" i="5" s="1"/>
  <c r="K39" i="2"/>
  <c r="K50" i="4" s="1"/>
  <c r="K50" i="5" s="1"/>
  <c r="L39" i="2"/>
  <c r="L50" i="4" s="1"/>
  <c r="L50" i="5" s="1"/>
  <c r="M39" i="2"/>
  <c r="M50" i="4" s="1"/>
  <c r="M50" i="5" s="1"/>
  <c r="N39" i="2"/>
  <c r="N50" i="4" s="1"/>
  <c r="N50" i="5" s="1"/>
  <c r="O39" i="2"/>
  <c r="O50" i="4" s="1"/>
  <c r="O50" i="5" s="1"/>
  <c r="P39" i="2"/>
  <c r="P50" i="4" s="1"/>
  <c r="P50" i="5" s="1"/>
  <c r="Q39" i="2"/>
  <c r="Q50" i="4" s="1"/>
  <c r="Q50" i="5" s="1"/>
  <c r="R39" i="2"/>
  <c r="R50" i="4" s="1"/>
  <c r="R50" i="5" s="1"/>
  <c r="S39" i="2"/>
  <c r="S50" i="4" s="1"/>
  <c r="S50" i="5" s="1"/>
  <c r="T39" i="2"/>
  <c r="T50" i="4" s="1"/>
  <c r="T50" i="5" s="1"/>
  <c r="U39" i="2"/>
  <c r="U50" i="4" s="1"/>
  <c r="U50" i="5" s="1"/>
  <c r="V39" i="2"/>
  <c r="V50" i="4" s="1"/>
  <c r="V50" i="5" s="1"/>
  <c r="W39" i="2"/>
  <c r="W50" i="4" s="1"/>
  <c r="W50" i="5" s="1"/>
  <c r="X39" i="2"/>
  <c r="X50" i="4" s="1"/>
  <c r="X50" i="5" s="1"/>
  <c r="Y39" i="2"/>
  <c r="Y50" i="4" s="1"/>
  <c r="Y50" i="5" s="1"/>
  <c r="Z39" i="2"/>
  <c r="Z50" i="4" s="1"/>
  <c r="Z50" i="5" s="1"/>
  <c r="AA39" i="2"/>
  <c r="AA50" i="4" s="1"/>
  <c r="AA50" i="5" s="1"/>
  <c r="AB39" i="2"/>
  <c r="AB50" i="4" s="1"/>
  <c r="AB50" i="5" s="1"/>
  <c r="AC39" i="2"/>
  <c r="AC50" i="4" s="1"/>
  <c r="AC50" i="5" s="1"/>
  <c r="AD39" i="2"/>
  <c r="AD50" i="4" s="1"/>
  <c r="AD50" i="5" s="1"/>
  <c r="AE39" i="2"/>
  <c r="AE50" i="4" s="1"/>
  <c r="AE50" i="5" s="1"/>
  <c r="AF39" i="2"/>
  <c r="AF50" i="4" s="1"/>
  <c r="AF50" i="5" s="1"/>
  <c r="AG39" i="2"/>
  <c r="AG50" i="4" s="1"/>
  <c r="AG50" i="5" s="1"/>
  <c r="AH39" i="2"/>
  <c r="AH50" i="4" s="1"/>
  <c r="AH50" i="5" s="1"/>
  <c r="AI39" i="2"/>
  <c r="AI50" i="4" s="1"/>
  <c r="AI50" i="5" s="1"/>
  <c r="AJ39" i="2"/>
  <c r="AJ50" i="4" s="1"/>
  <c r="AJ50" i="5" s="1"/>
  <c r="AK39" i="2"/>
  <c r="AK50" i="4" s="1"/>
  <c r="AK50" i="5" s="1"/>
  <c r="AL39" i="2"/>
  <c r="AL50" i="4" s="1"/>
  <c r="AL50" i="5" s="1"/>
  <c r="AM39" i="2"/>
  <c r="AM50" i="4" s="1"/>
  <c r="AM50" i="5" s="1"/>
  <c r="AN39" i="2"/>
  <c r="AN50" i="4" s="1"/>
  <c r="AN50" i="5" s="1"/>
  <c r="AO39" i="2"/>
  <c r="AO50" i="4" s="1"/>
  <c r="AO50" i="5" s="1"/>
  <c r="AP39" i="2"/>
  <c r="AP50" i="4" s="1"/>
  <c r="AP50" i="5" s="1"/>
  <c r="AQ39" i="2"/>
  <c r="AQ50" i="4" s="1"/>
  <c r="AQ50" i="5" s="1"/>
  <c r="AR39" i="2"/>
  <c r="AR50" i="4" s="1"/>
  <c r="AR50" i="5" s="1"/>
  <c r="AS39" i="2"/>
  <c r="AS50" i="4" s="1"/>
  <c r="AS50" i="5" s="1"/>
  <c r="AT39" i="2"/>
  <c r="AT50" i="4" s="1"/>
  <c r="AT50" i="5" s="1"/>
  <c r="AU39" i="2"/>
  <c r="AU50" i="4" s="1"/>
  <c r="AU50" i="5" s="1"/>
  <c r="AV39" i="2"/>
  <c r="AV50" i="4" s="1"/>
  <c r="AV50" i="5" s="1"/>
  <c r="AW39" i="2"/>
  <c r="AW50" i="4" s="1"/>
  <c r="AW50" i="5" s="1"/>
  <c r="AX39" i="2"/>
  <c r="AX50" i="4" s="1"/>
  <c r="AX50" i="5" s="1"/>
  <c r="AY39" i="2"/>
  <c r="AY50" i="4" s="1"/>
  <c r="AY50" i="5" s="1"/>
  <c r="AZ39" i="2"/>
  <c r="AZ50" i="4" s="1"/>
  <c r="AZ50" i="5" s="1"/>
  <c r="BA39" i="2"/>
  <c r="BA50" i="4" s="1"/>
  <c r="BA50" i="5" s="1"/>
  <c r="BB39" i="2"/>
  <c r="BB50" i="4" s="1"/>
  <c r="BB50" i="5" s="1"/>
  <c r="BC39" i="2"/>
  <c r="BC50" i="4" s="1"/>
  <c r="BC50" i="5" s="1"/>
  <c r="BD39" i="2"/>
  <c r="BD50" i="4" s="1"/>
  <c r="BD50" i="5" s="1"/>
  <c r="BE39" i="2"/>
  <c r="BE50" i="4" s="1"/>
  <c r="BE50" i="5" s="1"/>
  <c r="BF39" i="2"/>
  <c r="BF50" i="4" s="1"/>
  <c r="BF50" i="5" s="1"/>
  <c r="BG39" i="2"/>
  <c r="BG50" i="4" s="1"/>
  <c r="BG50" i="5" s="1"/>
  <c r="BH39" i="2"/>
  <c r="BH50" i="4" s="1"/>
  <c r="BH50" i="5" s="1"/>
  <c r="BI39" i="2"/>
  <c r="BI50" i="4" s="1"/>
  <c r="BI50" i="5" s="1"/>
  <c r="BJ39" i="2"/>
  <c r="BJ50" i="4" s="1"/>
  <c r="BJ50" i="5" s="1"/>
  <c r="BK39" i="2"/>
  <c r="BK50" i="4" s="1"/>
  <c r="BK50" i="5" s="1"/>
  <c r="BL39" i="2"/>
  <c r="BL50" i="4" s="1"/>
  <c r="BL50" i="5" s="1"/>
  <c r="BM39" i="2"/>
  <c r="BM50" i="4" s="1"/>
  <c r="BM50" i="5" s="1"/>
  <c r="BN39" i="2"/>
  <c r="BN50" i="4" s="1"/>
  <c r="BN50" i="5" s="1"/>
  <c r="BO39" i="2"/>
  <c r="BO50" i="4" s="1"/>
  <c r="BO50" i="5" s="1"/>
  <c r="BP39" i="2"/>
  <c r="BP50" i="4" s="1"/>
  <c r="BP50" i="5" s="1"/>
  <c r="BQ39" i="2"/>
  <c r="BQ50" i="4" s="1"/>
  <c r="BQ50" i="5" s="1"/>
  <c r="BR39" i="2"/>
  <c r="BR50" i="4" s="1"/>
  <c r="BR50" i="5" s="1"/>
  <c r="BS39" i="2"/>
  <c r="BS50" i="4" s="1"/>
  <c r="BS50" i="5" s="1"/>
  <c r="BT39" i="2"/>
  <c r="BT50" i="4" s="1"/>
  <c r="BT50" i="5" s="1"/>
  <c r="BU39" i="2"/>
  <c r="BU50" i="4" s="1"/>
  <c r="BU50" i="5" s="1"/>
  <c r="BV39" i="2"/>
  <c r="BV50" i="4" s="1"/>
  <c r="BV50" i="5" s="1"/>
  <c r="BW39" i="2"/>
  <c r="BW50" i="4" s="1"/>
  <c r="BW50" i="5" s="1"/>
  <c r="BX39" i="2"/>
  <c r="BX50" i="4" s="1"/>
  <c r="BX50" i="5" s="1"/>
  <c r="BY39" i="2"/>
  <c r="BY50" i="4" s="1"/>
  <c r="BY50" i="5" s="1"/>
  <c r="BZ39" i="2"/>
  <c r="BZ50" i="4" s="1"/>
  <c r="BZ50" i="5" s="1"/>
  <c r="CA39" i="2"/>
  <c r="CA50" i="4" s="1"/>
  <c r="CA50" i="5" s="1"/>
  <c r="CB39" i="2"/>
  <c r="CB50" i="4" s="1"/>
  <c r="CB50" i="5" s="1"/>
  <c r="CC39" i="2"/>
  <c r="CC50" i="4" s="1"/>
  <c r="CC50" i="5" s="1"/>
  <c r="C40" i="2"/>
  <c r="C32" i="4" s="1"/>
  <c r="C32" i="5" s="1"/>
  <c r="D40" i="2"/>
  <c r="D32" i="4" s="1"/>
  <c r="D32" i="5" s="1"/>
  <c r="E40" i="2"/>
  <c r="E32" i="4" s="1"/>
  <c r="E32" i="5" s="1"/>
  <c r="F40" i="2"/>
  <c r="F32" i="4" s="1"/>
  <c r="F32" i="5" s="1"/>
  <c r="G40" i="2"/>
  <c r="G32" i="4" s="1"/>
  <c r="G32" i="5" s="1"/>
  <c r="H40" i="2"/>
  <c r="H32" i="4" s="1"/>
  <c r="H32" i="5" s="1"/>
  <c r="I40" i="2"/>
  <c r="I32" i="4" s="1"/>
  <c r="I32" i="5" s="1"/>
  <c r="J40" i="2"/>
  <c r="J32" i="4" s="1"/>
  <c r="J32" i="5" s="1"/>
  <c r="K40" i="2"/>
  <c r="K32" i="4" s="1"/>
  <c r="K32" i="5" s="1"/>
  <c r="L40" i="2"/>
  <c r="L32" i="4" s="1"/>
  <c r="L32" i="5" s="1"/>
  <c r="M40" i="2"/>
  <c r="M32" i="4" s="1"/>
  <c r="M32" i="5" s="1"/>
  <c r="N40" i="2"/>
  <c r="N32" i="4" s="1"/>
  <c r="N32" i="5" s="1"/>
  <c r="O40" i="2"/>
  <c r="O32" i="4" s="1"/>
  <c r="O32" i="5" s="1"/>
  <c r="P40" i="2"/>
  <c r="P32" i="4" s="1"/>
  <c r="P32" i="5" s="1"/>
  <c r="Q40" i="2"/>
  <c r="Q32" i="4" s="1"/>
  <c r="Q32" i="5" s="1"/>
  <c r="R40" i="2"/>
  <c r="R32" i="4" s="1"/>
  <c r="R32" i="5" s="1"/>
  <c r="S40" i="2"/>
  <c r="S32" i="4" s="1"/>
  <c r="S32" i="5" s="1"/>
  <c r="T40" i="2"/>
  <c r="T32" i="4" s="1"/>
  <c r="T32" i="5" s="1"/>
  <c r="U40" i="2"/>
  <c r="U32" i="4" s="1"/>
  <c r="U32" i="5" s="1"/>
  <c r="V40" i="2"/>
  <c r="V32" i="4" s="1"/>
  <c r="V32" i="5" s="1"/>
  <c r="W40" i="2"/>
  <c r="W32" i="4" s="1"/>
  <c r="W32" i="5" s="1"/>
  <c r="X40" i="2"/>
  <c r="X32" i="4" s="1"/>
  <c r="X32" i="5" s="1"/>
  <c r="Y40" i="2"/>
  <c r="Y32" i="4" s="1"/>
  <c r="Y32" i="5" s="1"/>
  <c r="Z40" i="2"/>
  <c r="Z32" i="4" s="1"/>
  <c r="Z32" i="5" s="1"/>
  <c r="AA40" i="2"/>
  <c r="AA32" i="4" s="1"/>
  <c r="AA32" i="5" s="1"/>
  <c r="AB40" i="2"/>
  <c r="AB32" i="4" s="1"/>
  <c r="AB32" i="5" s="1"/>
  <c r="AC40" i="2"/>
  <c r="AC32" i="4" s="1"/>
  <c r="AC32" i="5" s="1"/>
  <c r="AD40" i="2"/>
  <c r="AD32" i="4" s="1"/>
  <c r="AD32" i="5" s="1"/>
  <c r="AE40" i="2"/>
  <c r="AE32" i="4" s="1"/>
  <c r="AE32" i="5" s="1"/>
  <c r="AF40" i="2"/>
  <c r="AF32" i="4" s="1"/>
  <c r="AF32" i="5" s="1"/>
  <c r="AG40" i="2"/>
  <c r="AG32" i="4" s="1"/>
  <c r="AG32" i="5" s="1"/>
  <c r="AH40" i="2"/>
  <c r="AH32" i="4" s="1"/>
  <c r="AH32" i="5" s="1"/>
  <c r="AI40" i="2"/>
  <c r="AI32" i="4" s="1"/>
  <c r="AI32" i="5" s="1"/>
  <c r="AJ40" i="2"/>
  <c r="AJ32" i="4" s="1"/>
  <c r="AJ32" i="5" s="1"/>
  <c r="AK40" i="2"/>
  <c r="AK32" i="4" s="1"/>
  <c r="AK32" i="5" s="1"/>
  <c r="AL40" i="2"/>
  <c r="AL32" i="4" s="1"/>
  <c r="AL32" i="5" s="1"/>
  <c r="AM40" i="2"/>
  <c r="AM32" i="4" s="1"/>
  <c r="AM32" i="5" s="1"/>
  <c r="AN40" i="2"/>
  <c r="AN32" i="4" s="1"/>
  <c r="AN32" i="5" s="1"/>
  <c r="AO40" i="2"/>
  <c r="AO32" i="4" s="1"/>
  <c r="AO32" i="5" s="1"/>
  <c r="AP40" i="2"/>
  <c r="AP32" i="4" s="1"/>
  <c r="AP32" i="5" s="1"/>
  <c r="AQ40" i="2"/>
  <c r="AQ32" i="4" s="1"/>
  <c r="AQ32" i="5" s="1"/>
  <c r="AR40" i="2"/>
  <c r="AR32" i="4" s="1"/>
  <c r="AR32" i="5" s="1"/>
  <c r="AS40" i="2"/>
  <c r="AS32" i="4" s="1"/>
  <c r="AS32" i="5" s="1"/>
  <c r="AT40" i="2"/>
  <c r="AT32" i="4" s="1"/>
  <c r="AT32" i="5" s="1"/>
  <c r="AU40" i="2"/>
  <c r="AU32" i="4" s="1"/>
  <c r="AU32" i="5" s="1"/>
  <c r="AV40" i="2"/>
  <c r="AV32" i="4" s="1"/>
  <c r="AV32" i="5" s="1"/>
  <c r="AW40" i="2"/>
  <c r="AW32" i="4" s="1"/>
  <c r="AW32" i="5" s="1"/>
  <c r="AX40" i="2"/>
  <c r="AX32" i="4" s="1"/>
  <c r="AX32" i="5" s="1"/>
  <c r="AY40" i="2"/>
  <c r="AY32" i="4" s="1"/>
  <c r="AY32" i="5" s="1"/>
  <c r="AZ40" i="2"/>
  <c r="AZ32" i="4" s="1"/>
  <c r="AZ32" i="5" s="1"/>
  <c r="BA40" i="2"/>
  <c r="BA32" i="4" s="1"/>
  <c r="BA32" i="5" s="1"/>
  <c r="BB40" i="2"/>
  <c r="BB32" i="4" s="1"/>
  <c r="BB32" i="5" s="1"/>
  <c r="BC40" i="2"/>
  <c r="BC32" i="4" s="1"/>
  <c r="BC32" i="5" s="1"/>
  <c r="BD40" i="2"/>
  <c r="BD32" i="4" s="1"/>
  <c r="BD32" i="5" s="1"/>
  <c r="BE40" i="2"/>
  <c r="BE32" i="4" s="1"/>
  <c r="BE32" i="5" s="1"/>
  <c r="BF40" i="2"/>
  <c r="BF32" i="4" s="1"/>
  <c r="BF32" i="5" s="1"/>
  <c r="BG40" i="2"/>
  <c r="BG32" i="4" s="1"/>
  <c r="BG32" i="5" s="1"/>
  <c r="BH40" i="2"/>
  <c r="BH32" i="4" s="1"/>
  <c r="BH32" i="5" s="1"/>
  <c r="BI40" i="2"/>
  <c r="BI32" i="4" s="1"/>
  <c r="BI32" i="5" s="1"/>
  <c r="BJ40" i="2"/>
  <c r="BJ32" i="4" s="1"/>
  <c r="BJ32" i="5" s="1"/>
  <c r="BK40" i="2"/>
  <c r="BK32" i="4" s="1"/>
  <c r="BK32" i="5" s="1"/>
  <c r="BL40" i="2"/>
  <c r="BL32" i="4" s="1"/>
  <c r="BL32" i="5" s="1"/>
  <c r="BM40" i="2"/>
  <c r="BM32" i="4" s="1"/>
  <c r="BM32" i="5" s="1"/>
  <c r="BN40" i="2"/>
  <c r="BN32" i="4" s="1"/>
  <c r="BN32" i="5" s="1"/>
  <c r="BO40" i="2"/>
  <c r="BO32" i="4" s="1"/>
  <c r="BO32" i="5" s="1"/>
  <c r="BP40" i="2"/>
  <c r="BP32" i="4" s="1"/>
  <c r="BP32" i="5" s="1"/>
  <c r="BQ40" i="2"/>
  <c r="BQ32" i="4" s="1"/>
  <c r="BQ32" i="5" s="1"/>
  <c r="BR40" i="2"/>
  <c r="BR32" i="4" s="1"/>
  <c r="BR32" i="5" s="1"/>
  <c r="BS40" i="2"/>
  <c r="BS32" i="4" s="1"/>
  <c r="BS32" i="5" s="1"/>
  <c r="BT40" i="2"/>
  <c r="BT32" i="4" s="1"/>
  <c r="BT32" i="5" s="1"/>
  <c r="BU40" i="2"/>
  <c r="BU32" i="4" s="1"/>
  <c r="BU32" i="5" s="1"/>
  <c r="BV40" i="2"/>
  <c r="BV32" i="4" s="1"/>
  <c r="BV32" i="5" s="1"/>
  <c r="BW40" i="2"/>
  <c r="BW32" i="4" s="1"/>
  <c r="BW32" i="5" s="1"/>
  <c r="BX40" i="2"/>
  <c r="BX32" i="4" s="1"/>
  <c r="BX32" i="5" s="1"/>
  <c r="BY40" i="2"/>
  <c r="BY32" i="4" s="1"/>
  <c r="BY32" i="5" s="1"/>
  <c r="BZ40" i="2"/>
  <c r="BZ32" i="4" s="1"/>
  <c r="BZ32" i="5" s="1"/>
  <c r="CA40" i="2"/>
  <c r="CA32" i="4" s="1"/>
  <c r="CA32" i="5" s="1"/>
  <c r="CB40" i="2"/>
  <c r="CB32" i="4" s="1"/>
  <c r="CB32" i="5" s="1"/>
  <c r="CC40" i="2"/>
  <c r="CC32" i="4" s="1"/>
  <c r="CC32" i="5" s="1"/>
  <c r="C41" i="2"/>
  <c r="C44" i="4" s="1"/>
  <c r="C44" i="5" s="1"/>
  <c r="D41" i="2"/>
  <c r="D44" i="4" s="1"/>
  <c r="D44" i="5" s="1"/>
  <c r="E41" i="2"/>
  <c r="E44" i="4" s="1"/>
  <c r="E44" i="5" s="1"/>
  <c r="F41" i="2"/>
  <c r="F44" i="4" s="1"/>
  <c r="F44" i="5" s="1"/>
  <c r="G41" i="2"/>
  <c r="G44" i="4" s="1"/>
  <c r="G44" i="5" s="1"/>
  <c r="H41" i="2"/>
  <c r="H44" i="4" s="1"/>
  <c r="H44" i="5" s="1"/>
  <c r="I41" i="2"/>
  <c r="I44" i="4" s="1"/>
  <c r="I44" i="5" s="1"/>
  <c r="J41" i="2"/>
  <c r="J44" i="4" s="1"/>
  <c r="J44" i="5" s="1"/>
  <c r="K41" i="2"/>
  <c r="K44" i="4" s="1"/>
  <c r="K44" i="5" s="1"/>
  <c r="L41" i="2"/>
  <c r="L44" i="4" s="1"/>
  <c r="L44" i="5" s="1"/>
  <c r="M41" i="2"/>
  <c r="M44" i="4" s="1"/>
  <c r="M44" i="5" s="1"/>
  <c r="N41" i="2"/>
  <c r="N44" i="4" s="1"/>
  <c r="N44" i="5" s="1"/>
  <c r="O41" i="2"/>
  <c r="O44" i="4" s="1"/>
  <c r="O44" i="5" s="1"/>
  <c r="P41" i="2"/>
  <c r="P44" i="4" s="1"/>
  <c r="P44" i="5" s="1"/>
  <c r="Q41" i="2"/>
  <c r="Q44" i="4" s="1"/>
  <c r="Q44" i="5" s="1"/>
  <c r="R41" i="2"/>
  <c r="R44" i="4" s="1"/>
  <c r="R44" i="5" s="1"/>
  <c r="S41" i="2"/>
  <c r="S44" i="4" s="1"/>
  <c r="S44" i="5" s="1"/>
  <c r="T41" i="2"/>
  <c r="T44" i="4" s="1"/>
  <c r="T44" i="5" s="1"/>
  <c r="U41" i="2"/>
  <c r="U44" i="4" s="1"/>
  <c r="U44" i="5" s="1"/>
  <c r="V41" i="2"/>
  <c r="V44" i="4" s="1"/>
  <c r="V44" i="5" s="1"/>
  <c r="W41" i="2"/>
  <c r="W44" i="4" s="1"/>
  <c r="W44" i="5" s="1"/>
  <c r="X41" i="2"/>
  <c r="X44" i="4" s="1"/>
  <c r="X44" i="5" s="1"/>
  <c r="Y41" i="2"/>
  <c r="Y44" i="4" s="1"/>
  <c r="Y44" i="5" s="1"/>
  <c r="Z41" i="2"/>
  <c r="Z44" i="4" s="1"/>
  <c r="Z44" i="5" s="1"/>
  <c r="AA41" i="2"/>
  <c r="AA44" i="4" s="1"/>
  <c r="AA44" i="5" s="1"/>
  <c r="AB41" i="2"/>
  <c r="AB44" i="4" s="1"/>
  <c r="AB44" i="5" s="1"/>
  <c r="AC41" i="2"/>
  <c r="AC44" i="4" s="1"/>
  <c r="AC44" i="5" s="1"/>
  <c r="AD41" i="2"/>
  <c r="AD44" i="4" s="1"/>
  <c r="AD44" i="5" s="1"/>
  <c r="AE41" i="2"/>
  <c r="AE44" i="4" s="1"/>
  <c r="AE44" i="5" s="1"/>
  <c r="AF41" i="2"/>
  <c r="AF44" i="4" s="1"/>
  <c r="AF44" i="5" s="1"/>
  <c r="AG41" i="2"/>
  <c r="AG44" i="4" s="1"/>
  <c r="AG44" i="5" s="1"/>
  <c r="AH41" i="2"/>
  <c r="AH44" i="4" s="1"/>
  <c r="AH44" i="5" s="1"/>
  <c r="AI41" i="2"/>
  <c r="AI44" i="4" s="1"/>
  <c r="AI44" i="5" s="1"/>
  <c r="AJ41" i="2"/>
  <c r="AJ44" i="4" s="1"/>
  <c r="AJ44" i="5" s="1"/>
  <c r="AK41" i="2"/>
  <c r="AK44" i="4" s="1"/>
  <c r="AK44" i="5" s="1"/>
  <c r="AL41" i="2"/>
  <c r="AL44" i="4" s="1"/>
  <c r="AL44" i="5" s="1"/>
  <c r="AM41" i="2"/>
  <c r="AM44" i="4" s="1"/>
  <c r="AM44" i="5" s="1"/>
  <c r="AN41" i="2"/>
  <c r="AN44" i="4" s="1"/>
  <c r="AN44" i="5" s="1"/>
  <c r="AO41" i="2"/>
  <c r="AO44" i="4" s="1"/>
  <c r="AO44" i="5" s="1"/>
  <c r="AP41" i="2"/>
  <c r="AP44" i="4" s="1"/>
  <c r="AP44" i="5" s="1"/>
  <c r="AQ41" i="2"/>
  <c r="AQ44" i="4" s="1"/>
  <c r="AQ44" i="5" s="1"/>
  <c r="AR41" i="2"/>
  <c r="AR44" i="4" s="1"/>
  <c r="AR44" i="5" s="1"/>
  <c r="AS41" i="2"/>
  <c r="AS44" i="4" s="1"/>
  <c r="AS44" i="5" s="1"/>
  <c r="AT41" i="2"/>
  <c r="AT44" i="4" s="1"/>
  <c r="AT44" i="5" s="1"/>
  <c r="AU41" i="2"/>
  <c r="AU44" i="4" s="1"/>
  <c r="AU44" i="5" s="1"/>
  <c r="AV41" i="2"/>
  <c r="AV44" i="4" s="1"/>
  <c r="AV44" i="5" s="1"/>
  <c r="AW41" i="2"/>
  <c r="AW44" i="4" s="1"/>
  <c r="AW44" i="5" s="1"/>
  <c r="AX41" i="2"/>
  <c r="AX44" i="4" s="1"/>
  <c r="AX44" i="5" s="1"/>
  <c r="AY41" i="2"/>
  <c r="AY44" i="4" s="1"/>
  <c r="AY44" i="5" s="1"/>
  <c r="AZ41" i="2"/>
  <c r="AZ44" i="4" s="1"/>
  <c r="AZ44" i="5" s="1"/>
  <c r="BA41" i="2"/>
  <c r="BA44" i="4" s="1"/>
  <c r="BA44" i="5" s="1"/>
  <c r="BB41" i="2"/>
  <c r="BB44" i="4" s="1"/>
  <c r="BB44" i="5" s="1"/>
  <c r="BC41" i="2"/>
  <c r="BC44" i="4" s="1"/>
  <c r="BC44" i="5" s="1"/>
  <c r="BD41" i="2"/>
  <c r="BD44" i="4" s="1"/>
  <c r="BD44" i="5" s="1"/>
  <c r="BE41" i="2"/>
  <c r="BE44" i="4" s="1"/>
  <c r="BE44" i="5" s="1"/>
  <c r="BF41" i="2"/>
  <c r="BF44" i="4" s="1"/>
  <c r="BF44" i="5" s="1"/>
  <c r="BG41" i="2"/>
  <c r="BG44" i="4" s="1"/>
  <c r="BG44" i="5" s="1"/>
  <c r="BH41" i="2"/>
  <c r="BH44" i="4" s="1"/>
  <c r="BH44" i="5" s="1"/>
  <c r="BI41" i="2"/>
  <c r="BI44" i="4" s="1"/>
  <c r="BI44" i="5" s="1"/>
  <c r="BJ41" i="2"/>
  <c r="BJ44" i="4" s="1"/>
  <c r="BJ44" i="5" s="1"/>
  <c r="BK41" i="2"/>
  <c r="BK44" i="4" s="1"/>
  <c r="BK44" i="5" s="1"/>
  <c r="BL41" i="2"/>
  <c r="BL44" i="4" s="1"/>
  <c r="BL44" i="5" s="1"/>
  <c r="BM41" i="2"/>
  <c r="BM44" i="4" s="1"/>
  <c r="BM44" i="5" s="1"/>
  <c r="BN41" i="2"/>
  <c r="BN44" i="4" s="1"/>
  <c r="BN44" i="5" s="1"/>
  <c r="BO41" i="2"/>
  <c r="BO44" i="4" s="1"/>
  <c r="BO44" i="5" s="1"/>
  <c r="BP41" i="2"/>
  <c r="BP44" i="4" s="1"/>
  <c r="BP44" i="5" s="1"/>
  <c r="BQ41" i="2"/>
  <c r="BQ44" i="4" s="1"/>
  <c r="BQ44" i="5" s="1"/>
  <c r="BR41" i="2"/>
  <c r="BR44" i="4" s="1"/>
  <c r="BR44" i="5" s="1"/>
  <c r="BS41" i="2"/>
  <c r="BS44" i="4" s="1"/>
  <c r="BS44" i="5" s="1"/>
  <c r="BT41" i="2"/>
  <c r="BT44" i="4" s="1"/>
  <c r="BT44" i="5" s="1"/>
  <c r="BU41" i="2"/>
  <c r="BU44" i="4" s="1"/>
  <c r="BU44" i="5" s="1"/>
  <c r="BV41" i="2"/>
  <c r="BV44" i="4" s="1"/>
  <c r="BV44" i="5" s="1"/>
  <c r="BW41" i="2"/>
  <c r="BW44" i="4" s="1"/>
  <c r="BW44" i="5" s="1"/>
  <c r="BX41" i="2"/>
  <c r="BX44" i="4" s="1"/>
  <c r="BX44" i="5" s="1"/>
  <c r="BY41" i="2"/>
  <c r="BY44" i="4" s="1"/>
  <c r="BY44" i="5" s="1"/>
  <c r="BZ41" i="2"/>
  <c r="BZ44" i="4" s="1"/>
  <c r="BZ44" i="5" s="1"/>
  <c r="CA41" i="2"/>
  <c r="CA44" i="4" s="1"/>
  <c r="CA44" i="5" s="1"/>
  <c r="CB41" i="2"/>
  <c r="CB44" i="4" s="1"/>
  <c r="CB44" i="5" s="1"/>
  <c r="CC41" i="2"/>
  <c r="CC44" i="4" s="1"/>
  <c r="CC44" i="5" s="1"/>
  <c r="C42" i="2"/>
  <c r="C35" i="4" s="1"/>
  <c r="C35" i="5" s="1"/>
  <c r="D42" i="2"/>
  <c r="D35" i="4" s="1"/>
  <c r="D35" i="5" s="1"/>
  <c r="E42" i="2"/>
  <c r="E35" i="4" s="1"/>
  <c r="E35" i="5" s="1"/>
  <c r="F42" i="2"/>
  <c r="F35" i="4" s="1"/>
  <c r="F35" i="5" s="1"/>
  <c r="G42" i="2"/>
  <c r="G35" i="4" s="1"/>
  <c r="G35" i="5" s="1"/>
  <c r="H42" i="2"/>
  <c r="H35" i="4" s="1"/>
  <c r="H35" i="5" s="1"/>
  <c r="I42" i="2"/>
  <c r="I35" i="4" s="1"/>
  <c r="I35" i="5" s="1"/>
  <c r="J42" i="2"/>
  <c r="J35" i="4" s="1"/>
  <c r="J35" i="5" s="1"/>
  <c r="K42" i="2"/>
  <c r="K35" i="4" s="1"/>
  <c r="K35" i="5" s="1"/>
  <c r="L42" i="2"/>
  <c r="L35" i="4" s="1"/>
  <c r="L35" i="5" s="1"/>
  <c r="M42" i="2"/>
  <c r="M35" i="4" s="1"/>
  <c r="M35" i="5" s="1"/>
  <c r="N42" i="2"/>
  <c r="N35" i="4" s="1"/>
  <c r="N35" i="5" s="1"/>
  <c r="O42" i="2"/>
  <c r="O35" i="4" s="1"/>
  <c r="O35" i="5" s="1"/>
  <c r="P42" i="2"/>
  <c r="P35" i="4" s="1"/>
  <c r="P35" i="5" s="1"/>
  <c r="Q42" i="2"/>
  <c r="Q35" i="4" s="1"/>
  <c r="Q35" i="5" s="1"/>
  <c r="R42" i="2"/>
  <c r="R35" i="4" s="1"/>
  <c r="R35" i="5" s="1"/>
  <c r="S42" i="2"/>
  <c r="S35" i="4" s="1"/>
  <c r="S35" i="5" s="1"/>
  <c r="T42" i="2"/>
  <c r="T35" i="4" s="1"/>
  <c r="T35" i="5" s="1"/>
  <c r="U42" i="2"/>
  <c r="U35" i="4" s="1"/>
  <c r="U35" i="5" s="1"/>
  <c r="V42" i="2"/>
  <c r="V35" i="4" s="1"/>
  <c r="V35" i="5" s="1"/>
  <c r="W42" i="2"/>
  <c r="W35" i="4" s="1"/>
  <c r="W35" i="5" s="1"/>
  <c r="X42" i="2"/>
  <c r="X35" i="4" s="1"/>
  <c r="X35" i="5" s="1"/>
  <c r="Y42" i="2"/>
  <c r="Y35" i="4" s="1"/>
  <c r="Y35" i="5" s="1"/>
  <c r="Z42" i="2"/>
  <c r="Z35" i="4" s="1"/>
  <c r="Z35" i="5" s="1"/>
  <c r="AA42" i="2"/>
  <c r="AA35" i="4" s="1"/>
  <c r="AA35" i="5" s="1"/>
  <c r="AB42" i="2"/>
  <c r="AB35" i="4" s="1"/>
  <c r="AB35" i="5" s="1"/>
  <c r="AC42" i="2"/>
  <c r="AC35" i="4" s="1"/>
  <c r="AC35" i="5" s="1"/>
  <c r="AD42" i="2"/>
  <c r="AD35" i="4" s="1"/>
  <c r="AD35" i="5" s="1"/>
  <c r="AE42" i="2"/>
  <c r="AE35" i="4" s="1"/>
  <c r="AE35" i="5" s="1"/>
  <c r="AF42" i="2"/>
  <c r="AF35" i="4" s="1"/>
  <c r="AF35" i="5" s="1"/>
  <c r="AG42" i="2"/>
  <c r="AG35" i="4" s="1"/>
  <c r="AG35" i="5" s="1"/>
  <c r="AH42" i="2"/>
  <c r="AH35" i="4" s="1"/>
  <c r="AH35" i="5" s="1"/>
  <c r="AI42" i="2"/>
  <c r="AI35" i="4" s="1"/>
  <c r="AI35" i="5" s="1"/>
  <c r="AJ42" i="2"/>
  <c r="AJ35" i="4" s="1"/>
  <c r="AJ35" i="5" s="1"/>
  <c r="AK42" i="2"/>
  <c r="AK35" i="4" s="1"/>
  <c r="AK35" i="5" s="1"/>
  <c r="AL42" i="2"/>
  <c r="AL35" i="4" s="1"/>
  <c r="AL35" i="5" s="1"/>
  <c r="AM42" i="2"/>
  <c r="AM35" i="4" s="1"/>
  <c r="AM35" i="5" s="1"/>
  <c r="AN42" i="2"/>
  <c r="AN35" i="4" s="1"/>
  <c r="AN35" i="5" s="1"/>
  <c r="AO42" i="2"/>
  <c r="AO35" i="4" s="1"/>
  <c r="AO35" i="5" s="1"/>
  <c r="AP42" i="2"/>
  <c r="AP35" i="4" s="1"/>
  <c r="AP35" i="5" s="1"/>
  <c r="AQ42" i="2"/>
  <c r="AQ35" i="4" s="1"/>
  <c r="AQ35" i="5" s="1"/>
  <c r="AR42" i="2"/>
  <c r="AR35" i="4" s="1"/>
  <c r="AR35" i="5" s="1"/>
  <c r="AS42" i="2"/>
  <c r="AS35" i="4" s="1"/>
  <c r="AS35" i="5" s="1"/>
  <c r="AT42" i="2"/>
  <c r="AT35" i="4" s="1"/>
  <c r="AT35" i="5" s="1"/>
  <c r="AU42" i="2"/>
  <c r="AU35" i="4" s="1"/>
  <c r="AU35" i="5" s="1"/>
  <c r="AV42" i="2"/>
  <c r="AV35" i="4" s="1"/>
  <c r="AV35" i="5" s="1"/>
  <c r="AW42" i="2"/>
  <c r="AW35" i="4" s="1"/>
  <c r="AW35" i="5" s="1"/>
  <c r="AX42" i="2"/>
  <c r="AX35" i="4" s="1"/>
  <c r="AX35" i="5" s="1"/>
  <c r="AY42" i="2"/>
  <c r="AY35" i="4" s="1"/>
  <c r="AY35" i="5" s="1"/>
  <c r="AZ42" i="2"/>
  <c r="AZ35" i="4" s="1"/>
  <c r="AZ35" i="5" s="1"/>
  <c r="BA42" i="2"/>
  <c r="BA35" i="4" s="1"/>
  <c r="BA35" i="5" s="1"/>
  <c r="BB42" i="2"/>
  <c r="BB35" i="4" s="1"/>
  <c r="BB35" i="5" s="1"/>
  <c r="BC42" i="2"/>
  <c r="BC35" i="4" s="1"/>
  <c r="BC35" i="5" s="1"/>
  <c r="BD42" i="2"/>
  <c r="BD35" i="4" s="1"/>
  <c r="BD35" i="5" s="1"/>
  <c r="BE42" i="2"/>
  <c r="BE35" i="4" s="1"/>
  <c r="BE35" i="5" s="1"/>
  <c r="BF42" i="2"/>
  <c r="BF35" i="4" s="1"/>
  <c r="BF35" i="5" s="1"/>
  <c r="BG42" i="2"/>
  <c r="BG35" i="4" s="1"/>
  <c r="BG35" i="5" s="1"/>
  <c r="BH42" i="2"/>
  <c r="BH35" i="4" s="1"/>
  <c r="BH35" i="5" s="1"/>
  <c r="BI42" i="2"/>
  <c r="BI35" i="4" s="1"/>
  <c r="BI35" i="5" s="1"/>
  <c r="BJ42" i="2"/>
  <c r="BJ35" i="4" s="1"/>
  <c r="BJ35" i="5" s="1"/>
  <c r="BK42" i="2"/>
  <c r="BK35" i="4" s="1"/>
  <c r="BK35" i="5" s="1"/>
  <c r="BL42" i="2"/>
  <c r="BL35" i="4" s="1"/>
  <c r="BL35" i="5" s="1"/>
  <c r="BM42" i="2"/>
  <c r="BM35" i="4" s="1"/>
  <c r="BM35" i="5" s="1"/>
  <c r="BN42" i="2"/>
  <c r="BN35" i="4" s="1"/>
  <c r="BN35" i="5" s="1"/>
  <c r="BO42" i="2"/>
  <c r="BO35" i="4" s="1"/>
  <c r="BO35" i="5" s="1"/>
  <c r="BP42" i="2"/>
  <c r="BP35" i="4" s="1"/>
  <c r="BP35" i="5" s="1"/>
  <c r="BQ42" i="2"/>
  <c r="BQ35" i="4" s="1"/>
  <c r="BQ35" i="5" s="1"/>
  <c r="BR42" i="2"/>
  <c r="BR35" i="4" s="1"/>
  <c r="BR35" i="5" s="1"/>
  <c r="BS42" i="2"/>
  <c r="BS35" i="4" s="1"/>
  <c r="BS35" i="5" s="1"/>
  <c r="BT42" i="2"/>
  <c r="BT35" i="4" s="1"/>
  <c r="BT35" i="5" s="1"/>
  <c r="BU42" i="2"/>
  <c r="BU35" i="4" s="1"/>
  <c r="BU35" i="5" s="1"/>
  <c r="BV42" i="2"/>
  <c r="BV35" i="4" s="1"/>
  <c r="BV35" i="5" s="1"/>
  <c r="BW42" i="2"/>
  <c r="BW35" i="4" s="1"/>
  <c r="BW35" i="5" s="1"/>
  <c r="BX42" i="2"/>
  <c r="BX35" i="4" s="1"/>
  <c r="BX35" i="5" s="1"/>
  <c r="BY42" i="2"/>
  <c r="BY35" i="4" s="1"/>
  <c r="BY35" i="5" s="1"/>
  <c r="BZ42" i="2"/>
  <c r="BZ35" i="4" s="1"/>
  <c r="BZ35" i="5" s="1"/>
  <c r="CA42" i="2"/>
  <c r="CA35" i="4" s="1"/>
  <c r="CA35" i="5" s="1"/>
  <c r="CB42" i="2"/>
  <c r="CB35" i="4" s="1"/>
  <c r="CB35" i="5" s="1"/>
  <c r="CC42" i="2"/>
  <c r="CC35" i="4" s="1"/>
  <c r="CC35" i="5" s="1"/>
  <c r="C43" i="2"/>
  <c r="C51" i="4" s="1"/>
  <c r="C51" i="5" s="1"/>
  <c r="D43" i="2"/>
  <c r="D51" i="4" s="1"/>
  <c r="D51" i="5" s="1"/>
  <c r="E43" i="2"/>
  <c r="E51" i="4" s="1"/>
  <c r="E51" i="5" s="1"/>
  <c r="F43" i="2"/>
  <c r="F51" i="4" s="1"/>
  <c r="F51" i="5" s="1"/>
  <c r="G43" i="2"/>
  <c r="G51" i="4" s="1"/>
  <c r="G51" i="5" s="1"/>
  <c r="H43" i="2"/>
  <c r="H51" i="4" s="1"/>
  <c r="H51" i="5" s="1"/>
  <c r="I43" i="2"/>
  <c r="I51" i="4" s="1"/>
  <c r="I51" i="5" s="1"/>
  <c r="J43" i="2"/>
  <c r="J51" i="4" s="1"/>
  <c r="J51" i="5" s="1"/>
  <c r="K43" i="2"/>
  <c r="K51" i="4" s="1"/>
  <c r="K51" i="5" s="1"/>
  <c r="L43" i="2"/>
  <c r="L51" i="4" s="1"/>
  <c r="L51" i="5" s="1"/>
  <c r="M43" i="2"/>
  <c r="M51" i="4" s="1"/>
  <c r="M51" i="5" s="1"/>
  <c r="N43" i="2"/>
  <c r="N51" i="4" s="1"/>
  <c r="N51" i="5" s="1"/>
  <c r="O43" i="2"/>
  <c r="O51" i="4" s="1"/>
  <c r="O51" i="5" s="1"/>
  <c r="P43" i="2"/>
  <c r="P51" i="4" s="1"/>
  <c r="P51" i="5" s="1"/>
  <c r="Q43" i="2"/>
  <c r="Q51" i="4" s="1"/>
  <c r="Q51" i="5" s="1"/>
  <c r="R43" i="2"/>
  <c r="R51" i="4" s="1"/>
  <c r="R51" i="5" s="1"/>
  <c r="S43" i="2"/>
  <c r="S51" i="4" s="1"/>
  <c r="S51" i="5" s="1"/>
  <c r="T43" i="2"/>
  <c r="T51" i="4" s="1"/>
  <c r="T51" i="5" s="1"/>
  <c r="U43" i="2"/>
  <c r="U51" i="4" s="1"/>
  <c r="U51" i="5" s="1"/>
  <c r="V43" i="2"/>
  <c r="V51" i="4" s="1"/>
  <c r="V51" i="5" s="1"/>
  <c r="W43" i="2"/>
  <c r="W51" i="4" s="1"/>
  <c r="W51" i="5" s="1"/>
  <c r="X43" i="2"/>
  <c r="X51" i="4" s="1"/>
  <c r="X51" i="5" s="1"/>
  <c r="Y43" i="2"/>
  <c r="Y51" i="4" s="1"/>
  <c r="Y51" i="5" s="1"/>
  <c r="Z43" i="2"/>
  <c r="Z51" i="4" s="1"/>
  <c r="Z51" i="5" s="1"/>
  <c r="AA43" i="2"/>
  <c r="AA51" i="4" s="1"/>
  <c r="AA51" i="5" s="1"/>
  <c r="AB43" i="2"/>
  <c r="AB51" i="4" s="1"/>
  <c r="AB51" i="5" s="1"/>
  <c r="AC43" i="2"/>
  <c r="AC51" i="4" s="1"/>
  <c r="AC51" i="5" s="1"/>
  <c r="AD43" i="2"/>
  <c r="AD51" i="4" s="1"/>
  <c r="AD51" i="5" s="1"/>
  <c r="AE43" i="2"/>
  <c r="AE51" i="4" s="1"/>
  <c r="AE51" i="5" s="1"/>
  <c r="AF43" i="2"/>
  <c r="AF51" i="4" s="1"/>
  <c r="AF51" i="5" s="1"/>
  <c r="AG43" i="2"/>
  <c r="AG51" i="4" s="1"/>
  <c r="AG51" i="5" s="1"/>
  <c r="AH43" i="2"/>
  <c r="AH51" i="4" s="1"/>
  <c r="AH51" i="5" s="1"/>
  <c r="AI43" i="2"/>
  <c r="AI51" i="4" s="1"/>
  <c r="AI51" i="5" s="1"/>
  <c r="AJ43" i="2"/>
  <c r="AJ51" i="4" s="1"/>
  <c r="AJ51" i="5" s="1"/>
  <c r="AK43" i="2"/>
  <c r="AK51" i="4" s="1"/>
  <c r="AK51" i="5" s="1"/>
  <c r="AL43" i="2"/>
  <c r="AL51" i="4" s="1"/>
  <c r="AL51" i="5" s="1"/>
  <c r="AM43" i="2"/>
  <c r="AM51" i="4" s="1"/>
  <c r="AM51" i="5" s="1"/>
  <c r="AN43" i="2"/>
  <c r="AN51" i="4" s="1"/>
  <c r="AN51" i="5" s="1"/>
  <c r="AO43" i="2"/>
  <c r="AO51" i="4" s="1"/>
  <c r="AO51" i="5" s="1"/>
  <c r="AP43" i="2"/>
  <c r="AP51" i="4" s="1"/>
  <c r="AP51" i="5" s="1"/>
  <c r="AQ43" i="2"/>
  <c r="AQ51" i="4" s="1"/>
  <c r="AQ51" i="5" s="1"/>
  <c r="AR43" i="2"/>
  <c r="AR51" i="4" s="1"/>
  <c r="AR51" i="5" s="1"/>
  <c r="AS43" i="2"/>
  <c r="AS51" i="4" s="1"/>
  <c r="AS51" i="5" s="1"/>
  <c r="AT43" i="2"/>
  <c r="AT51" i="4" s="1"/>
  <c r="AT51" i="5" s="1"/>
  <c r="AU43" i="2"/>
  <c r="AU51" i="4" s="1"/>
  <c r="AU51" i="5" s="1"/>
  <c r="AV43" i="2"/>
  <c r="AV51" i="4" s="1"/>
  <c r="AV51" i="5" s="1"/>
  <c r="AW43" i="2"/>
  <c r="AW51" i="4" s="1"/>
  <c r="AW51" i="5" s="1"/>
  <c r="AX43" i="2"/>
  <c r="AX51" i="4" s="1"/>
  <c r="AX51" i="5" s="1"/>
  <c r="AY43" i="2"/>
  <c r="AY51" i="4" s="1"/>
  <c r="AY51" i="5" s="1"/>
  <c r="AZ43" i="2"/>
  <c r="AZ51" i="4" s="1"/>
  <c r="AZ51" i="5" s="1"/>
  <c r="BA43" i="2"/>
  <c r="BA51" i="4" s="1"/>
  <c r="BA51" i="5" s="1"/>
  <c r="BB43" i="2"/>
  <c r="BB51" i="4" s="1"/>
  <c r="BB51" i="5" s="1"/>
  <c r="BC43" i="2"/>
  <c r="BC51" i="4" s="1"/>
  <c r="BC51" i="5" s="1"/>
  <c r="BD43" i="2"/>
  <c r="BD51" i="4" s="1"/>
  <c r="BD51" i="5" s="1"/>
  <c r="BE43" i="2"/>
  <c r="BE51" i="4" s="1"/>
  <c r="BE51" i="5" s="1"/>
  <c r="BF43" i="2"/>
  <c r="BF51" i="4" s="1"/>
  <c r="BF51" i="5" s="1"/>
  <c r="BG43" i="2"/>
  <c r="BG51" i="4" s="1"/>
  <c r="BG51" i="5" s="1"/>
  <c r="BH43" i="2"/>
  <c r="BH51" i="4" s="1"/>
  <c r="BH51" i="5" s="1"/>
  <c r="BI43" i="2"/>
  <c r="BI51" i="4" s="1"/>
  <c r="BI51" i="5" s="1"/>
  <c r="BJ43" i="2"/>
  <c r="BJ51" i="4" s="1"/>
  <c r="BJ51" i="5" s="1"/>
  <c r="BK43" i="2"/>
  <c r="BK51" i="4" s="1"/>
  <c r="BK51" i="5" s="1"/>
  <c r="BL43" i="2"/>
  <c r="BL51" i="4" s="1"/>
  <c r="BL51" i="5" s="1"/>
  <c r="BM43" i="2"/>
  <c r="BM51" i="4" s="1"/>
  <c r="BM51" i="5" s="1"/>
  <c r="BN43" i="2"/>
  <c r="BN51" i="4" s="1"/>
  <c r="BN51" i="5" s="1"/>
  <c r="BO43" i="2"/>
  <c r="BO51" i="4" s="1"/>
  <c r="BO51" i="5" s="1"/>
  <c r="BP43" i="2"/>
  <c r="BP51" i="4" s="1"/>
  <c r="BP51" i="5" s="1"/>
  <c r="BQ43" i="2"/>
  <c r="BQ51" i="4" s="1"/>
  <c r="BQ51" i="5" s="1"/>
  <c r="BR43" i="2"/>
  <c r="BR51" i="4" s="1"/>
  <c r="BR51" i="5" s="1"/>
  <c r="BS43" i="2"/>
  <c r="BS51" i="4" s="1"/>
  <c r="BS51" i="5" s="1"/>
  <c r="BT43" i="2"/>
  <c r="BT51" i="4" s="1"/>
  <c r="BT51" i="5" s="1"/>
  <c r="BU43" i="2"/>
  <c r="BU51" i="4" s="1"/>
  <c r="BU51" i="5" s="1"/>
  <c r="BV43" i="2"/>
  <c r="BV51" i="4" s="1"/>
  <c r="BV51" i="5" s="1"/>
  <c r="BW43" i="2"/>
  <c r="BW51" i="4" s="1"/>
  <c r="BW51" i="5" s="1"/>
  <c r="BX43" i="2"/>
  <c r="BX51" i="4" s="1"/>
  <c r="BX51" i="5" s="1"/>
  <c r="BY43" i="2"/>
  <c r="BY51" i="4" s="1"/>
  <c r="BY51" i="5" s="1"/>
  <c r="BZ43" i="2"/>
  <c r="BZ51" i="4" s="1"/>
  <c r="BZ51" i="5" s="1"/>
  <c r="CA43" i="2"/>
  <c r="CA51" i="4" s="1"/>
  <c r="CA51" i="5" s="1"/>
  <c r="CB43" i="2"/>
  <c r="CB51" i="4" s="1"/>
  <c r="CB51" i="5" s="1"/>
  <c r="CC43" i="2"/>
  <c r="CC51" i="4" s="1"/>
  <c r="CC51" i="5" s="1"/>
  <c r="C44" i="2"/>
  <c r="C27" i="4" s="1"/>
  <c r="C27" i="5" s="1"/>
  <c r="D44" i="2"/>
  <c r="D27" i="4" s="1"/>
  <c r="D27" i="5" s="1"/>
  <c r="E44" i="2"/>
  <c r="E27" i="4" s="1"/>
  <c r="E27" i="5" s="1"/>
  <c r="F44" i="2"/>
  <c r="F27" i="4" s="1"/>
  <c r="F27" i="5" s="1"/>
  <c r="G44" i="2"/>
  <c r="G27" i="4" s="1"/>
  <c r="G27" i="5" s="1"/>
  <c r="H44" i="2"/>
  <c r="H27" i="4" s="1"/>
  <c r="H27" i="5" s="1"/>
  <c r="I44" i="2"/>
  <c r="I27" i="4" s="1"/>
  <c r="I27" i="5" s="1"/>
  <c r="J44" i="2"/>
  <c r="J27" i="4" s="1"/>
  <c r="J27" i="5" s="1"/>
  <c r="K44" i="2"/>
  <c r="K27" i="4" s="1"/>
  <c r="K27" i="5" s="1"/>
  <c r="L44" i="2"/>
  <c r="L27" i="4" s="1"/>
  <c r="L27" i="5" s="1"/>
  <c r="M44" i="2"/>
  <c r="M27" i="4" s="1"/>
  <c r="M27" i="5" s="1"/>
  <c r="N44" i="2"/>
  <c r="N27" i="4" s="1"/>
  <c r="N27" i="5" s="1"/>
  <c r="O44" i="2"/>
  <c r="O27" i="4" s="1"/>
  <c r="O27" i="5" s="1"/>
  <c r="P44" i="2"/>
  <c r="P27" i="4" s="1"/>
  <c r="P27" i="5" s="1"/>
  <c r="Q44" i="2"/>
  <c r="Q27" i="4" s="1"/>
  <c r="Q27" i="5" s="1"/>
  <c r="R44" i="2"/>
  <c r="R27" i="4" s="1"/>
  <c r="R27" i="5" s="1"/>
  <c r="S44" i="2"/>
  <c r="S27" i="4" s="1"/>
  <c r="S27" i="5" s="1"/>
  <c r="T44" i="2"/>
  <c r="T27" i="4" s="1"/>
  <c r="T27" i="5" s="1"/>
  <c r="U44" i="2"/>
  <c r="U27" i="4" s="1"/>
  <c r="U27" i="5" s="1"/>
  <c r="V44" i="2"/>
  <c r="V27" i="4" s="1"/>
  <c r="V27" i="5" s="1"/>
  <c r="W44" i="2"/>
  <c r="W27" i="4" s="1"/>
  <c r="W27" i="5" s="1"/>
  <c r="X44" i="2"/>
  <c r="X27" i="4" s="1"/>
  <c r="X27" i="5" s="1"/>
  <c r="Y44" i="2"/>
  <c r="Y27" i="4" s="1"/>
  <c r="Y27" i="5" s="1"/>
  <c r="Z44" i="2"/>
  <c r="Z27" i="4" s="1"/>
  <c r="Z27" i="5" s="1"/>
  <c r="AA44" i="2"/>
  <c r="AA27" i="4" s="1"/>
  <c r="AA27" i="5" s="1"/>
  <c r="AB44" i="2"/>
  <c r="AB27" i="4" s="1"/>
  <c r="AB27" i="5" s="1"/>
  <c r="AC44" i="2"/>
  <c r="AC27" i="4" s="1"/>
  <c r="AC27" i="5" s="1"/>
  <c r="AD44" i="2"/>
  <c r="AD27" i="4" s="1"/>
  <c r="AD27" i="5" s="1"/>
  <c r="AE44" i="2"/>
  <c r="AE27" i="4" s="1"/>
  <c r="AE27" i="5" s="1"/>
  <c r="AF44" i="2"/>
  <c r="AF27" i="4" s="1"/>
  <c r="AF27" i="5" s="1"/>
  <c r="AG44" i="2"/>
  <c r="AG27" i="4" s="1"/>
  <c r="AG27" i="5" s="1"/>
  <c r="AH44" i="2"/>
  <c r="AH27" i="4" s="1"/>
  <c r="AH27" i="5" s="1"/>
  <c r="AI44" i="2"/>
  <c r="AI27" i="4" s="1"/>
  <c r="AI27" i="5" s="1"/>
  <c r="AJ44" i="2"/>
  <c r="AJ27" i="4" s="1"/>
  <c r="AJ27" i="5" s="1"/>
  <c r="AK44" i="2"/>
  <c r="AK27" i="4" s="1"/>
  <c r="AK27" i="5" s="1"/>
  <c r="AL44" i="2"/>
  <c r="AL27" i="4" s="1"/>
  <c r="AL27" i="5" s="1"/>
  <c r="AM44" i="2"/>
  <c r="AM27" i="4" s="1"/>
  <c r="AM27" i="5" s="1"/>
  <c r="AN44" i="2"/>
  <c r="AN27" i="4" s="1"/>
  <c r="AN27" i="5" s="1"/>
  <c r="AO44" i="2"/>
  <c r="AO27" i="4" s="1"/>
  <c r="AO27" i="5" s="1"/>
  <c r="AP44" i="2"/>
  <c r="AP27" i="4" s="1"/>
  <c r="AP27" i="5" s="1"/>
  <c r="AQ44" i="2"/>
  <c r="AQ27" i="4" s="1"/>
  <c r="AQ27" i="5" s="1"/>
  <c r="AR44" i="2"/>
  <c r="AR27" i="4" s="1"/>
  <c r="AR27" i="5" s="1"/>
  <c r="AS44" i="2"/>
  <c r="AS27" i="4" s="1"/>
  <c r="AS27" i="5" s="1"/>
  <c r="AT44" i="2"/>
  <c r="AT27" i="4" s="1"/>
  <c r="AT27" i="5" s="1"/>
  <c r="AU44" i="2"/>
  <c r="AU27" i="4" s="1"/>
  <c r="AU27" i="5" s="1"/>
  <c r="AV44" i="2"/>
  <c r="AV27" i="4" s="1"/>
  <c r="AV27" i="5" s="1"/>
  <c r="AW44" i="2"/>
  <c r="AW27" i="4" s="1"/>
  <c r="AW27" i="5" s="1"/>
  <c r="AX44" i="2"/>
  <c r="AX27" i="4" s="1"/>
  <c r="AX27" i="5" s="1"/>
  <c r="AY44" i="2"/>
  <c r="AY27" i="4" s="1"/>
  <c r="AY27" i="5" s="1"/>
  <c r="AZ44" i="2"/>
  <c r="AZ27" i="4" s="1"/>
  <c r="AZ27" i="5" s="1"/>
  <c r="BA44" i="2"/>
  <c r="BA27" i="4" s="1"/>
  <c r="BA27" i="5" s="1"/>
  <c r="BB44" i="2"/>
  <c r="BB27" i="4" s="1"/>
  <c r="BB27" i="5" s="1"/>
  <c r="BC44" i="2"/>
  <c r="BC27" i="4" s="1"/>
  <c r="BC27" i="5" s="1"/>
  <c r="BD44" i="2"/>
  <c r="BD27" i="4" s="1"/>
  <c r="BD27" i="5" s="1"/>
  <c r="BE44" i="2"/>
  <c r="BE27" i="4" s="1"/>
  <c r="BE27" i="5" s="1"/>
  <c r="BF44" i="2"/>
  <c r="BF27" i="4" s="1"/>
  <c r="BF27" i="5" s="1"/>
  <c r="BG44" i="2"/>
  <c r="BG27" i="4" s="1"/>
  <c r="BG27" i="5" s="1"/>
  <c r="BH44" i="2"/>
  <c r="BH27" i="4" s="1"/>
  <c r="BH27" i="5" s="1"/>
  <c r="BI44" i="2"/>
  <c r="BI27" i="4" s="1"/>
  <c r="BI27" i="5" s="1"/>
  <c r="BJ44" i="2"/>
  <c r="BJ27" i="4" s="1"/>
  <c r="BJ27" i="5" s="1"/>
  <c r="BK44" i="2"/>
  <c r="BK27" i="4" s="1"/>
  <c r="BK27" i="5" s="1"/>
  <c r="BL44" i="2"/>
  <c r="BL27" i="4" s="1"/>
  <c r="BL27" i="5" s="1"/>
  <c r="BM44" i="2"/>
  <c r="BM27" i="4" s="1"/>
  <c r="BM27" i="5" s="1"/>
  <c r="BN44" i="2"/>
  <c r="BN27" i="4" s="1"/>
  <c r="BN27" i="5" s="1"/>
  <c r="BO44" i="2"/>
  <c r="BO27" i="4" s="1"/>
  <c r="BO27" i="5" s="1"/>
  <c r="BP44" i="2"/>
  <c r="BP27" i="4" s="1"/>
  <c r="BP27" i="5" s="1"/>
  <c r="BQ44" i="2"/>
  <c r="BQ27" i="4" s="1"/>
  <c r="BQ27" i="5" s="1"/>
  <c r="BR44" i="2"/>
  <c r="BR27" i="4" s="1"/>
  <c r="BR27" i="5" s="1"/>
  <c r="BS44" i="2"/>
  <c r="BS27" i="4" s="1"/>
  <c r="BS27" i="5" s="1"/>
  <c r="BT44" i="2"/>
  <c r="BT27" i="4" s="1"/>
  <c r="BT27" i="5" s="1"/>
  <c r="BU44" i="2"/>
  <c r="BU27" i="4" s="1"/>
  <c r="BU27" i="5" s="1"/>
  <c r="BV44" i="2"/>
  <c r="BV27" i="4" s="1"/>
  <c r="BV27" i="5" s="1"/>
  <c r="BW44" i="2"/>
  <c r="BW27" i="4" s="1"/>
  <c r="BW27" i="5" s="1"/>
  <c r="BX44" i="2"/>
  <c r="BX27" i="4" s="1"/>
  <c r="BX27" i="5" s="1"/>
  <c r="BY44" i="2"/>
  <c r="BY27" i="4" s="1"/>
  <c r="BY27" i="5" s="1"/>
  <c r="BZ44" i="2"/>
  <c r="BZ27" i="4" s="1"/>
  <c r="BZ27" i="5" s="1"/>
  <c r="CA44" i="2"/>
  <c r="CA27" i="4" s="1"/>
  <c r="CA27" i="5" s="1"/>
  <c r="CB44" i="2"/>
  <c r="CB27" i="4" s="1"/>
  <c r="CB27" i="5" s="1"/>
  <c r="CC44" i="2"/>
  <c r="CC27" i="4" s="1"/>
  <c r="CC27" i="5" s="1"/>
  <c r="C45" i="2"/>
  <c r="C40" i="4" s="1"/>
  <c r="C40" i="5" s="1"/>
  <c r="D45" i="2"/>
  <c r="D40" i="4" s="1"/>
  <c r="D40" i="5" s="1"/>
  <c r="E45" i="2"/>
  <c r="E40" i="4" s="1"/>
  <c r="E40" i="5" s="1"/>
  <c r="F45" i="2"/>
  <c r="F40" i="4" s="1"/>
  <c r="F40" i="5" s="1"/>
  <c r="G45" i="2"/>
  <c r="G40" i="4" s="1"/>
  <c r="G40" i="5" s="1"/>
  <c r="H45" i="2"/>
  <c r="H40" i="4" s="1"/>
  <c r="H40" i="5" s="1"/>
  <c r="I45" i="2"/>
  <c r="I40" i="4" s="1"/>
  <c r="I40" i="5" s="1"/>
  <c r="J45" i="2"/>
  <c r="J40" i="4" s="1"/>
  <c r="J40" i="5" s="1"/>
  <c r="K45" i="2"/>
  <c r="K40" i="4" s="1"/>
  <c r="K40" i="5" s="1"/>
  <c r="L45" i="2"/>
  <c r="L40" i="4" s="1"/>
  <c r="L40" i="5" s="1"/>
  <c r="M45" i="2"/>
  <c r="M40" i="4" s="1"/>
  <c r="M40" i="5" s="1"/>
  <c r="N45" i="2"/>
  <c r="N40" i="4" s="1"/>
  <c r="N40" i="5" s="1"/>
  <c r="O45" i="2"/>
  <c r="O40" i="4" s="1"/>
  <c r="O40" i="5" s="1"/>
  <c r="P45" i="2"/>
  <c r="P40" i="4" s="1"/>
  <c r="P40" i="5" s="1"/>
  <c r="Q45" i="2"/>
  <c r="Q40" i="4" s="1"/>
  <c r="Q40" i="5" s="1"/>
  <c r="R45" i="2"/>
  <c r="R40" i="4" s="1"/>
  <c r="R40" i="5" s="1"/>
  <c r="S45" i="2"/>
  <c r="S40" i="4" s="1"/>
  <c r="S40" i="5" s="1"/>
  <c r="T45" i="2"/>
  <c r="T40" i="4" s="1"/>
  <c r="T40" i="5" s="1"/>
  <c r="U45" i="2"/>
  <c r="U40" i="4" s="1"/>
  <c r="U40" i="5" s="1"/>
  <c r="V45" i="2"/>
  <c r="V40" i="4" s="1"/>
  <c r="V40" i="5" s="1"/>
  <c r="W45" i="2"/>
  <c r="W40" i="4" s="1"/>
  <c r="W40" i="5" s="1"/>
  <c r="X45" i="2"/>
  <c r="X40" i="4" s="1"/>
  <c r="X40" i="5" s="1"/>
  <c r="Y45" i="2"/>
  <c r="Y40" i="4" s="1"/>
  <c r="Y40" i="5" s="1"/>
  <c r="Z45" i="2"/>
  <c r="Z40" i="4" s="1"/>
  <c r="Z40" i="5" s="1"/>
  <c r="AA45" i="2"/>
  <c r="AA40" i="4" s="1"/>
  <c r="AA40" i="5" s="1"/>
  <c r="AB45" i="2"/>
  <c r="AB40" i="4" s="1"/>
  <c r="AB40" i="5" s="1"/>
  <c r="AC45" i="2"/>
  <c r="AC40" i="4" s="1"/>
  <c r="AC40" i="5" s="1"/>
  <c r="AD45" i="2"/>
  <c r="AD40" i="4" s="1"/>
  <c r="AD40" i="5" s="1"/>
  <c r="AE45" i="2"/>
  <c r="AE40" i="4" s="1"/>
  <c r="AE40" i="5" s="1"/>
  <c r="AF45" i="2"/>
  <c r="AF40" i="4" s="1"/>
  <c r="AF40" i="5" s="1"/>
  <c r="AG45" i="2"/>
  <c r="AG40" i="4" s="1"/>
  <c r="AG40" i="5" s="1"/>
  <c r="AH45" i="2"/>
  <c r="AH40" i="4" s="1"/>
  <c r="AH40" i="5" s="1"/>
  <c r="AI45" i="2"/>
  <c r="AI40" i="4" s="1"/>
  <c r="AI40" i="5" s="1"/>
  <c r="AJ45" i="2"/>
  <c r="AJ40" i="4" s="1"/>
  <c r="AJ40" i="5" s="1"/>
  <c r="AK45" i="2"/>
  <c r="AK40" i="4" s="1"/>
  <c r="AK40" i="5" s="1"/>
  <c r="AL45" i="2"/>
  <c r="AL40" i="4" s="1"/>
  <c r="AL40" i="5" s="1"/>
  <c r="AM45" i="2"/>
  <c r="AM40" i="4" s="1"/>
  <c r="AM40" i="5" s="1"/>
  <c r="AN45" i="2"/>
  <c r="AN40" i="4" s="1"/>
  <c r="AN40" i="5" s="1"/>
  <c r="AO45" i="2"/>
  <c r="AO40" i="4" s="1"/>
  <c r="AO40" i="5" s="1"/>
  <c r="AP45" i="2"/>
  <c r="AP40" i="4" s="1"/>
  <c r="AP40" i="5" s="1"/>
  <c r="AQ45" i="2"/>
  <c r="AQ40" i="4" s="1"/>
  <c r="AQ40" i="5" s="1"/>
  <c r="AR45" i="2"/>
  <c r="AR40" i="4" s="1"/>
  <c r="AR40" i="5" s="1"/>
  <c r="AS45" i="2"/>
  <c r="AS40" i="4" s="1"/>
  <c r="AS40" i="5" s="1"/>
  <c r="AT45" i="2"/>
  <c r="AT40" i="4" s="1"/>
  <c r="AT40" i="5" s="1"/>
  <c r="AU45" i="2"/>
  <c r="AU40" i="4" s="1"/>
  <c r="AU40" i="5" s="1"/>
  <c r="AV45" i="2"/>
  <c r="AV40" i="4" s="1"/>
  <c r="AV40" i="5" s="1"/>
  <c r="AW45" i="2"/>
  <c r="AW40" i="4" s="1"/>
  <c r="AW40" i="5" s="1"/>
  <c r="AX45" i="2"/>
  <c r="AX40" i="4" s="1"/>
  <c r="AX40" i="5" s="1"/>
  <c r="AY45" i="2"/>
  <c r="AY40" i="4" s="1"/>
  <c r="AY40" i="5" s="1"/>
  <c r="AZ45" i="2"/>
  <c r="AZ40" i="4" s="1"/>
  <c r="AZ40" i="5" s="1"/>
  <c r="BA45" i="2"/>
  <c r="BA40" i="4" s="1"/>
  <c r="BA40" i="5" s="1"/>
  <c r="BB45" i="2"/>
  <c r="BB40" i="4" s="1"/>
  <c r="BB40" i="5" s="1"/>
  <c r="BC45" i="2"/>
  <c r="BC40" i="4" s="1"/>
  <c r="BC40" i="5" s="1"/>
  <c r="BD45" i="2"/>
  <c r="BD40" i="4" s="1"/>
  <c r="BD40" i="5" s="1"/>
  <c r="BE45" i="2"/>
  <c r="BE40" i="4" s="1"/>
  <c r="BE40" i="5" s="1"/>
  <c r="BF45" i="2"/>
  <c r="BF40" i="4" s="1"/>
  <c r="BF40" i="5" s="1"/>
  <c r="BG45" i="2"/>
  <c r="BG40" i="4" s="1"/>
  <c r="BG40" i="5" s="1"/>
  <c r="BH45" i="2"/>
  <c r="BH40" i="4" s="1"/>
  <c r="BH40" i="5" s="1"/>
  <c r="BI45" i="2"/>
  <c r="BI40" i="4" s="1"/>
  <c r="BI40" i="5" s="1"/>
  <c r="BJ45" i="2"/>
  <c r="BJ40" i="4" s="1"/>
  <c r="BJ40" i="5" s="1"/>
  <c r="BK45" i="2"/>
  <c r="BK40" i="4" s="1"/>
  <c r="BK40" i="5" s="1"/>
  <c r="BL45" i="2"/>
  <c r="BL40" i="4" s="1"/>
  <c r="BL40" i="5" s="1"/>
  <c r="BM45" i="2"/>
  <c r="BM40" i="4" s="1"/>
  <c r="BM40" i="5" s="1"/>
  <c r="BN45" i="2"/>
  <c r="BN40" i="4" s="1"/>
  <c r="BN40" i="5" s="1"/>
  <c r="BO45" i="2"/>
  <c r="BO40" i="4" s="1"/>
  <c r="BO40" i="5" s="1"/>
  <c r="BP45" i="2"/>
  <c r="BP40" i="4" s="1"/>
  <c r="BP40" i="5" s="1"/>
  <c r="BQ45" i="2"/>
  <c r="BQ40" i="4" s="1"/>
  <c r="BQ40" i="5" s="1"/>
  <c r="BR45" i="2"/>
  <c r="BR40" i="4" s="1"/>
  <c r="BR40" i="5" s="1"/>
  <c r="BS45" i="2"/>
  <c r="BS40" i="4" s="1"/>
  <c r="BS40" i="5" s="1"/>
  <c r="BT45" i="2"/>
  <c r="BT40" i="4" s="1"/>
  <c r="BT40" i="5" s="1"/>
  <c r="BU45" i="2"/>
  <c r="BU40" i="4" s="1"/>
  <c r="BU40" i="5" s="1"/>
  <c r="BV45" i="2"/>
  <c r="BV40" i="4" s="1"/>
  <c r="BV40" i="5" s="1"/>
  <c r="BW45" i="2"/>
  <c r="BW40" i="4" s="1"/>
  <c r="BW40" i="5" s="1"/>
  <c r="BX45" i="2"/>
  <c r="BX40" i="4" s="1"/>
  <c r="BX40" i="5" s="1"/>
  <c r="BY45" i="2"/>
  <c r="BY40" i="4" s="1"/>
  <c r="BY40" i="5" s="1"/>
  <c r="BZ45" i="2"/>
  <c r="BZ40" i="4" s="1"/>
  <c r="BZ40" i="5" s="1"/>
  <c r="CA45" i="2"/>
  <c r="CA40" i="4" s="1"/>
  <c r="CA40" i="5" s="1"/>
  <c r="CB45" i="2"/>
  <c r="CB40" i="4" s="1"/>
  <c r="CB40" i="5" s="1"/>
  <c r="CC45" i="2"/>
  <c r="CC40" i="4" s="1"/>
  <c r="CC40" i="5" s="1"/>
  <c r="C46" i="2"/>
  <c r="C5" i="4" s="1"/>
  <c r="C5" i="5" s="1"/>
  <c r="D46" i="2"/>
  <c r="D5" i="4" s="1"/>
  <c r="D5" i="5" s="1"/>
  <c r="E46" i="2"/>
  <c r="E5" i="4" s="1"/>
  <c r="E5" i="5" s="1"/>
  <c r="F46" i="2"/>
  <c r="F5" i="4" s="1"/>
  <c r="F5" i="5" s="1"/>
  <c r="G46" i="2"/>
  <c r="G5" i="4" s="1"/>
  <c r="G5" i="5" s="1"/>
  <c r="H46" i="2"/>
  <c r="H5" i="4" s="1"/>
  <c r="H5" i="5" s="1"/>
  <c r="I46" i="2"/>
  <c r="I5" i="4" s="1"/>
  <c r="I5" i="5" s="1"/>
  <c r="J46" i="2"/>
  <c r="J5" i="4" s="1"/>
  <c r="J5" i="5" s="1"/>
  <c r="K46" i="2"/>
  <c r="K5" i="4" s="1"/>
  <c r="K5" i="5" s="1"/>
  <c r="L46" i="2"/>
  <c r="L5" i="4" s="1"/>
  <c r="L5" i="5" s="1"/>
  <c r="M46" i="2"/>
  <c r="M5" i="4" s="1"/>
  <c r="M5" i="5" s="1"/>
  <c r="N46" i="2"/>
  <c r="N5" i="4" s="1"/>
  <c r="N5" i="5" s="1"/>
  <c r="O46" i="2"/>
  <c r="O5" i="4" s="1"/>
  <c r="O5" i="5" s="1"/>
  <c r="P46" i="2"/>
  <c r="P5" i="4" s="1"/>
  <c r="P5" i="5" s="1"/>
  <c r="Q46" i="2"/>
  <c r="Q5" i="4" s="1"/>
  <c r="Q5" i="5" s="1"/>
  <c r="R46" i="2"/>
  <c r="R5" i="4" s="1"/>
  <c r="R5" i="5" s="1"/>
  <c r="S46" i="2"/>
  <c r="S5" i="4" s="1"/>
  <c r="S5" i="5" s="1"/>
  <c r="T46" i="2"/>
  <c r="T5" i="4" s="1"/>
  <c r="T5" i="5" s="1"/>
  <c r="U46" i="2"/>
  <c r="U5" i="4" s="1"/>
  <c r="U5" i="5" s="1"/>
  <c r="V46" i="2"/>
  <c r="V5" i="4" s="1"/>
  <c r="V5" i="5" s="1"/>
  <c r="W46" i="2"/>
  <c r="W5" i="4" s="1"/>
  <c r="W5" i="5" s="1"/>
  <c r="X46" i="2"/>
  <c r="X5" i="4" s="1"/>
  <c r="X5" i="5" s="1"/>
  <c r="Y46" i="2"/>
  <c r="Y5" i="4" s="1"/>
  <c r="Y5" i="5" s="1"/>
  <c r="Z46" i="2"/>
  <c r="Z5" i="4" s="1"/>
  <c r="Z5" i="5" s="1"/>
  <c r="AA46" i="2"/>
  <c r="AA5" i="4" s="1"/>
  <c r="AA5" i="5" s="1"/>
  <c r="AB46" i="2"/>
  <c r="AB5" i="4" s="1"/>
  <c r="AB5" i="5" s="1"/>
  <c r="AC46" i="2"/>
  <c r="AC5" i="4" s="1"/>
  <c r="AC5" i="5" s="1"/>
  <c r="AD46" i="2"/>
  <c r="AD5" i="4" s="1"/>
  <c r="AD5" i="5" s="1"/>
  <c r="AE46" i="2"/>
  <c r="AE5" i="4" s="1"/>
  <c r="AE5" i="5" s="1"/>
  <c r="AF46" i="2"/>
  <c r="AF5" i="4" s="1"/>
  <c r="AF5" i="5" s="1"/>
  <c r="AG46" i="2"/>
  <c r="AG5" i="4" s="1"/>
  <c r="AG5" i="5" s="1"/>
  <c r="AH46" i="2"/>
  <c r="AH5" i="4" s="1"/>
  <c r="AH5" i="5" s="1"/>
  <c r="AI46" i="2"/>
  <c r="AI5" i="4" s="1"/>
  <c r="AI5" i="5" s="1"/>
  <c r="AJ46" i="2"/>
  <c r="AJ5" i="4" s="1"/>
  <c r="AJ5" i="5" s="1"/>
  <c r="AK46" i="2"/>
  <c r="AK5" i="4" s="1"/>
  <c r="AK5" i="5" s="1"/>
  <c r="AL46" i="2"/>
  <c r="AL5" i="4" s="1"/>
  <c r="AL5" i="5" s="1"/>
  <c r="AM46" i="2"/>
  <c r="AM5" i="4" s="1"/>
  <c r="AM5" i="5" s="1"/>
  <c r="AN46" i="2"/>
  <c r="AN5" i="4" s="1"/>
  <c r="AN5" i="5" s="1"/>
  <c r="AO46" i="2"/>
  <c r="AO5" i="4" s="1"/>
  <c r="AO5" i="5" s="1"/>
  <c r="AP46" i="2"/>
  <c r="AP5" i="4" s="1"/>
  <c r="AP5" i="5" s="1"/>
  <c r="AQ46" i="2"/>
  <c r="AQ5" i="4" s="1"/>
  <c r="AQ5" i="5" s="1"/>
  <c r="AR46" i="2"/>
  <c r="AR5" i="4" s="1"/>
  <c r="AR5" i="5" s="1"/>
  <c r="AS46" i="2"/>
  <c r="AS5" i="4" s="1"/>
  <c r="AS5" i="5" s="1"/>
  <c r="AT46" i="2"/>
  <c r="AT5" i="4" s="1"/>
  <c r="AT5" i="5" s="1"/>
  <c r="AU46" i="2"/>
  <c r="AU5" i="4" s="1"/>
  <c r="AU5" i="5" s="1"/>
  <c r="AV46" i="2"/>
  <c r="AV5" i="4" s="1"/>
  <c r="AV5" i="5" s="1"/>
  <c r="AW46" i="2"/>
  <c r="AW5" i="4" s="1"/>
  <c r="AW5" i="5" s="1"/>
  <c r="AX46" i="2"/>
  <c r="AX5" i="4" s="1"/>
  <c r="AX5" i="5" s="1"/>
  <c r="AY46" i="2"/>
  <c r="AY5" i="4" s="1"/>
  <c r="AY5" i="5" s="1"/>
  <c r="AZ46" i="2"/>
  <c r="AZ5" i="4" s="1"/>
  <c r="AZ5" i="5" s="1"/>
  <c r="BA46" i="2"/>
  <c r="BA5" i="4" s="1"/>
  <c r="BA5" i="5" s="1"/>
  <c r="BB46" i="2"/>
  <c r="BB5" i="4" s="1"/>
  <c r="BB5" i="5" s="1"/>
  <c r="BC46" i="2"/>
  <c r="BC5" i="4" s="1"/>
  <c r="BC5" i="5" s="1"/>
  <c r="BD46" i="2"/>
  <c r="BD5" i="4" s="1"/>
  <c r="BD5" i="5" s="1"/>
  <c r="BE46" i="2"/>
  <c r="BE5" i="4" s="1"/>
  <c r="BE5" i="5" s="1"/>
  <c r="BF46" i="2"/>
  <c r="BF5" i="4" s="1"/>
  <c r="BF5" i="5" s="1"/>
  <c r="BG46" i="2"/>
  <c r="BG5" i="4" s="1"/>
  <c r="BG5" i="5" s="1"/>
  <c r="BH46" i="2"/>
  <c r="BH5" i="4" s="1"/>
  <c r="BH5" i="5" s="1"/>
  <c r="BI46" i="2"/>
  <c r="BI5" i="4" s="1"/>
  <c r="BI5" i="5" s="1"/>
  <c r="BJ46" i="2"/>
  <c r="BJ5" i="4" s="1"/>
  <c r="BJ5" i="5" s="1"/>
  <c r="BK46" i="2"/>
  <c r="BK5" i="4" s="1"/>
  <c r="BK5" i="5" s="1"/>
  <c r="BL46" i="2"/>
  <c r="BL5" i="4" s="1"/>
  <c r="BL5" i="5" s="1"/>
  <c r="BM46" i="2"/>
  <c r="BM5" i="4" s="1"/>
  <c r="BM5" i="5" s="1"/>
  <c r="BN46" i="2"/>
  <c r="BN5" i="4" s="1"/>
  <c r="BN5" i="5" s="1"/>
  <c r="BO46" i="2"/>
  <c r="BO5" i="4" s="1"/>
  <c r="BO5" i="5" s="1"/>
  <c r="BP46" i="2"/>
  <c r="BP5" i="4" s="1"/>
  <c r="BP5" i="5" s="1"/>
  <c r="BQ46" i="2"/>
  <c r="BQ5" i="4" s="1"/>
  <c r="BQ5" i="5" s="1"/>
  <c r="BR46" i="2"/>
  <c r="BR5" i="4" s="1"/>
  <c r="BR5" i="5" s="1"/>
  <c r="BS46" i="2"/>
  <c r="BS5" i="4" s="1"/>
  <c r="BS5" i="5" s="1"/>
  <c r="BT46" i="2"/>
  <c r="BT5" i="4" s="1"/>
  <c r="BT5" i="5" s="1"/>
  <c r="BU46" i="2"/>
  <c r="BU5" i="4" s="1"/>
  <c r="BU5" i="5" s="1"/>
  <c r="BV46" i="2"/>
  <c r="BV5" i="4" s="1"/>
  <c r="BV5" i="5" s="1"/>
  <c r="BW46" i="2"/>
  <c r="BW5" i="4" s="1"/>
  <c r="BW5" i="5" s="1"/>
  <c r="BX46" i="2"/>
  <c r="BX5" i="4" s="1"/>
  <c r="BX5" i="5" s="1"/>
  <c r="BY46" i="2"/>
  <c r="BY5" i="4" s="1"/>
  <c r="BY5" i="5" s="1"/>
  <c r="BZ46" i="2"/>
  <c r="BZ5" i="4" s="1"/>
  <c r="BZ5" i="5" s="1"/>
  <c r="CA46" i="2"/>
  <c r="CA5" i="4" s="1"/>
  <c r="CA5" i="5" s="1"/>
  <c r="CB46" i="2"/>
  <c r="CB5" i="4" s="1"/>
  <c r="CB5" i="5" s="1"/>
  <c r="CC46" i="2"/>
  <c r="CC5" i="4" s="1"/>
  <c r="CC5" i="5" s="1"/>
  <c r="C47" i="2"/>
  <c r="C29" i="4" s="1"/>
  <c r="C29" i="5" s="1"/>
  <c r="D47" i="2"/>
  <c r="D29" i="4" s="1"/>
  <c r="D29" i="5" s="1"/>
  <c r="E47" i="2"/>
  <c r="E29" i="4" s="1"/>
  <c r="E29" i="5" s="1"/>
  <c r="F47" i="2"/>
  <c r="F29" i="4" s="1"/>
  <c r="F29" i="5" s="1"/>
  <c r="G47" i="2"/>
  <c r="G29" i="4" s="1"/>
  <c r="G29" i="5" s="1"/>
  <c r="H47" i="2"/>
  <c r="H29" i="4" s="1"/>
  <c r="H29" i="5" s="1"/>
  <c r="I47" i="2"/>
  <c r="I29" i="4" s="1"/>
  <c r="I29" i="5" s="1"/>
  <c r="J47" i="2"/>
  <c r="J29" i="4" s="1"/>
  <c r="J29" i="5" s="1"/>
  <c r="K47" i="2"/>
  <c r="K29" i="4" s="1"/>
  <c r="K29" i="5" s="1"/>
  <c r="L47" i="2"/>
  <c r="L29" i="4" s="1"/>
  <c r="L29" i="5" s="1"/>
  <c r="M47" i="2"/>
  <c r="M29" i="4" s="1"/>
  <c r="M29" i="5" s="1"/>
  <c r="N47" i="2"/>
  <c r="N29" i="4" s="1"/>
  <c r="N29" i="5" s="1"/>
  <c r="O47" i="2"/>
  <c r="O29" i="4" s="1"/>
  <c r="O29" i="5" s="1"/>
  <c r="P47" i="2"/>
  <c r="P29" i="4" s="1"/>
  <c r="P29" i="5" s="1"/>
  <c r="Q47" i="2"/>
  <c r="Q29" i="4" s="1"/>
  <c r="Q29" i="5" s="1"/>
  <c r="R47" i="2"/>
  <c r="R29" i="4" s="1"/>
  <c r="R29" i="5" s="1"/>
  <c r="S47" i="2"/>
  <c r="S29" i="4" s="1"/>
  <c r="S29" i="5" s="1"/>
  <c r="T47" i="2"/>
  <c r="T29" i="4" s="1"/>
  <c r="T29" i="5" s="1"/>
  <c r="U47" i="2"/>
  <c r="U29" i="4" s="1"/>
  <c r="U29" i="5" s="1"/>
  <c r="V47" i="2"/>
  <c r="V29" i="4" s="1"/>
  <c r="V29" i="5" s="1"/>
  <c r="W47" i="2"/>
  <c r="W29" i="4" s="1"/>
  <c r="W29" i="5" s="1"/>
  <c r="X47" i="2"/>
  <c r="X29" i="4" s="1"/>
  <c r="X29" i="5" s="1"/>
  <c r="Y47" i="2"/>
  <c r="Y29" i="4" s="1"/>
  <c r="Y29" i="5" s="1"/>
  <c r="Z47" i="2"/>
  <c r="Z29" i="4" s="1"/>
  <c r="Z29" i="5" s="1"/>
  <c r="AA47" i="2"/>
  <c r="AA29" i="4" s="1"/>
  <c r="AA29" i="5" s="1"/>
  <c r="AB47" i="2"/>
  <c r="AB29" i="4" s="1"/>
  <c r="AB29" i="5" s="1"/>
  <c r="AC47" i="2"/>
  <c r="AC29" i="4" s="1"/>
  <c r="AC29" i="5" s="1"/>
  <c r="AD47" i="2"/>
  <c r="AD29" i="4" s="1"/>
  <c r="AD29" i="5" s="1"/>
  <c r="AE47" i="2"/>
  <c r="AE29" i="4" s="1"/>
  <c r="AE29" i="5" s="1"/>
  <c r="AF47" i="2"/>
  <c r="AF29" i="4" s="1"/>
  <c r="AF29" i="5" s="1"/>
  <c r="AG47" i="2"/>
  <c r="AG29" i="4" s="1"/>
  <c r="AG29" i="5" s="1"/>
  <c r="AH47" i="2"/>
  <c r="AH29" i="4" s="1"/>
  <c r="AH29" i="5" s="1"/>
  <c r="AI47" i="2"/>
  <c r="AI29" i="4" s="1"/>
  <c r="AI29" i="5" s="1"/>
  <c r="AJ47" i="2"/>
  <c r="AJ29" i="4" s="1"/>
  <c r="AJ29" i="5" s="1"/>
  <c r="AK47" i="2"/>
  <c r="AK29" i="4" s="1"/>
  <c r="AK29" i="5" s="1"/>
  <c r="AL47" i="2"/>
  <c r="AL29" i="4" s="1"/>
  <c r="AL29" i="5" s="1"/>
  <c r="AM47" i="2"/>
  <c r="AM29" i="4" s="1"/>
  <c r="AM29" i="5" s="1"/>
  <c r="AN47" i="2"/>
  <c r="AN29" i="4" s="1"/>
  <c r="AN29" i="5" s="1"/>
  <c r="AO47" i="2"/>
  <c r="AO29" i="4" s="1"/>
  <c r="AO29" i="5" s="1"/>
  <c r="AP47" i="2"/>
  <c r="AP29" i="4" s="1"/>
  <c r="AP29" i="5" s="1"/>
  <c r="AQ47" i="2"/>
  <c r="AQ29" i="4" s="1"/>
  <c r="AQ29" i="5" s="1"/>
  <c r="AR47" i="2"/>
  <c r="AR29" i="4" s="1"/>
  <c r="AR29" i="5" s="1"/>
  <c r="AS47" i="2"/>
  <c r="AS29" i="4" s="1"/>
  <c r="AS29" i="5" s="1"/>
  <c r="AT47" i="2"/>
  <c r="AT29" i="4" s="1"/>
  <c r="AT29" i="5" s="1"/>
  <c r="AU47" i="2"/>
  <c r="AU29" i="4" s="1"/>
  <c r="AU29" i="5" s="1"/>
  <c r="AV47" i="2"/>
  <c r="AV29" i="4" s="1"/>
  <c r="AV29" i="5" s="1"/>
  <c r="AW47" i="2"/>
  <c r="AW29" i="4" s="1"/>
  <c r="AW29" i="5" s="1"/>
  <c r="AX47" i="2"/>
  <c r="AX29" i="4" s="1"/>
  <c r="AX29" i="5" s="1"/>
  <c r="AY47" i="2"/>
  <c r="AY29" i="4" s="1"/>
  <c r="AY29" i="5" s="1"/>
  <c r="AZ47" i="2"/>
  <c r="AZ29" i="4" s="1"/>
  <c r="AZ29" i="5" s="1"/>
  <c r="BA47" i="2"/>
  <c r="BA29" i="4" s="1"/>
  <c r="BA29" i="5" s="1"/>
  <c r="BB47" i="2"/>
  <c r="BB29" i="4" s="1"/>
  <c r="BB29" i="5" s="1"/>
  <c r="BC47" i="2"/>
  <c r="BC29" i="4" s="1"/>
  <c r="BC29" i="5" s="1"/>
  <c r="BD47" i="2"/>
  <c r="BD29" i="4" s="1"/>
  <c r="BD29" i="5" s="1"/>
  <c r="BE47" i="2"/>
  <c r="BE29" i="4" s="1"/>
  <c r="BE29" i="5" s="1"/>
  <c r="BF47" i="2"/>
  <c r="BF29" i="4" s="1"/>
  <c r="BF29" i="5" s="1"/>
  <c r="BG47" i="2"/>
  <c r="BG29" i="4" s="1"/>
  <c r="BG29" i="5" s="1"/>
  <c r="BH47" i="2"/>
  <c r="BH29" i="4" s="1"/>
  <c r="BH29" i="5" s="1"/>
  <c r="BI47" i="2"/>
  <c r="BI29" i="4" s="1"/>
  <c r="BI29" i="5" s="1"/>
  <c r="BJ47" i="2"/>
  <c r="BJ29" i="4" s="1"/>
  <c r="BJ29" i="5" s="1"/>
  <c r="BK47" i="2"/>
  <c r="BK29" i="4" s="1"/>
  <c r="BK29" i="5" s="1"/>
  <c r="BL47" i="2"/>
  <c r="BL29" i="4" s="1"/>
  <c r="BL29" i="5" s="1"/>
  <c r="BM47" i="2"/>
  <c r="BM29" i="4" s="1"/>
  <c r="BM29" i="5" s="1"/>
  <c r="BN47" i="2"/>
  <c r="BN29" i="4" s="1"/>
  <c r="BN29" i="5" s="1"/>
  <c r="BO47" i="2"/>
  <c r="BO29" i="4" s="1"/>
  <c r="BO29" i="5" s="1"/>
  <c r="BP47" i="2"/>
  <c r="BP29" i="4" s="1"/>
  <c r="BP29" i="5" s="1"/>
  <c r="BQ47" i="2"/>
  <c r="BQ29" i="4" s="1"/>
  <c r="BQ29" i="5" s="1"/>
  <c r="BR47" i="2"/>
  <c r="BR29" i="4" s="1"/>
  <c r="BR29" i="5" s="1"/>
  <c r="BS47" i="2"/>
  <c r="BS29" i="4" s="1"/>
  <c r="BS29" i="5" s="1"/>
  <c r="BT47" i="2"/>
  <c r="BT29" i="4" s="1"/>
  <c r="BT29" i="5" s="1"/>
  <c r="BU47" i="2"/>
  <c r="BU29" i="4" s="1"/>
  <c r="BU29" i="5" s="1"/>
  <c r="BV47" i="2"/>
  <c r="BV29" i="4" s="1"/>
  <c r="BV29" i="5" s="1"/>
  <c r="BW47" i="2"/>
  <c r="BW29" i="4" s="1"/>
  <c r="BW29" i="5" s="1"/>
  <c r="BX47" i="2"/>
  <c r="BX29" i="4" s="1"/>
  <c r="BX29" i="5" s="1"/>
  <c r="BY47" i="2"/>
  <c r="BY29" i="4" s="1"/>
  <c r="BY29" i="5" s="1"/>
  <c r="BZ47" i="2"/>
  <c r="BZ29" i="4" s="1"/>
  <c r="BZ29" i="5" s="1"/>
  <c r="CA47" i="2"/>
  <c r="CA29" i="4" s="1"/>
  <c r="CA29" i="5" s="1"/>
  <c r="CB47" i="2"/>
  <c r="CB29" i="4" s="1"/>
  <c r="CB29" i="5" s="1"/>
  <c r="CC47" i="2"/>
  <c r="CC29" i="4" s="1"/>
  <c r="CC29" i="5" s="1"/>
  <c r="AR5" i="2"/>
  <c r="AR31" i="4" s="1"/>
  <c r="AR31" i="5" s="1"/>
  <c r="AS5" i="2"/>
  <c r="AS31" i="4" s="1"/>
  <c r="AS31" i="5" s="1"/>
  <c r="AT5" i="2"/>
  <c r="AT31" i="4" s="1"/>
  <c r="AT31" i="5" s="1"/>
  <c r="AU5" i="2"/>
  <c r="AU31" i="4" s="1"/>
  <c r="AU31" i="5" s="1"/>
  <c r="AV5" i="2"/>
  <c r="AV31" i="4" s="1"/>
  <c r="AV31" i="5" s="1"/>
  <c r="AW5" i="2"/>
  <c r="AW31" i="4" s="1"/>
  <c r="AW31" i="5" s="1"/>
  <c r="AX5" i="2"/>
  <c r="AX31" i="4" s="1"/>
  <c r="AX31" i="5" s="1"/>
  <c r="AY5" i="2"/>
  <c r="AY31" i="4" s="1"/>
  <c r="AY31" i="5" s="1"/>
  <c r="AZ5" i="2"/>
  <c r="AZ31" i="4" s="1"/>
  <c r="AZ31" i="5" s="1"/>
  <c r="BA5" i="2"/>
  <c r="BA31" i="4" s="1"/>
  <c r="BA31" i="5" s="1"/>
  <c r="BB5" i="2"/>
  <c r="BB31" i="4" s="1"/>
  <c r="BB31" i="5" s="1"/>
  <c r="BC5" i="2"/>
  <c r="BC31" i="4" s="1"/>
  <c r="BC31" i="5" s="1"/>
  <c r="BD5" i="2"/>
  <c r="BD31" i="4" s="1"/>
  <c r="BD31" i="5" s="1"/>
  <c r="BE5" i="2"/>
  <c r="BE31" i="4" s="1"/>
  <c r="BE31" i="5" s="1"/>
  <c r="BF5" i="2"/>
  <c r="BF31" i="4" s="1"/>
  <c r="BF31" i="5" s="1"/>
  <c r="BG5" i="2"/>
  <c r="BG31" i="4" s="1"/>
  <c r="BG31" i="5" s="1"/>
  <c r="BH5" i="2"/>
  <c r="BH31" i="4" s="1"/>
  <c r="BH31" i="5" s="1"/>
  <c r="BI5" i="2"/>
  <c r="BI31" i="4" s="1"/>
  <c r="BI31" i="5" s="1"/>
  <c r="BJ5" i="2"/>
  <c r="BJ31" i="4" s="1"/>
  <c r="BJ31" i="5" s="1"/>
  <c r="BK5" i="2"/>
  <c r="BK31" i="4" s="1"/>
  <c r="BK31" i="5" s="1"/>
  <c r="BL5" i="2"/>
  <c r="BL31" i="4" s="1"/>
  <c r="BL31" i="5" s="1"/>
  <c r="BM5" i="2"/>
  <c r="BM31" i="4" s="1"/>
  <c r="BM31" i="5" s="1"/>
  <c r="BN5" i="2"/>
  <c r="BN31" i="4" s="1"/>
  <c r="BN31" i="5" s="1"/>
  <c r="BO5" i="2"/>
  <c r="BO31" i="4" s="1"/>
  <c r="BO31" i="5" s="1"/>
  <c r="BP5" i="2"/>
  <c r="BP31" i="4" s="1"/>
  <c r="BP31" i="5" s="1"/>
  <c r="BQ5" i="2"/>
  <c r="BQ31" i="4" s="1"/>
  <c r="BQ31" i="5" s="1"/>
  <c r="BR5" i="2"/>
  <c r="BR31" i="4" s="1"/>
  <c r="BR31" i="5" s="1"/>
  <c r="BS5" i="2"/>
  <c r="BS31" i="4" s="1"/>
  <c r="BS31" i="5" s="1"/>
  <c r="BT5" i="2"/>
  <c r="BT31" i="4" s="1"/>
  <c r="BT31" i="5" s="1"/>
  <c r="BU5" i="2"/>
  <c r="BU31" i="4" s="1"/>
  <c r="BU31" i="5" s="1"/>
  <c r="BV5" i="2"/>
  <c r="BV31" i="4" s="1"/>
  <c r="BV31" i="5" s="1"/>
  <c r="BW5" i="2"/>
  <c r="BW31" i="4" s="1"/>
  <c r="BW31" i="5" s="1"/>
  <c r="BX5" i="2"/>
  <c r="BX31" i="4" s="1"/>
  <c r="BX31" i="5" s="1"/>
  <c r="BY5" i="2"/>
  <c r="BY31" i="4" s="1"/>
  <c r="BY31" i="5" s="1"/>
  <c r="BZ5" i="2"/>
  <c r="BZ31" i="4" s="1"/>
  <c r="BZ31" i="5" s="1"/>
  <c r="CA5" i="2"/>
  <c r="CA31" i="4" s="1"/>
  <c r="CA31" i="5" s="1"/>
  <c r="CB5" i="2"/>
  <c r="CB31" i="4" s="1"/>
  <c r="CB31" i="5" s="1"/>
  <c r="CC5" i="2"/>
  <c r="CC31" i="4" s="1"/>
  <c r="CC31" i="5" s="1"/>
  <c r="AH5" i="2"/>
  <c r="AH31" i="4" s="1"/>
  <c r="AH31" i="5" s="1"/>
  <c r="AI5" i="2"/>
  <c r="AI31" i="4" s="1"/>
  <c r="AI31" i="5" s="1"/>
  <c r="AJ5" i="2"/>
  <c r="AJ31" i="4" s="1"/>
  <c r="AJ31" i="5" s="1"/>
  <c r="AK5" i="2"/>
  <c r="AK31" i="4" s="1"/>
  <c r="AK31" i="5" s="1"/>
  <c r="AL5" i="2"/>
  <c r="AL31" i="4" s="1"/>
  <c r="AL31" i="5" s="1"/>
  <c r="AM5" i="2"/>
  <c r="AM31" i="4" s="1"/>
  <c r="AM31" i="5" s="1"/>
  <c r="AN5" i="2"/>
  <c r="AN31" i="4" s="1"/>
  <c r="AN31" i="5" s="1"/>
  <c r="AO5" i="2"/>
  <c r="AO31" i="4" s="1"/>
  <c r="AO31" i="5" s="1"/>
  <c r="AP5" i="2"/>
  <c r="AP31" i="4" s="1"/>
  <c r="AP31" i="5" s="1"/>
  <c r="AQ5" i="2"/>
  <c r="AQ31" i="4" s="1"/>
  <c r="AQ31" i="5" s="1"/>
  <c r="AG5" i="2"/>
  <c r="AG31" i="4" s="1"/>
  <c r="AG31" i="5" s="1"/>
  <c r="AF5" i="2"/>
  <c r="AF31" i="4" s="1"/>
  <c r="AF31" i="5" s="1"/>
  <c r="AE5" i="2"/>
  <c r="AE31" i="4" s="1"/>
  <c r="AE31" i="5" s="1"/>
  <c r="AD5" i="2"/>
  <c r="AD31" i="4" s="1"/>
  <c r="AD31" i="5" s="1"/>
  <c r="AC5" i="2"/>
  <c r="AC31" i="4" s="1"/>
  <c r="AC31" i="5" s="1"/>
  <c r="AB5" i="2"/>
  <c r="AB31" i="4" s="1"/>
  <c r="AB31" i="5" s="1"/>
  <c r="AA5" i="2"/>
  <c r="AA31" i="4" s="1"/>
  <c r="AA31" i="5" s="1"/>
  <c r="Z5" i="2"/>
  <c r="Z31" i="4" s="1"/>
  <c r="Z31" i="5" s="1"/>
  <c r="Y5" i="2"/>
  <c r="Y31" i="4" s="1"/>
  <c r="Y31" i="5" s="1"/>
  <c r="X5" i="2"/>
  <c r="X31" i="4" s="1"/>
  <c r="X31" i="5" s="1"/>
  <c r="W5" i="2"/>
  <c r="W31" i="4" s="1"/>
  <c r="W31" i="5" s="1"/>
  <c r="V5" i="2"/>
  <c r="V31" i="4" s="1"/>
  <c r="V31" i="5" s="1"/>
  <c r="U5" i="2"/>
  <c r="U31" i="4" s="1"/>
  <c r="U31" i="5" s="1"/>
  <c r="T5" i="2"/>
  <c r="T31" i="4" s="1"/>
  <c r="T31" i="5" s="1"/>
  <c r="S5" i="2"/>
  <c r="S31" i="4" s="1"/>
  <c r="S31" i="5" s="1"/>
  <c r="R5" i="2"/>
  <c r="R31" i="4" s="1"/>
  <c r="R31" i="5" s="1"/>
  <c r="Q5" i="2"/>
  <c r="Q31" i="4" s="1"/>
  <c r="Q31" i="5" s="1"/>
  <c r="P5" i="2"/>
  <c r="P31" i="4" s="1"/>
  <c r="P31" i="5" s="1"/>
  <c r="O5" i="2"/>
  <c r="O31" i="4" s="1"/>
  <c r="O31" i="5" s="1"/>
  <c r="N5" i="2"/>
  <c r="N31" i="4" s="1"/>
  <c r="N31" i="5" s="1"/>
  <c r="M5" i="2"/>
  <c r="M31" i="4" s="1"/>
  <c r="M31" i="5" s="1"/>
  <c r="L5" i="2"/>
  <c r="L31" i="4" s="1"/>
  <c r="L31" i="5" s="1"/>
  <c r="K5" i="2"/>
  <c r="K31" i="4" s="1"/>
  <c r="K31" i="5" s="1"/>
  <c r="J5" i="2"/>
  <c r="J31" i="4" s="1"/>
  <c r="J31" i="5" s="1"/>
  <c r="I5" i="2"/>
  <c r="I31" i="4" s="1"/>
  <c r="I31" i="5" s="1"/>
  <c r="H5" i="2"/>
  <c r="H31" i="4" s="1"/>
  <c r="H31" i="5" s="1"/>
  <c r="G5" i="2"/>
  <c r="G31" i="4" s="1"/>
  <c r="G31" i="5" s="1"/>
  <c r="F5" i="2"/>
  <c r="F31" i="4" s="1"/>
  <c r="F31" i="5" s="1"/>
  <c r="E5" i="2"/>
  <c r="E31" i="4" s="1"/>
  <c r="E31" i="5" s="1"/>
  <c r="C5" i="2"/>
  <c r="C31" i="4" s="1"/>
  <c r="C31" i="5" s="1"/>
  <c r="D5" i="2"/>
  <c r="D31" i="4" s="1"/>
  <c r="D31" i="5" s="1"/>
  <c r="D12" i="1" l="1"/>
  <c r="D14" i="1"/>
  <c r="D23" i="1"/>
  <c r="D24" i="1"/>
  <c r="C4" i="1"/>
  <c r="C14" i="1" l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C24" i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C13" i="1"/>
  <c r="D13" i="1" s="1"/>
</calcChain>
</file>

<file path=xl/sharedStrings.xml><?xml version="1.0" encoding="utf-8"?>
<sst xmlns="http://schemas.openxmlformats.org/spreadsheetml/2006/main" count="716" uniqueCount="115">
  <si>
    <t>Adrenals</t>
  </si>
  <si>
    <t>AI</t>
  </si>
  <si>
    <t>Brain</t>
  </si>
  <si>
    <t>Breast</t>
  </si>
  <si>
    <t>Bronch-bas</t>
  </si>
  <si>
    <t>Bronch-sec</t>
  </si>
  <si>
    <t>Bchiol-sec</t>
  </si>
  <si>
    <t>Endost-BS</t>
  </si>
  <si>
    <t>ET1-bas</t>
  </si>
  <si>
    <t>ET2-bas</t>
  </si>
  <si>
    <t>Eye-lens</t>
  </si>
  <si>
    <t>GB-wall</t>
  </si>
  <si>
    <t>Ht-wall</t>
  </si>
  <si>
    <t>Kidneys</t>
  </si>
  <si>
    <t>LC-stem</t>
  </si>
  <si>
    <t>Liver</t>
  </si>
  <si>
    <t>LN-ET</t>
  </si>
  <si>
    <t>LN-Sys</t>
  </si>
  <si>
    <t>LN-Th</t>
  </si>
  <si>
    <t>Muscle</t>
  </si>
  <si>
    <t>Oesophagus</t>
  </si>
  <si>
    <t>O-mucosa</t>
  </si>
  <si>
    <t>Ovaries</t>
  </si>
  <si>
    <t>Pancreas</t>
  </si>
  <si>
    <t>P-gland</t>
  </si>
  <si>
    <t>Prostate</t>
  </si>
  <si>
    <t>RS-stem</t>
  </si>
  <si>
    <t>R-marrow</t>
  </si>
  <si>
    <t>RC-stem</t>
  </si>
  <si>
    <t>S-glands</t>
  </si>
  <si>
    <t>Skin</t>
  </si>
  <si>
    <t>SI-stem</t>
  </si>
  <si>
    <t>Spleen</t>
  </si>
  <si>
    <t>St-stem</t>
  </si>
  <si>
    <t>Testes</t>
  </si>
  <si>
    <t>Thymus</t>
  </si>
  <si>
    <t>Thyroid</t>
  </si>
  <si>
    <t>Tongue</t>
  </si>
  <si>
    <t>Tonsils</t>
  </si>
  <si>
    <t>Ureters</t>
  </si>
  <si>
    <t>UB-wall</t>
  </si>
  <si>
    <t>Uterus</t>
  </si>
  <si>
    <t>O-mucosa</t>
    <phoneticPr fontId="2"/>
  </si>
  <si>
    <t>Adipose</t>
    <phoneticPr fontId="1"/>
  </si>
  <si>
    <t>SI-villi</t>
  </si>
  <si>
    <t>アルファベット順</t>
    <rPh sb="7" eb="8">
      <t>ジュン</t>
    </rPh>
    <phoneticPr fontId="1"/>
  </si>
  <si>
    <t>ここにS係数を張り付ける</t>
    <rPh sb="4" eb="6">
      <t>ケイスウ</t>
    </rPh>
    <rPh sb="7" eb="8">
      <t>ハ</t>
    </rPh>
    <rPh sb="9" eb="10">
      <t>ツ</t>
    </rPh>
    <phoneticPr fontId="1"/>
  </si>
  <si>
    <t>小数点以下2桁にした値を比較する</t>
    <rPh sb="0" eb="5">
      <t>ショウスウテンイカ</t>
    </rPh>
    <rPh sb="6" eb="7">
      <t>ケタ</t>
    </rPh>
    <rPh sb="10" eb="11">
      <t>アタイ</t>
    </rPh>
    <rPh sb="12" eb="14">
      <t>ヒカク</t>
    </rPh>
    <phoneticPr fontId="1"/>
  </si>
  <si>
    <t>Adipose</t>
  </si>
  <si>
    <t>ALV</t>
  </si>
  <si>
    <t>Blood</t>
  </si>
  <si>
    <t>Bronchi</t>
  </si>
  <si>
    <t>Bronchi-b</t>
  </si>
  <si>
    <t>Bronchi-q</t>
  </si>
  <si>
    <t>Brchiole</t>
  </si>
  <si>
    <t>Brchiole-b</t>
  </si>
  <si>
    <t>Brchiole-q</t>
  </si>
  <si>
    <t>Cartilage</t>
  </si>
  <si>
    <t>C-bone-S</t>
  </si>
  <si>
    <t>C-marrow</t>
  </si>
  <si>
    <t>C-bone-V</t>
  </si>
  <si>
    <t>ET1-wall</t>
  </si>
  <si>
    <t>ET1-sur</t>
  </si>
  <si>
    <t>ET2-bnd</t>
  </si>
  <si>
    <t>ET2-seq</t>
  </si>
  <si>
    <t>ET2-sur</t>
  </si>
  <si>
    <t>ET2-wall</t>
  </si>
  <si>
    <t>GB-cont</t>
  </si>
  <si>
    <t>LC-cont</t>
  </si>
  <si>
    <t>LC-mucosa</t>
  </si>
  <si>
    <t>LC-wall</t>
  </si>
  <si>
    <t>Lung-Tis</t>
  </si>
  <si>
    <t>Lungs</t>
  </si>
  <si>
    <t>Oespphag-f</t>
  </si>
  <si>
    <t>Oespphag-s</t>
  </si>
  <si>
    <t>Oespphag-w</t>
  </si>
  <si>
    <t>O-cavity</t>
  </si>
  <si>
    <t>RS-cont</t>
  </si>
  <si>
    <t>RS-mucosa</t>
  </si>
  <si>
    <t>RS-wall</t>
  </si>
  <si>
    <t>RT-air</t>
  </si>
  <si>
    <t>RC-cont</t>
  </si>
  <si>
    <t>RC-mucosa</t>
  </si>
  <si>
    <t>RC-wall</t>
  </si>
  <si>
    <t>SI-cont</t>
  </si>
  <si>
    <t>SI-mucosa</t>
  </si>
  <si>
    <t>SI-wall</t>
  </si>
  <si>
    <t>St-cont</t>
  </si>
  <si>
    <t>St-mucosa</t>
  </si>
  <si>
    <t>St-wall</t>
  </si>
  <si>
    <t>Teeth-S</t>
  </si>
  <si>
    <t>Teeth-V</t>
  </si>
  <si>
    <t>T-marrow</t>
  </si>
  <si>
    <t>T-bone-S</t>
  </si>
  <si>
    <t>T-bone-V</t>
  </si>
  <si>
    <t>UB-cont</t>
  </si>
  <si>
    <t>Y-marrow</t>
  </si>
  <si>
    <t>標的　　線源</t>
  </si>
  <si>
    <t>ALV</t>
    <phoneticPr fontId="1"/>
  </si>
  <si>
    <t>[mGy/MBq]</t>
  </si>
  <si>
    <t>アルファベット順に列を並び替え</t>
    <rPh sb="7" eb="8">
      <t>ジュン</t>
    </rPh>
    <rPh sb="9" eb="10">
      <t>レツ</t>
    </rPh>
    <rPh sb="11" eb="12">
      <t>ナラ</t>
    </rPh>
    <rPh sb="13" eb="14">
      <t>カ</t>
    </rPh>
    <phoneticPr fontId="1"/>
  </si>
  <si>
    <t>S-Coeciffientを貼り付け</t>
    <rPh sb="14" eb="15">
      <t>ハ</t>
    </rPh>
    <rPh sb="16" eb="17">
      <t>ツ</t>
    </rPh>
    <phoneticPr fontId="1"/>
  </si>
  <si>
    <t>小数点以下2桁に丸め</t>
    <rPh sb="0" eb="5">
      <t>ショウスウテンイカ</t>
    </rPh>
    <rPh sb="6" eb="7">
      <t>ケタ</t>
    </rPh>
    <rPh sb="8" eb="9">
      <t>マル</t>
    </rPh>
    <phoneticPr fontId="1"/>
  </si>
  <si>
    <t>IDAC用に行を並び替え</t>
    <rPh sb="4" eb="5">
      <t>ヨウ</t>
    </rPh>
    <rPh sb="6" eb="7">
      <t>ギョウ</t>
    </rPh>
    <rPh sb="8" eb="9">
      <t>ナラ</t>
    </rPh>
    <rPh sb="10" eb="11">
      <t>カ</t>
    </rPh>
    <phoneticPr fontId="1"/>
  </si>
  <si>
    <t>単位換算</t>
    <rPh sb="0" eb="4">
      <t>タンイカンザン</t>
    </rPh>
    <phoneticPr fontId="1"/>
  </si>
  <si>
    <t>path</t>
    <phoneticPr fontId="1"/>
  </si>
  <si>
    <t>sheet</t>
    <phoneticPr fontId="1"/>
  </si>
  <si>
    <t>2.path及びsheet欄にそれぞれ貼り付け先となるパスおよびシート名を入力</t>
    <rPh sb="6" eb="7">
      <t>オヨ</t>
    </rPh>
    <rPh sb="13" eb="14">
      <t>ラン</t>
    </rPh>
    <rPh sb="19" eb="20">
      <t>ハ</t>
    </rPh>
    <rPh sb="21" eb="22">
      <t>ツ</t>
    </rPh>
    <rPh sb="23" eb="24">
      <t>サキ</t>
    </rPh>
    <rPh sb="35" eb="36">
      <t>メイ</t>
    </rPh>
    <rPh sb="37" eb="39">
      <t>ニュウリョク</t>
    </rPh>
    <phoneticPr fontId="1"/>
  </si>
  <si>
    <t>3.ボタンをクリック</t>
    <phoneticPr fontId="1"/>
  </si>
  <si>
    <t>XXX</t>
    <phoneticPr fontId="1"/>
  </si>
  <si>
    <t>\\abcd01\efg02\hijk.xlsx</t>
    <phoneticPr fontId="1"/>
  </si>
  <si>
    <t>FlexID</t>
    <phoneticPr fontId="1"/>
  </si>
  <si>
    <t>1.「S-coe」シートにS-Coefficient.exeの計算結果を貼り付ける</t>
    <rPh sb="31" eb="35">
      <t>ケイサンケッカ</t>
    </rPh>
    <rPh sb="36" eb="37">
      <t>ハ</t>
    </rPh>
    <rPh sb="38" eb="39">
      <t>ツ</t>
    </rPh>
    <phoneticPr fontId="1"/>
  </si>
  <si>
    <t>S-Coefficient 貼り付けマクロ</t>
    <rPh sb="14" eb="15">
      <t>ハ</t>
    </rPh>
    <rPh sb="16" eb="17">
      <t>ツ</t>
    </rPh>
    <phoneticPr fontId="1"/>
  </si>
  <si>
    <t>標的　　線源</t>
    <rPh sb="0" eb="2">
      <t>ヒョウテキ</t>
    </rPh>
    <rPh sb="4" eb="6">
      <t>センゲン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</si>
</sst>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E+00"/>
    <numFmt numFmtId="177" formatCode="0.00000E+00"/>
  </numFmts>
  <fonts count="8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2"/>
      <charset val="128"/>
    </font>
    <font>
      <sz val="10"/>
      <color rgb="FF000000"/>
      <name val="ＭＳ ゴシック"/>
      <family val="3"/>
      <charset val="128"/>
    </font>
    <font>
      <u/>
      <sz val="10"/>
      <color theme="10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"/>
      <color rgb="FFFF000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177" fontId="0" fillId="0" borderId="0" xfId="0" applyNumberFormat="1">
      <alignment vertical="center"/>
    </xf>
    <xf numFmtId="0" fontId="5" fillId="0" borderId="0" xfId="1">
      <alignment vertical="center"/>
    </xf>
    <xf numFmtId="0" fontId="0" fillId="0" borderId="0" xfId="0" applyFont="1">
      <alignment vertical="center"/>
    </xf>
    <xf numFmtId="11" fontId="6" fillId="0" borderId="0" xfId="0" applyNumberFormat="1" applyFont="1">
      <alignment vertical="center"/>
    </xf>
    <xf numFmtId="0" fontId="6" fillId="0" borderId="0" xfId="0" applyFo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6" fillId="0" borderId="4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14</xdr:row>
          <xdr:rowOff>76200</xdr:rowOff>
        </xdr:from>
        <xdr:to>
          <xdr:col>3</xdr:col>
          <xdr:colOff>95250</xdr:colOff>
          <xdr:row>16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bcd01\efg02\hijk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52B8C-1EA2-43DB-A770-17515B389B70}">
  <sheetPr codeName="Sheet7"/>
  <dimension ref="B2:B13"/>
  <sheetViews>
    <sheetView tabSelected="1" zoomScaleNormal="100" workbookViewId="0"/>
  </sheetViews>
  <sheetFormatPr defaultRowHeight="12" x14ac:dyDescent="0.15"/>
  <sheetData>
    <row r="2" spans="2:2" x14ac:dyDescent="0.15">
      <c r="B2" t="s">
        <v>113</v>
      </c>
    </row>
    <row r="4" spans="2:2" x14ac:dyDescent="0.15">
      <c r="B4" t="s">
        <v>112</v>
      </c>
    </row>
    <row r="5" spans="2:2" x14ac:dyDescent="0.15">
      <c r="B5" t="s">
        <v>107</v>
      </c>
    </row>
    <row r="6" spans="2:2" x14ac:dyDescent="0.15">
      <c r="B6" t="s">
        <v>108</v>
      </c>
    </row>
    <row r="10" spans="2:2" ht="13.5" x14ac:dyDescent="0.15">
      <c r="B10" s="2" t="s">
        <v>105</v>
      </c>
    </row>
    <row r="11" spans="2:2" x14ac:dyDescent="0.15">
      <c r="B11" s="4" t="s">
        <v>110</v>
      </c>
    </row>
    <row r="12" spans="2:2" ht="13.5" x14ac:dyDescent="0.15">
      <c r="B12" s="2" t="s">
        <v>106</v>
      </c>
    </row>
    <row r="13" spans="2:2" ht="13.5" x14ac:dyDescent="0.15">
      <c r="B13" s="2" t="s">
        <v>109</v>
      </c>
    </row>
  </sheetData>
  <phoneticPr fontId="1"/>
  <hyperlinks>
    <hyperlink ref="B11" r:id="rId1" xr:uid="{7B222A94-DE18-4813-A1E0-563B9FBB47D3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eet7.Main">
                <anchor moveWithCells="1" sizeWithCells="1">
                  <from>
                    <xdr:col>1</xdr:col>
                    <xdr:colOff>28575</xdr:colOff>
                    <xdr:row>14</xdr:row>
                    <xdr:rowOff>76200</xdr:rowOff>
                  </from>
                  <to>
                    <xdr:col>3</xdr:col>
                    <xdr:colOff>95250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B7885-66CA-4C94-BAB2-DB0BA09DA892}">
  <sheetPr codeName="Sheet2"/>
  <dimension ref="B2:CD47"/>
  <sheetViews>
    <sheetView zoomScaleNormal="100" workbookViewId="0"/>
  </sheetViews>
  <sheetFormatPr defaultRowHeight="12" x14ac:dyDescent="0.15"/>
  <cols>
    <col min="1" max="1" width="9.140625" style="7"/>
    <col min="2" max="2" width="14.140625" style="7" bestFit="1" customWidth="1"/>
    <col min="3" max="81" width="10.85546875" style="7" bestFit="1" customWidth="1"/>
    <col min="82" max="82" width="9.7109375" style="7" bestFit="1" customWidth="1"/>
    <col min="83" max="16384" width="9.140625" style="7"/>
  </cols>
  <sheetData>
    <row r="2" spans="2:82" x14ac:dyDescent="0.15">
      <c r="C2" s="7" t="s">
        <v>101</v>
      </c>
    </row>
    <row r="4" spans="2:82" x14ac:dyDescent="0.15">
      <c r="B4" s="7" t="s">
        <v>114</v>
      </c>
      <c r="C4" s="7" t="s">
        <v>76</v>
      </c>
      <c r="D4" s="7" t="s">
        <v>21</v>
      </c>
      <c r="E4" s="7" t="s">
        <v>90</v>
      </c>
      <c r="F4" s="7" t="s">
        <v>91</v>
      </c>
      <c r="G4" s="7" t="s">
        <v>37</v>
      </c>
      <c r="H4" s="7" t="s">
        <v>38</v>
      </c>
      <c r="I4" s="7" t="s">
        <v>74</v>
      </c>
      <c r="J4" s="7" t="s">
        <v>73</v>
      </c>
      <c r="K4" s="7" t="s">
        <v>75</v>
      </c>
      <c r="L4" s="7" t="s">
        <v>87</v>
      </c>
      <c r="M4" s="7" t="s">
        <v>88</v>
      </c>
      <c r="N4" s="7" t="s">
        <v>89</v>
      </c>
      <c r="O4" s="7" t="s">
        <v>84</v>
      </c>
      <c r="P4" s="7" t="s">
        <v>85</v>
      </c>
      <c r="Q4" s="7" t="s">
        <v>86</v>
      </c>
      <c r="R4" s="7" t="s">
        <v>44</v>
      </c>
      <c r="S4" s="7" t="s">
        <v>81</v>
      </c>
      <c r="T4" s="7" t="s">
        <v>82</v>
      </c>
      <c r="U4" s="7" t="s">
        <v>83</v>
      </c>
      <c r="V4" s="7" t="s">
        <v>68</v>
      </c>
      <c r="W4" s="7" t="s">
        <v>69</v>
      </c>
      <c r="X4" s="7" t="s">
        <v>70</v>
      </c>
      <c r="Y4" s="7" t="s">
        <v>77</v>
      </c>
      <c r="Z4" s="7" t="s">
        <v>78</v>
      </c>
      <c r="AA4" s="7" t="s">
        <v>79</v>
      </c>
      <c r="AB4" s="7" t="s">
        <v>62</v>
      </c>
      <c r="AC4" s="7" t="s">
        <v>65</v>
      </c>
      <c r="AD4" s="7" t="s">
        <v>63</v>
      </c>
      <c r="AE4" s="7" t="s">
        <v>64</v>
      </c>
      <c r="AF4" s="7" t="s">
        <v>16</v>
      </c>
      <c r="AG4" s="7" t="s">
        <v>51</v>
      </c>
      <c r="AH4" s="7" t="s">
        <v>52</v>
      </c>
      <c r="AI4" s="7" t="s">
        <v>53</v>
      </c>
      <c r="AJ4" s="7" t="s">
        <v>54</v>
      </c>
      <c r="AK4" s="7" t="s">
        <v>55</v>
      </c>
      <c r="AL4" s="7" t="s">
        <v>56</v>
      </c>
      <c r="AM4" s="7" t="s">
        <v>49</v>
      </c>
      <c r="AN4" s="7" t="s">
        <v>18</v>
      </c>
      <c r="AO4" s="7" t="s">
        <v>72</v>
      </c>
      <c r="AP4" s="7" t="s">
        <v>0</v>
      </c>
      <c r="AQ4" s="7" t="s">
        <v>50</v>
      </c>
      <c r="AR4" s="7" t="s">
        <v>58</v>
      </c>
      <c r="AS4" s="7" t="s">
        <v>60</v>
      </c>
      <c r="AT4" s="7" t="s">
        <v>93</v>
      </c>
      <c r="AU4" s="7" t="s">
        <v>94</v>
      </c>
      <c r="AV4" s="7" t="s">
        <v>59</v>
      </c>
      <c r="AW4" s="7" t="s">
        <v>92</v>
      </c>
      <c r="AX4" s="7" t="s">
        <v>27</v>
      </c>
      <c r="AY4" s="7" t="s">
        <v>96</v>
      </c>
      <c r="AZ4" s="7" t="s">
        <v>2</v>
      </c>
      <c r="BA4" s="7" t="s">
        <v>3</v>
      </c>
      <c r="BB4" s="7" t="s">
        <v>10</v>
      </c>
      <c r="BC4" s="7" t="s">
        <v>11</v>
      </c>
      <c r="BD4" s="7" t="s">
        <v>67</v>
      </c>
      <c r="BE4" s="7" t="s">
        <v>12</v>
      </c>
      <c r="BF4" s="7" t="s">
        <v>13</v>
      </c>
      <c r="BG4" s="7" t="s">
        <v>15</v>
      </c>
      <c r="BH4" s="7" t="s">
        <v>17</v>
      </c>
      <c r="BI4" s="7" t="s">
        <v>22</v>
      </c>
      <c r="BJ4" s="7" t="s">
        <v>23</v>
      </c>
      <c r="BK4" s="7" t="s">
        <v>24</v>
      </c>
      <c r="BL4" s="7" t="s">
        <v>25</v>
      </c>
      <c r="BM4" s="7" t="s">
        <v>29</v>
      </c>
      <c r="BN4" s="7" t="s">
        <v>30</v>
      </c>
      <c r="BO4" s="7" t="s">
        <v>32</v>
      </c>
      <c r="BP4" s="7" t="s">
        <v>34</v>
      </c>
      <c r="BQ4" s="7" t="s">
        <v>35</v>
      </c>
      <c r="BR4" s="7" t="s">
        <v>36</v>
      </c>
      <c r="BS4" s="7" t="s">
        <v>39</v>
      </c>
      <c r="BT4" s="7" t="s">
        <v>40</v>
      </c>
      <c r="BU4" s="7" t="s">
        <v>95</v>
      </c>
      <c r="BV4" s="7" t="s">
        <v>41</v>
      </c>
      <c r="BW4" s="7" t="s">
        <v>48</v>
      </c>
      <c r="BX4" s="7" t="s">
        <v>57</v>
      </c>
      <c r="BY4" s="7" t="s">
        <v>19</v>
      </c>
      <c r="BZ4" s="7" t="s">
        <v>61</v>
      </c>
      <c r="CA4" s="7" t="s">
        <v>66</v>
      </c>
      <c r="CB4" s="7" t="s">
        <v>71</v>
      </c>
      <c r="CC4" s="7" t="s">
        <v>80</v>
      </c>
    </row>
    <row r="5" spans="2:82" x14ac:dyDescent="0.15">
      <c r="B5" s="7" t="s">
        <v>21</v>
      </c>
      <c r="C5" s="8">
        <v>1.6469673728249401</v>
      </c>
      <c r="D5" s="8">
        <v>10.259738885243699</v>
      </c>
      <c r="E5" s="8">
        <v>6.9720936138635201</v>
      </c>
      <c r="F5" s="8">
        <v>0.44131114533854299</v>
      </c>
      <c r="G5" s="8">
        <v>3.7837164049472598</v>
      </c>
      <c r="H5" s="8">
        <v>0.464291610111915</v>
      </c>
      <c r="I5" s="8">
        <v>1.3553578284077E-2</v>
      </c>
      <c r="J5" s="8">
        <v>1.3553578284077E-2</v>
      </c>
      <c r="K5" s="8">
        <v>1.3553578284077E-2</v>
      </c>
      <c r="L5" s="8">
        <v>7.6485850743467998E-4</v>
      </c>
      <c r="M5" s="8">
        <v>7.0795365447423803E-4</v>
      </c>
      <c r="N5" s="8">
        <v>7.0795365447423803E-4</v>
      </c>
      <c r="O5" s="8">
        <v>2.1547067420651299E-4</v>
      </c>
      <c r="P5" s="8">
        <v>1.8327825262030601E-4</v>
      </c>
      <c r="Q5" s="8">
        <v>1.8327825262030601E-4</v>
      </c>
      <c r="R5" s="8">
        <v>1.8327825262030601E-4</v>
      </c>
      <c r="S5" s="8">
        <v>1.5381574389382901E-4</v>
      </c>
      <c r="T5" s="8">
        <v>1.48001616107561E-4</v>
      </c>
      <c r="U5" s="8">
        <v>1.48001616107561E-4</v>
      </c>
      <c r="V5" s="8">
        <v>1.1071467125191E-4</v>
      </c>
      <c r="W5" s="8">
        <v>9.9389647792217295E-5</v>
      </c>
      <c r="X5" s="8">
        <v>9.9389647792217295E-5</v>
      </c>
      <c r="Y5" s="8">
        <v>2.8031151081325601E-5</v>
      </c>
      <c r="Z5" s="8">
        <v>2.4189317398090702E-5</v>
      </c>
      <c r="AA5" s="8">
        <v>2.4189317398090702E-5</v>
      </c>
      <c r="AB5" s="8">
        <v>0.103743858199498</v>
      </c>
      <c r="AC5" s="8">
        <v>0.23053288752369</v>
      </c>
      <c r="AD5" s="8">
        <v>0.23053288752369</v>
      </c>
      <c r="AE5" s="8">
        <v>0.23053288752369</v>
      </c>
      <c r="AF5" s="8">
        <v>0.36344612275746402</v>
      </c>
      <c r="AG5" s="8">
        <v>1.3373840381491199E-2</v>
      </c>
      <c r="AH5" s="8">
        <v>1.3373840381491199E-2</v>
      </c>
      <c r="AI5" s="8">
        <v>1.3373840381491199E-2</v>
      </c>
      <c r="AJ5" s="8">
        <v>3.7293735000398002E-3</v>
      </c>
      <c r="AK5" s="8">
        <v>3.7293735000398002E-3</v>
      </c>
      <c r="AL5" s="8">
        <v>3.7293735000398002E-3</v>
      </c>
      <c r="AM5" s="8">
        <v>3.7293735000398002E-3</v>
      </c>
      <c r="AN5" s="8">
        <v>1.5236418933931401E-2</v>
      </c>
      <c r="AO5" s="8">
        <v>3.6854836025412099E-3</v>
      </c>
      <c r="AP5" s="8">
        <v>6.3758933804342695E-4</v>
      </c>
      <c r="AQ5" s="8">
        <v>6.0529230742784896E-3</v>
      </c>
      <c r="AR5" s="8">
        <v>1.2450159848026599E-2</v>
      </c>
      <c r="AS5" s="8">
        <v>1.2450159848026599E-2</v>
      </c>
      <c r="AT5" s="8">
        <v>1.12610789519524E-2</v>
      </c>
      <c r="AU5" s="8">
        <v>1.12610789519524E-2</v>
      </c>
      <c r="AV5" s="8">
        <v>2.25715052809182E-4</v>
      </c>
      <c r="AW5" s="8">
        <v>6.1205304595030596E-3</v>
      </c>
      <c r="AX5" s="8">
        <v>8.1024356610888103E-3</v>
      </c>
      <c r="AY5" s="8">
        <v>4.2998602534822204E-3</v>
      </c>
      <c r="AZ5" s="8">
        <v>1.6747223894335299E-2</v>
      </c>
      <c r="BA5" s="8">
        <v>4.6468811583584499E-3</v>
      </c>
      <c r="BB5" s="8">
        <v>4.0581151816088103E-2</v>
      </c>
      <c r="BC5" s="8">
        <v>7.3116328192748099E-4</v>
      </c>
      <c r="BD5" s="8">
        <v>7.0271540289322196E-4</v>
      </c>
      <c r="BE5" s="8">
        <v>3.0540878673819601E-3</v>
      </c>
      <c r="BF5" s="8">
        <v>3.8933211855593199E-4</v>
      </c>
      <c r="BG5" s="8">
        <v>1.03875804862379E-3</v>
      </c>
      <c r="BH5" s="8">
        <v>3.76795943208883E-3</v>
      </c>
      <c r="BI5" s="8">
        <v>2.7080120786313201E-5</v>
      </c>
      <c r="BJ5" s="8">
        <v>4.93403860920927E-4</v>
      </c>
      <c r="BK5" s="8">
        <v>5.1253667001419402E-2</v>
      </c>
      <c r="BL5" s="8">
        <v>0</v>
      </c>
      <c r="BM5" s="8">
        <v>0.109242066988266</v>
      </c>
      <c r="BN5" s="8">
        <v>2.7113397536764E-3</v>
      </c>
      <c r="BO5" s="8">
        <v>8.0605371388401401E-4</v>
      </c>
      <c r="BP5" s="8">
        <v>0</v>
      </c>
      <c r="BQ5" s="8">
        <v>1.0464164180581499E-2</v>
      </c>
      <c r="BR5" s="8">
        <v>2.7725416668326001E-2</v>
      </c>
      <c r="BS5" s="8">
        <v>1.6087043848789299E-4</v>
      </c>
      <c r="BT5" s="8">
        <v>3.2463000942173501E-5</v>
      </c>
      <c r="BU5" s="8">
        <v>2.9718883036160702E-5</v>
      </c>
      <c r="BV5" s="8">
        <v>2.1273325805487299E-5</v>
      </c>
      <c r="BW5" s="8">
        <v>3.14016110848632E-3</v>
      </c>
      <c r="BX5" s="8">
        <v>8.9434007652266501E-3</v>
      </c>
      <c r="BY5" s="8">
        <v>3.5457959643221599E-3</v>
      </c>
      <c r="BZ5" s="8">
        <v>0.23053288752369</v>
      </c>
      <c r="CA5" s="8">
        <v>0.23053288752369</v>
      </c>
      <c r="CB5" s="8">
        <v>4.0501892592838202E-3</v>
      </c>
      <c r="CC5" s="9">
        <v>5.8097556700059403E-3</v>
      </c>
      <c r="CD5" s="6">
        <v>0</v>
      </c>
    </row>
    <row r="6" spans="2:82" x14ac:dyDescent="0.15">
      <c r="B6" s="7" t="s">
        <v>20</v>
      </c>
      <c r="C6" s="8">
        <v>1.3648975799353201E-2</v>
      </c>
      <c r="D6" s="8">
        <v>1.3648975799353201E-2</v>
      </c>
      <c r="E6" s="8">
        <v>8.3205703561539997E-3</v>
      </c>
      <c r="F6" s="8">
        <v>8.3205703561539997E-3</v>
      </c>
      <c r="G6" s="8">
        <v>1.52365785512727E-2</v>
      </c>
      <c r="H6" s="8">
        <v>1.0617700980820899E-2</v>
      </c>
      <c r="I6" s="8">
        <v>22.138759620837199</v>
      </c>
      <c r="J6" s="8">
        <v>2.77793303785089</v>
      </c>
      <c r="K6" s="8">
        <v>5.0881197666870799</v>
      </c>
      <c r="L6" s="8">
        <v>1.62949539018328E-2</v>
      </c>
      <c r="M6" s="8">
        <v>1.51498775889146E-2</v>
      </c>
      <c r="N6" s="8">
        <v>1.51498775889146E-2</v>
      </c>
      <c r="O6" s="8">
        <v>2.2565648481628901E-3</v>
      </c>
      <c r="P6" s="8">
        <v>1.7776581391392801E-3</v>
      </c>
      <c r="Q6" s="8">
        <v>1.7776581391392801E-3</v>
      </c>
      <c r="R6" s="8">
        <v>1.7776581391392801E-3</v>
      </c>
      <c r="S6" s="8">
        <v>9.7817355503395905E-4</v>
      </c>
      <c r="T6" s="8">
        <v>9.9977023180638299E-4</v>
      </c>
      <c r="U6" s="8">
        <v>9.9977023180638299E-4</v>
      </c>
      <c r="V6" s="8">
        <v>8.4622439732304796E-4</v>
      </c>
      <c r="W6" s="8">
        <v>8.2497338704903801E-4</v>
      </c>
      <c r="X6" s="8">
        <v>8.2497338704903801E-4</v>
      </c>
      <c r="Y6" s="8">
        <v>2.0973118416767799E-4</v>
      </c>
      <c r="Z6" s="8">
        <v>1.7075634356177101E-4</v>
      </c>
      <c r="AA6" s="8">
        <v>1.7075634356177101E-4</v>
      </c>
      <c r="AB6" s="8">
        <v>3.6644487136993698E-3</v>
      </c>
      <c r="AC6" s="8">
        <v>4.23082013789512E-2</v>
      </c>
      <c r="AD6" s="8">
        <v>4.23082013789512E-2</v>
      </c>
      <c r="AE6" s="8">
        <v>4.23082013789512E-2</v>
      </c>
      <c r="AF6" s="8">
        <v>4.4297790980631697E-2</v>
      </c>
      <c r="AG6" s="8">
        <v>0.199802457076203</v>
      </c>
      <c r="AH6" s="8">
        <v>0.199802457076203</v>
      </c>
      <c r="AI6" s="8">
        <v>0.199802457076203</v>
      </c>
      <c r="AJ6" s="8">
        <v>3.4143208786414997E-2</v>
      </c>
      <c r="AK6" s="8">
        <v>3.4143208786414997E-2</v>
      </c>
      <c r="AL6" s="8">
        <v>3.4143208786414997E-2</v>
      </c>
      <c r="AM6" s="8">
        <v>3.4143208786414997E-2</v>
      </c>
      <c r="AN6" s="8">
        <v>0.19850198273594399</v>
      </c>
      <c r="AO6" s="8">
        <v>3.4397221664783498E-2</v>
      </c>
      <c r="AP6" s="8">
        <v>1.4047832058028301E-2</v>
      </c>
      <c r="AQ6" s="8">
        <v>2.6308827142102299E-2</v>
      </c>
      <c r="AR6" s="8">
        <v>8.3900522396878705E-3</v>
      </c>
      <c r="AS6" s="8">
        <v>8.3900522396878705E-3</v>
      </c>
      <c r="AT6" s="8">
        <v>6.8012971421176904E-3</v>
      </c>
      <c r="AU6" s="8">
        <v>6.8012971421176904E-3</v>
      </c>
      <c r="AV6" s="8">
        <v>8.4297276741112802E-4</v>
      </c>
      <c r="AW6" s="8">
        <v>1.0246579746587801E-2</v>
      </c>
      <c r="AX6" s="8">
        <v>1.88607874064416E-2</v>
      </c>
      <c r="AY6" s="8">
        <v>4.5571212389155704E-3</v>
      </c>
      <c r="AZ6" s="8">
        <v>2.1504138490821001E-3</v>
      </c>
      <c r="BA6" s="8">
        <v>1.03098961076146E-2</v>
      </c>
      <c r="BB6" s="8">
        <v>2.46439390248583E-3</v>
      </c>
      <c r="BC6" s="8">
        <v>9.9374655912773408E-3</v>
      </c>
      <c r="BD6" s="8">
        <v>1.01041327193215E-2</v>
      </c>
      <c r="BE6" s="8">
        <v>7.1483263335217997E-2</v>
      </c>
      <c r="BF6" s="8">
        <v>5.3305934466430201E-3</v>
      </c>
      <c r="BG6" s="8">
        <v>1.5435080646374401E-2</v>
      </c>
      <c r="BH6" s="8">
        <v>2.8180370990024399E-2</v>
      </c>
      <c r="BI6" s="8">
        <v>1.4702737410229701E-4</v>
      </c>
      <c r="BJ6" s="8">
        <v>5.6036739092272404E-3</v>
      </c>
      <c r="BK6" s="8">
        <v>4.14933375475913E-3</v>
      </c>
      <c r="BL6" s="8">
        <v>0</v>
      </c>
      <c r="BM6" s="8">
        <v>1.31661529863729E-2</v>
      </c>
      <c r="BN6" s="8">
        <v>2.4672951816805699E-3</v>
      </c>
      <c r="BO6" s="8">
        <v>1.38542166655611E-2</v>
      </c>
      <c r="BP6" s="8">
        <v>0</v>
      </c>
      <c r="BQ6" s="8">
        <v>6.4681351031595793E-2</v>
      </c>
      <c r="BR6" s="8">
        <v>0.13909459931516199</v>
      </c>
      <c r="BS6" s="8">
        <v>1.6815390161337299E-3</v>
      </c>
      <c r="BT6" s="8">
        <v>1.5580012640826799E-4</v>
      </c>
      <c r="BU6" s="8">
        <v>1.7297555630850999E-4</v>
      </c>
      <c r="BV6" s="8">
        <v>1.4719319256055401E-4</v>
      </c>
      <c r="BW6" s="8">
        <v>3.3444061530357601E-3</v>
      </c>
      <c r="BX6" s="8">
        <v>7.63301668048801E-3</v>
      </c>
      <c r="BY6" s="8">
        <v>4.5764216993867497E-3</v>
      </c>
      <c r="BZ6" s="8">
        <v>4.23082013789512E-2</v>
      </c>
      <c r="CA6" s="8">
        <v>4.23082013789512E-2</v>
      </c>
      <c r="CB6" s="8">
        <v>3.9665699190672199E-2</v>
      </c>
      <c r="CC6" s="9">
        <v>3.5869557835236002E-2</v>
      </c>
      <c r="CD6" s="6">
        <v>0</v>
      </c>
    </row>
    <row r="7" spans="2:82" x14ac:dyDescent="0.15">
      <c r="B7" s="7" t="s">
        <v>33</v>
      </c>
      <c r="C7" s="8">
        <v>7.4681577812785898E-4</v>
      </c>
      <c r="D7" s="8">
        <v>7.4681577812785898E-4</v>
      </c>
      <c r="E7" s="8">
        <v>7.2613720742727302E-4</v>
      </c>
      <c r="F7" s="8">
        <v>7.2613720742727302E-4</v>
      </c>
      <c r="G7" s="8">
        <v>7.2462163595025995E-4</v>
      </c>
      <c r="H7" s="8">
        <v>5.6788301123606995E-4</v>
      </c>
      <c r="I7" s="8">
        <v>1.51198723855543E-2</v>
      </c>
      <c r="J7" s="8">
        <v>1.51198723855543E-2</v>
      </c>
      <c r="K7" s="8">
        <v>1.51198723855543E-2</v>
      </c>
      <c r="L7" s="8">
        <v>0.58153043414194305</v>
      </c>
      <c r="M7" s="8">
        <v>24.353097763031599</v>
      </c>
      <c r="N7" s="8">
        <v>1.1824934975483601</v>
      </c>
      <c r="O7" s="8">
        <v>3.3665976456351297E-2</v>
      </c>
      <c r="P7" s="8">
        <v>2.5175669445069899E-2</v>
      </c>
      <c r="Q7" s="8">
        <v>2.5175669445069899E-2</v>
      </c>
      <c r="R7" s="8">
        <v>2.5175669445069899E-2</v>
      </c>
      <c r="S7" s="8">
        <v>5.3706656241911304E-3</v>
      </c>
      <c r="T7" s="8">
        <v>5.404342387801E-3</v>
      </c>
      <c r="U7" s="8">
        <v>5.404342387801E-3</v>
      </c>
      <c r="V7" s="8">
        <v>9.1889837611201508E-3</v>
      </c>
      <c r="W7" s="8">
        <v>8.9946086579230696E-3</v>
      </c>
      <c r="X7" s="8">
        <v>8.9946086579230696E-3</v>
      </c>
      <c r="Y7" s="8">
        <v>1.2271134001591399E-3</v>
      </c>
      <c r="Z7" s="8">
        <v>1.0630623536329201E-3</v>
      </c>
      <c r="AA7" s="8">
        <v>1.0630623536329201E-3</v>
      </c>
      <c r="AB7" s="8">
        <v>6.3489565534921501E-4</v>
      </c>
      <c r="AC7" s="8">
        <v>5.9777117034988099E-4</v>
      </c>
      <c r="AD7" s="8">
        <v>5.9777117034988099E-4</v>
      </c>
      <c r="AE7" s="8">
        <v>5.9777117034988099E-4</v>
      </c>
      <c r="AF7" s="8">
        <v>8.28198042324807E-4</v>
      </c>
      <c r="AG7" s="8">
        <v>4.4347372999519897E-3</v>
      </c>
      <c r="AH7" s="8">
        <v>4.4347372999519897E-3</v>
      </c>
      <c r="AI7" s="8">
        <v>4.4347372999519897E-3</v>
      </c>
      <c r="AJ7" s="8">
        <v>1.01095095457116E-2</v>
      </c>
      <c r="AK7" s="8">
        <v>1.01095095457116E-2</v>
      </c>
      <c r="AL7" s="8">
        <v>1.01095095457116E-2</v>
      </c>
      <c r="AM7" s="8">
        <v>1.01095095457116E-2</v>
      </c>
      <c r="AN7" s="8">
        <v>3.6590107241953199E-3</v>
      </c>
      <c r="AO7" s="8">
        <v>1.02211028298073E-2</v>
      </c>
      <c r="AP7" s="8">
        <v>3.90831829285858E-2</v>
      </c>
      <c r="AQ7" s="8">
        <v>2.3244191844241799E-2</v>
      </c>
      <c r="AR7" s="8">
        <v>2.5850520685114899E-3</v>
      </c>
      <c r="AS7" s="8">
        <v>2.5850520685114899E-3</v>
      </c>
      <c r="AT7" s="8">
        <v>3.1963000602137199E-3</v>
      </c>
      <c r="AU7" s="8">
        <v>3.1963000602137199E-3</v>
      </c>
      <c r="AV7" s="8">
        <v>8.05901824618479E-4</v>
      </c>
      <c r="AW7" s="8">
        <v>4.0616503321256898E-3</v>
      </c>
      <c r="AX7" s="8">
        <v>7.3638337936029301E-3</v>
      </c>
      <c r="AY7" s="8">
        <v>1.9907664162782E-3</v>
      </c>
      <c r="AZ7" s="8">
        <v>2.0707115077277301E-4</v>
      </c>
      <c r="BA7" s="8">
        <v>6.6461197887980701E-3</v>
      </c>
      <c r="BB7" s="8">
        <v>5.0246661142899199E-4</v>
      </c>
      <c r="BC7" s="8">
        <v>4.0345110405028202E-2</v>
      </c>
      <c r="BD7" s="8">
        <v>3.52459016040114E-2</v>
      </c>
      <c r="BE7" s="8">
        <v>2.1829635087778802E-2</v>
      </c>
      <c r="BF7" s="8">
        <v>2.9522417913085901E-2</v>
      </c>
      <c r="BG7" s="8">
        <v>2.8444659627129901E-2</v>
      </c>
      <c r="BH7" s="8">
        <v>2.02507149243864E-2</v>
      </c>
      <c r="BI7" s="8">
        <v>9.1435283209267905E-4</v>
      </c>
      <c r="BJ7" s="8">
        <v>9.3543760151632904E-2</v>
      </c>
      <c r="BK7" s="8">
        <v>2.9540794711209001E-4</v>
      </c>
      <c r="BL7" s="8">
        <v>0</v>
      </c>
      <c r="BM7" s="8">
        <v>6.1166705321773803E-4</v>
      </c>
      <c r="BN7" s="8">
        <v>2.5971791728964899E-3</v>
      </c>
      <c r="BO7" s="8">
        <v>7.8431162101083904E-2</v>
      </c>
      <c r="BP7" s="8">
        <v>0</v>
      </c>
      <c r="BQ7" s="8">
        <v>2.8488227775286699E-3</v>
      </c>
      <c r="BR7" s="8">
        <v>1.4241428469761301E-3</v>
      </c>
      <c r="BS7" s="8">
        <v>1.2805153143572201E-2</v>
      </c>
      <c r="BT7" s="8">
        <v>9.9579589546005599E-4</v>
      </c>
      <c r="BU7" s="8">
        <v>1.0762862185980601E-3</v>
      </c>
      <c r="BV7" s="8">
        <v>9.8031264644872192E-4</v>
      </c>
      <c r="BW7" s="8">
        <v>4.2149870002041803E-3</v>
      </c>
      <c r="BX7" s="8">
        <v>5.0129948122454001E-3</v>
      </c>
      <c r="BY7" s="8">
        <v>3.4366906815069299E-3</v>
      </c>
      <c r="BZ7" s="8">
        <v>5.9777117034988099E-4</v>
      </c>
      <c r="CA7" s="8">
        <v>5.9777117034988099E-4</v>
      </c>
      <c r="CB7" s="8">
        <v>9.9201102410902998E-3</v>
      </c>
      <c r="CC7" s="9">
        <v>9.9624185976255695E-3</v>
      </c>
      <c r="CD7" s="6">
        <v>0</v>
      </c>
    </row>
    <row r="8" spans="2:82" x14ac:dyDescent="0.15">
      <c r="B8" s="7" t="s">
        <v>31</v>
      </c>
      <c r="C8" s="8">
        <v>1.96089484942684E-4</v>
      </c>
      <c r="D8" s="8">
        <v>1.96089484942684E-4</v>
      </c>
      <c r="E8" s="8">
        <v>1.9079012452096199E-4</v>
      </c>
      <c r="F8" s="8">
        <v>1.9079012452096199E-4</v>
      </c>
      <c r="G8" s="8">
        <v>1.9115014129246399E-4</v>
      </c>
      <c r="H8" s="8">
        <v>1.4618253994575899E-4</v>
      </c>
      <c r="I8" s="8">
        <v>1.7954105725510401E-3</v>
      </c>
      <c r="J8" s="8">
        <v>1.7954105725510401E-3</v>
      </c>
      <c r="K8" s="8">
        <v>1.7954105725510401E-3</v>
      </c>
      <c r="L8" s="8">
        <v>1.79601023638374E-2</v>
      </c>
      <c r="M8" s="8">
        <v>2.51207805885332E-2</v>
      </c>
      <c r="N8" s="8">
        <v>2.51207805885332E-2</v>
      </c>
      <c r="O8" s="8">
        <v>0.14529708163275601</v>
      </c>
      <c r="P8" s="8">
        <v>2.79439240700327</v>
      </c>
      <c r="Q8" s="8">
        <v>0.31461609182182299</v>
      </c>
      <c r="R8" s="8">
        <v>0.66148334210987103</v>
      </c>
      <c r="S8" s="8">
        <v>3.1949002490386701E-2</v>
      </c>
      <c r="T8" s="8">
        <v>3.4458113892336502E-2</v>
      </c>
      <c r="U8" s="8">
        <v>3.4458113892336502E-2</v>
      </c>
      <c r="V8" s="8">
        <v>4.2937543487044698E-2</v>
      </c>
      <c r="W8" s="8">
        <v>4.5275002274036802E-2</v>
      </c>
      <c r="X8" s="8">
        <v>4.5275002274036802E-2</v>
      </c>
      <c r="Y8" s="8">
        <v>3.3763462823387901E-2</v>
      </c>
      <c r="Z8" s="8">
        <v>2.7090072908292101E-2</v>
      </c>
      <c r="AA8" s="8">
        <v>2.7090072908292101E-2</v>
      </c>
      <c r="AB8" s="8">
        <v>1.85585859620107E-4</v>
      </c>
      <c r="AC8" s="8">
        <v>1.5154138477540399E-4</v>
      </c>
      <c r="AD8" s="8">
        <v>1.5154138477540399E-4</v>
      </c>
      <c r="AE8" s="8">
        <v>1.5154138477540399E-4</v>
      </c>
      <c r="AF8" s="8">
        <v>2.0468407020232001E-4</v>
      </c>
      <c r="AG8" s="8">
        <v>9.2881530879182798E-4</v>
      </c>
      <c r="AH8" s="8">
        <v>9.2881530879182798E-4</v>
      </c>
      <c r="AI8" s="8">
        <v>9.2881530879182798E-4</v>
      </c>
      <c r="AJ8" s="8">
        <v>1.6978164851652901E-3</v>
      </c>
      <c r="AK8" s="8">
        <v>1.6978164851652901E-3</v>
      </c>
      <c r="AL8" s="8">
        <v>1.6978164851652901E-3</v>
      </c>
      <c r="AM8" s="8">
        <v>1.6978164851652901E-3</v>
      </c>
      <c r="AN8" s="8">
        <v>7.8548808498548099E-4</v>
      </c>
      <c r="AO8" s="8">
        <v>1.72684413879147E-3</v>
      </c>
      <c r="AP8" s="8">
        <v>1.48421981586878E-2</v>
      </c>
      <c r="AQ8" s="8">
        <v>2.0599023585820199E-2</v>
      </c>
      <c r="AR8" s="8">
        <v>3.4320927658563201E-3</v>
      </c>
      <c r="AS8" s="8">
        <v>3.4320927658563201E-3</v>
      </c>
      <c r="AT8" s="8">
        <v>5.4920068859989901E-3</v>
      </c>
      <c r="AU8" s="8">
        <v>5.4920068859989901E-3</v>
      </c>
      <c r="AV8" s="8">
        <v>8.3603600734345502E-4</v>
      </c>
      <c r="AW8" s="8">
        <v>7.2453039462228603E-3</v>
      </c>
      <c r="AX8" s="8">
        <v>1.1799473769967799E-2</v>
      </c>
      <c r="AY8" s="8">
        <v>4.0703080862779604E-3</v>
      </c>
      <c r="AZ8" s="8">
        <v>5.3052709993209698E-5</v>
      </c>
      <c r="BA8" s="8">
        <v>1.37012236217721E-3</v>
      </c>
      <c r="BB8" s="8">
        <v>1.53416276339631E-4</v>
      </c>
      <c r="BC8" s="8">
        <v>2.3234377024850001E-2</v>
      </c>
      <c r="BD8" s="8">
        <v>2.1118022617412201E-2</v>
      </c>
      <c r="BE8" s="8">
        <v>2.4774251514351601E-3</v>
      </c>
      <c r="BF8" s="8">
        <v>2.4468333658497699E-2</v>
      </c>
      <c r="BG8" s="8">
        <v>9.3387231227286104E-3</v>
      </c>
      <c r="BH8" s="8">
        <v>3.1128983349832998E-2</v>
      </c>
      <c r="BI8" s="8">
        <v>2.80205171769571E-2</v>
      </c>
      <c r="BJ8" s="8">
        <v>4.6988620592740497E-2</v>
      </c>
      <c r="BK8" s="8">
        <v>7.5020809016500801E-5</v>
      </c>
      <c r="BL8" s="8">
        <v>0</v>
      </c>
      <c r="BM8" s="8">
        <v>1.5001400239223999E-4</v>
      </c>
      <c r="BN8" s="8">
        <v>2.3115765799980501E-3</v>
      </c>
      <c r="BO8" s="8">
        <v>9.7941171500966206E-3</v>
      </c>
      <c r="BP8" s="8">
        <v>0</v>
      </c>
      <c r="BQ8" s="8">
        <v>6.5922031246393805E-4</v>
      </c>
      <c r="BR8" s="8">
        <v>3.5080375793024098E-4</v>
      </c>
      <c r="BS8" s="8">
        <v>5.5512743420754199E-2</v>
      </c>
      <c r="BT8" s="8">
        <v>2.5821845201956801E-2</v>
      </c>
      <c r="BU8" s="8">
        <v>2.9450049691468801E-2</v>
      </c>
      <c r="BV8" s="8">
        <v>2.59868529027283E-2</v>
      </c>
      <c r="BW8" s="8">
        <v>5.9329270947041301E-3</v>
      </c>
      <c r="BX8" s="8">
        <v>7.3517935039745103E-3</v>
      </c>
      <c r="BY8" s="8">
        <v>5.2072502037543902E-3</v>
      </c>
      <c r="BZ8" s="8">
        <v>1.5154138477540399E-4</v>
      </c>
      <c r="CA8" s="8">
        <v>1.5154138477540399E-4</v>
      </c>
      <c r="CB8" s="8">
        <v>1.6721073878307299E-3</v>
      </c>
      <c r="CC8" s="9">
        <v>1.67504209202351E-3</v>
      </c>
      <c r="CD8" s="6">
        <v>0</v>
      </c>
    </row>
    <row r="9" spans="2:82" x14ac:dyDescent="0.15">
      <c r="B9" s="7" t="s">
        <v>28</v>
      </c>
      <c r="C9" s="8">
        <v>1.6084655203310599E-4</v>
      </c>
      <c r="D9" s="8">
        <v>1.6084655203310599E-4</v>
      </c>
      <c r="E9" s="8">
        <v>1.5640814653557699E-4</v>
      </c>
      <c r="F9" s="8">
        <v>1.5640814653557699E-4</v>
      </c>
      <c r="G9" s="8">
        <v>1.59356015581644E-4</v>
      </c>
      <c r="H9" s="8">
        <v>1.2199357239290201E-4</v>
      </c>
      <c r="I9" s="8">
        <v>9.9589893437529008E-4</v>
      </c>
      <c r="J9" s="8">
        <v>9.9589893437529008E-4</v>
      </c>
      <c r="K9" s="8">
        <v>9.9589893437529008E-4</v>
      </c>
      <c r="L9" s="8">
        <v>3.87877981506467E-3</v>
      </c>
      <c r="M9" s="8">
        <v>5.3665490493679203E-3</v>
      </c>
      <c r="N9" s="8">
        <v>5.3665490493679203E-3</v>
      </c>
      <c r="O9" s="8">
        <v>2.4922231910979899E-2</v>
      </c>
      <c r="P9" s="8">
        <v>3.4363463900673102E-2</v>
      </c>
      <c r="Q9" s="8">
        <v>3.4363463900673102E-2</v>
      </c>
      <c r="R9" s="8">
        <v>3.4363463900673102E-2</v>
      </c>
      <c r="S9" s="8">
        <v>0.25109098793601498</v>
      </c>
      <c r="T9" s="8">
        <v>5.5705426900494999</v>
      </c>
      <c r="U9" s="8">
        <v>1.3590553631675399</v>
      </c>
      <c r="V9" s="8">
        <v>1.59744621116155E-2</v>
      </c>
      <c r="W9" s="8">
        <v>1.76991625330922E-2</v>
      </c>
      <c r="X9" s="8">
        <v>1.76991625330922E-2</v>
      </c>
      <c r="Y9" s="8">
        <v>7.3460527703131297E-3</v>
      </c>
      <c r="Z9" s="8">
        <v>6.7274716148269702E-3</v>
      </c>
      <c r="AA9" s="8">
        <v>6.7274716148269702E-3</v>
      </c>
      <c r="AB9" s="8">
        <v>1.5485897703662699E-4</v>
      </c>
      <c r="AC9" s="8">
        <v>1.27365850121033E-4</v>
      </c>
      <c r="AD9" s="8">
        <v>1.27365850121033E-4</v>
      </c>
      <c r="AE9" s="8">
        <v>1.27365850121033E-4</v>
      </c>
      <c r="AF9" s="8">
        <v>1.71878053806298E-4</v>
      </c>
      <c r="AG9" s="8">
        <v>6.45710463861252E-4</v>
      </c>
      <c r="AH9" s="8">
        <v>6.45710463861252E-4</v>
      </c>
      <c r="AI9" s="8">
        <v>6.45710463861252E-4</v>
      </c>
      <c r="AJ9" s="8">
        <v>1.12930864992765E-3</v>
      </c>
      <c r="AK9" s="8">
        <v>1.12930864992765E-3</v>
      </c>
      <c r="AL9" s="8">
        <v>1.12930864992765E-3</v>
      </c>
      <c r="AM9" s="8">
        <v>1.12930864992765E-3</v>
      </c>
      <c r="AN9" s="8">
        <v>5.6699136967423196E-4</v>
      </c>
      <c r="AO9" s="8">
        <v>1.1052746908384199E-3</v>
      </c>
      <c r="AP9" s="8">
        <v>7.5389212449413403E-3</v>
      </c>
      <c r="AQ9" s="8">
        <v>1.8931055602212699E-2</v>
      </c>
      <c r="AR9" s="8">
        <v>3.1678948675285699E-3</v>
      </c>
      <c r="AS9" s="8">
        <v>3.1678948675285699E-3</v>
      </c>
      <c r="AT9" s="8">
        <v>4.7068911572513902E-3</v>
      </c>
      <c r="AU9" s="8">
        <v>4.7068911572513902E-3</v>
      </c>
      <c r="AV9" s="8">
        <v>7.56955264742651E-4</v>
      </c>
      <c r="AW9" s="8">
        <v>5.6595595337861904E-3</v>
      </c>
      <c r="AX9" s="8">
        <v>9.0054162983927207E-3</v>
      </c>
      <c r="AY9" s="8">
        <v>3.32251226076773E-3</v>
      </c>
      <c r="AZ9" s="8">
        <v>4.5160289329816E-5</v>
      </c>
      <c r="BA9" s="8">
        <v>9.2317764596567501E-4</v>
      </c>
      <c r="BB9" s="8">
        <v>1.3100302689848101E-4</v>
      </c>
      <c r="BC9" s="8">
        <v>1.09051041360774E-2</v>
      </c>
      <c r="BD9" s="8">
        <v>1.1051153460139899E-2</v>
      </c>
      <c r="BE9" s="8">
        <v>1.2717091106395999E-3</v>
      </c>
      <c r="BF9" s="8">
        <v>2.1774129536799899E-2</v>
      </c>
      <c r="BG9" s="8">
        <v>8.0797763672163705E-3</v>
      </c>
      <c r="BH9" s="8">
        <v>2.08601642006488E-2</v>
      </c>
      <c r="BI9" s="8">
        <v>7.4384603568309598E-3</v>
      </c>
      <c r="BJ9" s="8">
        <v>2.0452874442952199E-2</v>
      </c>
      <c r="BK9" s="8">
        <v>5.9605136150270402E-5</v>
      </c>
      <c r="BL9" s="8">
        <v>0</v>
      </c>
      <c r="BM9" s="8">
        <v>1.2411853260798199E-4</v>
      </c>
      <c r="BN9" s="8">
        <v>2.4579306079070599E-3</v>
      </c>
      <c r="BO9" s="8">
        <v>2.2212352872299202E-3</v>
      </c>
      <c r="BP9" s="8">
        <v>0</v>
      </c>
      <c r="BQ9" s="8">
        <v>5.1687310657402797E-4</v>
      </c>
      <c r="BR9" s="8">
        <v>2.7951733439910201E-4</v>
      </c>
      <c r="BS9" s="8">
        <v>3.15759718503252E-2</v>
      </c>
      <c r="BT9" s="8">
        <v>9.9062343764520899E-3</v>
      </c>
      <c r="BU9" s="8">
        <v>1.1352028809684001E-2</v>
      </c>
      <c r="BV9" s="8">
        <v>7.3620575657171198E-3</v>
      </c>
      <c r="BW9" s="8">
        <v>5.23983967047698E-3</v>
      </c>
      <c r="BX9" s="8">
        <v>5.39423475940115E-3</v>
      </c>
      <c r="BY9" s="8">
        <v>5.8020413157038996E-3</v>
      </c>
      <c r="BZ9" s="8">
        <v>1.27365850121033E-4</v>
      </c>
      <c r="CA9" s="8">
        <v>1.27365850121033E-4</v>
      </c>
      <c r="CB9" s="8">
        <v>1.1134902164505901E-3</v>
      </c>
      <c r="CC9" s="9">
        <v>1.1144450776530499E-3</v>
      </c>
      <c r="CD9" s="6">
        <v>0</v>
      </c>
    </row>
    <row r="10" spans="2:82" x14ac:dyDescent="0.15">
      <c r="B10" s="7" t="s">
        <v>14</v>
      </c>
      <c r="C10" s="8">
        <v>1.17290405735784E-4</v>
      </c>
      <c r="D10" s="8">
        <v>1.17290405735784E-4</v>
      </c>
      <c r="E10" s="8">
        <v>1.19261961275509E-4</v>
      </c>
      <c r="F10" s="8">
        <v>1.19261961275509E-4</v>
      </c>
      <c r="G10" s="8">
        <v>1.1045661131019801E-4</v>
      </c>
      <c r="H10" s="8">
        <v>8.7395539061762404E-5</v>
      </c>
      <c r="I10" s="8">
        <v>8.2042923239440603E-4</v>
      </c>
      <c r="J10" s="8">
        <v>8.2042923239440603E-4</v>
      </c>
      <c r="K10" s="8">
        <v>8.2042923239440603E-4</v>
      </c>
      <c r="L10" s="8">
        <v>6.8681028808323602E-3</v>
      </c>
      <c r="M10" s="8">
        <v>9.0414218281749097E-3</v>
      </c>
      <c r="N10" s="8">
        <v>9.0414218281749097E-3</v>
      </c>
      <c r="O10" s="8">
        <v>3.2274069433137903E-2</v>
      </c>
      <c r="P10" s="8">
        <v>4.5099618838636703E-2</v>
      </c>
      <c r="Q10" s="8">
        <v>4.5099618838636703E-2</v>
      </c>
      <c r="R10" s="8">
        <v>4.5099618838636703E-2</v>
      </c>
      <c r="S10" s="8">
        <v>1.5867156179266598E-2</v>
      </c>
      <c r="T10" s="8">
        <v>1.7638090979386501E-2</v>
      </c>
      <c r="U10" s="8">
        <v>1.7638090979386501E-2</v>
      </c>
      <c r="V10" s="8">
        <v>0.30304107109238099</v>
      </c>
      <c r="W10" s="8">
        <v>5.7523951578170003</v>
      </c>
      <c r="X10" s="8">
        <v>1.38765749130934</v>
      </c>
      <c r="Y10" s="8">
        <v>1.74950369555191E-2</v>
      </c>
      <c r="Z10" s="8">
        <v>1.38481644046072E-2</v>
      </c>
      <c r="AA10" s="8">
        <v>1.38481644046072E-2</v>
      </c>
      <c r="AB10" s="8">
        <v>1.2475360507071501E-4</v>
      </c>
      <c r="AC10" s="8">
        <v>8.3047280054055704E-5</v>
      </c>
      <c r="AD10" s="8">
        <v>8.3047280054055704E-5</v>
      </c>
      <c r="AE10" s="8">
        <v>8.3047280054055704E-5</v>
      </c>
      <c r="AF10" s="8">
        <v>1.1661399434064499E-4</v>
      </c>
      <c r="AG10" s="8">
        <v>4.84348208059546E-4</v>
      </c>
      <c r="AH10" s="8">
        <v>4.84348208059546E-4</v>
      </c>
      <c r="AI10" s="8">
        <v>4.84348208059546E-4</v>
      </c>
      <c r="AJ10" s="8">
        <v>8.6640343481733998E-4</v>
      </c>
      <c r="AK10" s="8">
        <v>8.6640343481733998E-4</v>
      </c>
      <c r="AL10" s="8">
        <v>8.6640343481733998E-4</v>
      </c>
      <c r="AM10" s="8">
        <v>8.6640343481733998E-4</v>
      </c>
      <c r="AN10" s="8">
        <v>4.12010900179515E-4</v>
      </c>
      <c r="AO10" s="8">
        <v>8.8818207924072699E-4</v>
      </c>
      <c r="AP10" s="8">
        <v>4.4158740222909696E-3</v>
      </c>
      <c r="AQ10" s="8">
        <v>1.8716970463465099E-2</v>
      </c>
      <c r="AR10" s="8">
        <v>3.2337096505950999E-3</v>
      </c>
      <c r="AS10" s="8">
        <v>3.2337096505950999E-3</v>
      </c>
      <c r="AT10" s="8">
        <v>4.5915943991456203E-3</v>
      </c>
      <c r="AU10" s="8">
        <v>4.5915943991456203E-3</v>
      </c>
      <c r="AV10" s="8">
        <v>7.6114989512231104E-4</v>
      </c>
      <c r="AW10" s="8">
        <v>5.7749816833137799E-3</v>
      </c>
      <c r="AX10" s="8">
        <v>8.8466613128149098E-3</v>
      </c>
      <c r="AY10" s="8">
        <v>3.52733007908973E-3</v>
      </c>
      <c r="AZ10" s="8">
        <v>3.2711099474240699E-5</v>
      </c>
      <c r="BA10" s="8">
        <v>7.2961771811937495E-4</v>
      </c>
      <c r="BB10" s="8">
        <v>1.0719925757489499E-4</v>
      </c>
      <c r="BC10" s="8">
        <v>5.4805959704845499E-3</v>
      </c>
      <c r="BD10" s="8">
        <v>5.6027512953021703E-3</v>
      </c>
      <c r="BE10" s="8">
        <v>1.23144485302833E-3</v>
      </c>
      <c r="BF10" s="8">
        <v>9.4758650326892003E-3</v>
      </c>
      <c r="BG10" s="8">
        <v>3.0890657231402098E-3</v>
      </c>
      <c r="BH10" s="8">
        <v>2.2633622830445E-2</v>
      </c>
      <c r="BI10" s="8">
        <v>8.1255723999742908E-3</v>
      </c>
      <c r="BJ10" s="8">
        <v>1.0806754423245401E-2</v>
      </c>
      <c r="BK10" s="8">
        <v>4.2932390372338602E-5</v>
      </c>
      <c r="BL10" s="8">
        <v>0</v>
      </c>
      <c r="BM10" s="8">
        <v>8.9159600075430906E-5</v>
      </c>
      <c r="BN10" s="8">
        <v>2.3907479586875E-3</v>
      </c>
      <c r="BO10" s="8">
        <v>3.9689306127197897E-3</v>
      </c>
      <c r="BP10" s="8">
        <v>0</v>
      </c>
      <c r="BQ10" s="8">
        <v>3.4646530865723498E-4</v>
      </c>
      <c r="BR10" s="8">
        <v>1.86670121924233E-4</v>
      </c>
      <c r="BS10" s="8">
        <v>3.21759076098437E-2</v>
      </c>
      <c r="BT10" s="8">
        <v>1.34892229465941E-2</v>
      </c>
      <c r="BU10" s="8">
        <v>1.50629140612607E-2</v>
      </c>
      <c r="BV10" s="8">
        <v>9.9677072378449704E-3</v>
      </c>
      <c r="BW10" s="8">
        <v>5.6511632427783598E-3</v>
      </c>
      <c r="BX10" s="8">
        <v>5.2858719538673498E-3</v>
      </c>
      <c r="BY10" s="8">
        <v>5.7966187782565E-3</v>
      </c>
      <c r="BZ10" s="8">
        <v>8.3047280054055704E-5</v>
      </c>
      <c r="CA10" s="8">
        <v>8.3047280054055704E-5</v>
      </c>
      <c r="CB10" s="8">
        <v>8.5361861467366201E-4</v>
      </c>
      <c r="CC10" s="9">
        <v>8.5510303867463702E-4</v>
      </c>
      <c r="CD10" s="6">
        <v>0</v>
      </c>
    </row>
    <row r="11" spans="2:82" x14ac:dyDescent="0.15">
      <c r="B11" s="7" t="s">
        <v>26</v>
      </c>
      <c r="C11" s="8">
        <v>2.9444274552901801E-5</v>
      </c>
      <c r="D11" s="8">
        <v>2.9444274552901801E-5</v>
      </c>
      <c r="E11" s="8">
        <v>3.0810878853109697E-5</v>
      </c>
      <c r="F11" s="8">
        <v>3.0810878853109697E-5</v>
      </c>
      <c r="G11" s="8">
        <v>2.38525890163235E-5</v>
      </c>
      <c r="H11" s="8">
        <v>2.1396469970064299E-5</v>
      </c>
      <c r="I11" s="8">
        <v>1.69664713115205E-4</v>
      </c>
      <c r="J11" s="8">
        <v>1.69664713115205E-4</v>
      </c>
      <c r="K11" s="8">
        <v>1.69664713115205E-4</v>
      </c>
      <c r="L11" s="8">
        <v>8.43634133625907E-4</v>
      </c>
      <c r="M11" s="8">
        <v>1.0653685099079001E-3</v>
      </c>
      <c r="N11" s="8">
        <v>1.0653685099079001E-3</v>
      </c>
      <c r="O11" s="8">
        <v>3.0885639390235298E-2</v>
      </c>
      <c r="P11" s="8">
        <v>2.7188729372275101E-2</v>
      </c>
      <c r="Q11" s="8">
        <v>2.7188729372275101E-2</v>
      </c>
      <c r="R11" s="8">
        <v>2.7188729372275101E-2</v>
      </c>
      <c r="S11" s="8">
        <v>6.6917988356389197E-3</v>
      </c>
      <c r="T11" s="8">
        <v>6.8117516234840001E-3</v>
      </c>
      <c r="U11" s="8">
        <v>6.8117516234840001E-3</v>
      </c>
      <c r="V11" s="8">
        <v>1.12272491452266E-2</v>
      </c>
      <c r="W11" s="8">
        <v>1.4011748923416299E-2</v>
      </c>
      <c r="X11" s="8">
        <v>1.4011748923416299E-2</v>
      </c>
      <c r="Y11" s="8">
        <v>0.36307198852861799</v>
      </c>
      <c r="Z11" s="8">
        <v>9.4888391674251409</v>
      </c>
      <c r="AA11" s="8">
        <v>2.7539933736147999</v>
      </c>
      <c r="AB11" s="8">
        <v>3.0690242614370698E-5</v>
      </c>
      <c r="AC11" s="8">
        <v>2.2405058525146799E-5</v>
      </c>
      <c r="AD11" s="8">
        <v>2.2405058525146799E-5</v>
      </c>
      <c r="AE11" s="8">
        <v>2.2405058525146799E-5</v>
      </c>
      <c r="AF11" s="8">
        <v>2.4354145400035098E-5</v>
      </c>
      <c r="AG11" s="8">
        <v>1.20417876438644E-4</v>
      </c>
      <c r="AH11" s="8">
        <v>1.20417876438644E-4</v>
      </c>
      <c r="AI11" s="8">
        <v>1.20417876438644E-4</v>
      </c>
      <c r="AJ11" s="8">
        <v>2.1389861993301699E-4</v>
      </c>
      <c r="AK11" s="8">
        <v>2.1389861993301699E-4</v>
      </c>
      <c r="AL11" s="8">
        <v>2.1389861993301699E-4</v>
      </c>
      <c r="AM11" s="8">
        <v>2.1388751539725499E-4</v>
      </c>
      <c r="AN11" s="8">
        <v>1.04557307992665E-4</v>
      </c>
      <c r="AO11" s="8">
        <v>2.1459750123465899E-4</v>
      </c>
      <c r="AP11" s="8">
        <v>1.04349729547104E-3</v>
      </c>
      <c r="AQ11" s="8">
        <v>1.7537153669669001E-2</v>
      </c>
      <c r="AR11" s="8">
        <v>3.87081743502086E-3</v>
      </c>
      <c r="AS11" s="8">
        <v>3.87081743502086E-3</v>
      </c>
      <c r="AT11" s="8">
        <v>4.7274736101183103E-3</v>
      </c>
      <c r="AU11" s="8">
        <v>4.7274736101183103E-3</v>
      </c>
      <c r="AV11" s="8">
        <v>1.53249418347333E-3</v>
      </c>
      <c r="AW11" s="8">
        <v>7.8347461634259794E-3</v>
      </c>
      <c r="AX11" s="8">
        <v>1.09273775800127E-2</v>
      </c>
      <c r="AY11" s="8">
        <v>5.3677420813346803E-3</v>
      </c>
      <c r="AZ11" s="8">
        <v>8.1726052965433793E-6</v>
      </c>
      <c r="BA11" s="8">
        <v>1.5720955655987599E-4</v>
      </c>
      <c r="BB11" s="8">
        <v>2.7237651353490801E-5</v>
      </c>
      <c r="BC11" s="8">
        <v>1.0935987545045601E-3</v>
      </c>
      <c r="BD11" s="8">
        <v>1.10240855960043E-3</v>
      </c>
      <c r="BE11" s="8">
        <v>2.4538776961579602E-4</v>
      </c>
      <c r="BF11" s="8">
        <v>1.89411320075477E-3</v>
      </c>
      <c r="BG11" s="8">
        <v>7.6164705287691298E-4</v>
      </c>
      <c r="BH11" s="8">
        <v>2.2871352421002401E-2</v>
      </c>
      <c r="BI11" s="8">
        <v>0.15569660904545701</v>
      </c>
      <c r="BJ11" s="8">
        <v>1.70817489437581E-3</v>
      </c>
      <c r="BK11" s="8">
        <v>1.2278080343749999E-5</v>
      </c>
      <c r="BL11" s="8">
        <v>0</v>
      </c>
      <c r="BM11" s="8">
        <v>2.3059107568971099E-5</v>
      </c>
      <c r="BN11" s="8">
        <v>2.3640721443152599E-3</v>
      </c>
      <c r="BO11" s="8">
        <v>6.7718284638758699E-4</v>
      </c>
      <c r="BP11" s="8">
        <v>0</v>
      </c>
      <c r="BQ11" s="8">
        <v>8.232123438691E-5</v>
      </c>
      <c r="BR11" s="8">
        <v>4.6361618877243701E-5</v>
      </c>
      <c r="BS11" s="8">
        <v>3.1303234942064599E-2</v>
      </c>
      <c r="BT11" s="8">
        <v>7.7587225024304707E-2</v>
      </c>
      <c r="BU11" s="8">
        <v>6.5629106817565896E-2</v>
      </c>
      <c r="BV11" s="8">
        <v>0.18835026717998499</v>
      </c>
      <c r="BW11" s="8">
        <v>7.1058462098071698E-3</v>
      </c>
      <c r="BX11" s="8">
        <v>5.9528325880890496E-3</v>
      </c>
      <c r="BY11" s="8">
        <v>6.8057760727609504E-3</v>
      </c>
      <c r="BZ11" s="8">
        <v>2.2405058525146799E-5</v>
      </c>
      <c r="CA11" s="8">
        <v>2.2405058525146799E-5</v>
      </c>
      <c r="CB11" s="8">
        <v>2.1080283040616099E-4</v>
      </c>
      <c r="CC11" s="9">
        <v>2.1109249728643601E-4</v>
      </c>
      <c r="CD11" s="6">
        <v>0</v>
      </c>
    </row>
    <row r="12" spans="2:82" x14ac:dyDescent="0.15">
      <c r="B12" s="7" t="s">
        <v>8</v>
      </c>
      <c r="C12" s="8">
        <v>0.10406839411542</v>
      </c>
      <c r="D12" s="8">
        <v>0.10406839411542</v>
      </c>
      <c r="E12" s="8">
        <v>0.14055916531340301</v>
      </c>
      <c r="F12" s="8">
        <v>0.14055916531340301</v>
      </c>
      <c r="G12" s="8">
        <v>7.7191324911960194E-2</v>
      </c>
      <c r="H12" s="8">
        <v>5.3620660093141197E-2</v>
      </c>
      <c r="I12" s="8">
        <v>3.6288195556252599E-3</v>
      </c>
      <c r="J12" s="8">
        <v>3.6288195556252599E-3</v>
      </c>
      <c r="K12" s="8">
        <v>3.6288195556252599E-3</v>
      </c>
      <c r="L12" s="8">
        <v>6.2292877448290698E-4</v>
      </c>
      <c r="M12" s="8">
        <v>5.8649318651208897E-4</v>
      </c>
      <c r="N12" s="8">
        <v>5.8649318651208897E-4</v>
      </c>
      <c r="O12" s="8">
        <v>1.45813467481173E-4</v>
      </c>
      <c r="P12" s="8">
        <v>1.5276655051586001E-4</v>
      </c>
      <c r="Q12" s="8">
        <v>1.5276655051586001E-4</v>
      </c>
      <c r="R12" s="8">
        <v>1.5276655051586001E-4</v>
      </c>
      <c r="S12" s="8">
        <v>1.3136608241816401E-4</v>
      </c>
      <c r="T12" s="8">
        <v>1.35922978486627E-4</v>
      </c>
      <c r="U12" s="8">
        <v>1.35922978486627E-4</v>
      </c>
      <c r="V12" s="8">
        <v>1.0356716830381E-4</v>
      </c>
      <c r="W12" s="8">
        <v>1.2735967545374999E-4</v>
      </c>
      <c r="X12" s="8">
        <v>1.2735967545374999E-4</v>
      </c>
      <c r="Y12" s="8">
        <v>1.3798224791640299E-5</v>
      </c>
      <c r="Z12" s="8">
        <v>2.6806138338528601E-5</v>
      </c>
      <c r="AA12" s="8">
        <v>2.6806138338528601E-5</v>
      </c>
      <c r="AB12" s="8">
        <v>481.04606732562701</v>
      </c>
      <c r="AC12" s="8">
        <v>6.9730237698681793E-2</v>
      </c>
      <c r="AD12" s="8">
        <v>6.9730237698681793E-2</v>
      </c>
      <c r="AE12" s="8">
        <v>6.9730237698681793E-2</v>
      </c>
      <c r="AF12" s="8">
        <v>2.4401111607754499E-2</v>
      </c>
      <c r="AG12" s="8">
        <v>3.6635018650858098E-3</v>
      </c>
      <c r="AH12" s="8">
        <v>3.6635018650858098E-3</v>
      </c>
      <c r="AI12" s="8">
        <v>3.6635018650858098E-3</v>
      </c>
      <c r="AJ12" s="8">
        <v>2.1296040688985498E-3</v>
      </c>
      <c r="AK12" s="8">
        <v>2.1296040688985498E-3</v>
      </c>
      <c r="AL12" s="8">
        <v>2.1296040688985498E-3</v>
      </c>
      <c r="AM12" s="8">
        <v>2.1296040688985498E-3</v>
      </c>
      <c r="AN12" s="8">
        <v>4.1336263866548198E-3</v>
      </c>
      <c r="AO12" s="8">
        <v>1.92214069221564E-3</v>
      </c>
      <c r="AP12" s="8">
        <v>4.0352439477378999E-4</v>
      </c>
      <c r="AQ12" s="8">
        <v>2.3483827569510001E-3</v>
      </c>
      <c r="AR12" s="8">
        <v>9.8027266724924397E-3</v>
      </c>
      <c r="AS12" s="8">
        <v>9.8027266724924397E-3</v>
      </c>
      <c r="AT12" s="8">
        <v>7.0508782117666303E-3</v>
      </c>
      <c r="AU12" s="8">
        <v>7.0508782117666303E-3</v>
      </c>
      <c r="AV12" s="8">
        <v>1.7195764258906299E-4</v>
      </c>
      <c r="AW12" s="8">
        <v>2.9755257794061001E-3</v>
      </c>
      <c r="AX12" s="8">
        <v>3.8549310601959301E-3</v>
      </c>
      <c r="AY12" s="8">
        <v>2.4417108621637199E-3</v>
      </c>
      <c r="AZ12" s="8">
        <v>1.8408825345861E-2</v>
      </c>
      <c r="BA12" s="8">
        <v>3.83703841749588E-3</v>
      </c>
      <c r="BB12" s="8">
        <v>0.16337433297943199</v>
      </c>
      <c r="BC12" s="8">
        <v>6.3288640337431001E-4</v>
      </c>
      <c r="BD12" s="8">
        <v>5.5793665572706204E-4</v>
      </c>
      <c r="BE12" s="8">
        <v>1.8219547367422199E-3</v>
      </c>
      <c r="BF12" s="8">
        <v>3.0308674943656499E-4</v>
      </c>
      <c r="BG12" s="8">
        <v>7.0896799671852099E-4</v>
      </c>
      <c r="BH12" s="8">
        <v>1.5352528258886599E-3</v>
      </c>
      <c r="BI12" s="8">
        <v>1.58949918176723E-5</v>
      </c>
      <c r="BJ12" s="8">
        <v>3.8955016167719502E-4</v>
      </c>
      <c r="BK12" s="8">
        <v>3.0572255481293598E-2</v>
      </c>
      <c r="BL12" s="8">
        <v>0</v>
      </c>
      <c r="BM12" s="8">
        <v>2.21634539617055E-2</v>
      </c>
      <c r="BN12" s="8">
        <v>3.4199638538310799E-3</v>
      </c>
      <c r="BO12" s="8">
        <v>5.5385760828353904E-4</v>
      </c>
      <c r="BP12" s="8">
        <v>0</v>
      </c>
      <c r="BQ12" s="8">
        <v>4.4521397228855803E-3</v>
      </c>
      <c r="BR12" s="8">
        <v>7.12172310429505E-3</v>
      </c>
      <c r="BS12" s="8">
        <v>1.0168620543163E-4</v>
      </c>
      <c r="BT12" s="8">
        <v>4.7769341846354198E-5</v>
      </c>
      <c r="BU12" s="8">
        <v>4.6060388158439103E-5</v>
      </c>
      <c r="BV12" s="8">
        <v>3.0977911970336703E-5</v>
      </c>
      <c r="BW12" s="8">
        <v>4.7340114423463702E-3</v>
      </c>
      <c r="BX12" s="8">
        <v>4.08738902446407E-3</v>
      </c>
      <c r="BY12" s="8">
        <v>1.34165451493932E-3</v>
      </c>
      <c r="BZ12" s="8">
        <v>24.824775191287301</v>
      </c>
      <c r="CA12" s="8">
        <v>6.9730237698681793E-2</v>
      </c>
      <c r="CB12" s="8">
        <v>2.1809194952229498E-3</v>
      </c>
      <c r="CC12" s="9">
        <v>2.7338492541841499E-3</v>
      </c>
      <c r="CD12" s="6">
        <v>0</v>
      </c>
    </row>
    <row r="13" spans="2:82" x14ac:dyDescent="0.15">
      <c r="B13" s="7" t="s">
        <v>9</v>
      </c>
      <c r="C13" s="8">
        <v>0.23034956735626699</v>
      </c>
      <c r="D13" s="8">
        <v>0.23034956735626699</v>
      </c>
      <c r="E13" s="8">
        <v>8.7321922586076295E-2</v>
      </c>
      <c r="F13" s="8">
        <v>8.7321922586076295E-2</v>
      </c>
      <c r="G13" s="8">
        <v>0.24176262031139101</v>
      </c>
      <c r="H13" s="8">
        <v>0.277019103928621</v>
      </c>
      <c r="I13" s="8">
        <v>4.2393587401413302E-2</v>
      </c>
      <c r="J13" s="8">
        <v>4.2393587401413302E-2</v>
      </c>
      <c r="K13" s="8">
        <v>4.2393587401413302E-2</v>
      </c>
      <c r="L13" s="8">
        <v>6.4650751267419102E-4</v>
      </c>
      <c r="M13" s="8">
        <v>5.6570185097829797E-4</v>
      </c>
      <c r="N13" s="8">
        <v>5.6570185097829797E-4</v>
      </c>
      <c r="O13" s="8">
        <v>1.5684611932196801E-4</v>
      </c>
      <c r="P13" s="8">
        <v>1.5719675002691199E-4</v>
      </c>
      <c r="Q13" s="8">
        <v>1.5719675002691199E-4</v>
      </c>
      <c r="R13" s="8">
        <v>1.5719675002691199E-4</v>
      </c>
      <c r="S13" s="8">
        <v>1.3326553117918501E-4</v>
      </c>
      <c r="T13" s="8">
        <v>1.12791110348223E-4</v>
      </c>
      <c r="U13" s="8">
        <v>1.12791110348223E-4</v>
      </c>
      <c r="V13" s="8">
        <v>7.6630476473903494E-5</v>
      </c>
      <c r="W13" s="8">
        <v>8.2947727434984797E-5</v>
      </c>
      <c r="X13" s="8">
        <v>8.2947727434984797E-5</v>
      </c>
      <c r="Y13" s="8">
        <v>1.6528029203272401E-5</v>
      </c>
      <c r="Z13" s="8">
        <v>1.7170265851492401E-5</v>
      </c>
      <c r="AA13" s="8">
        <v>1.7170265851492401E-5</v>
      </c>
      <c r="AB13" s="8">
        <v>6.9245323885375298E-2</v>
      </c>
      <c r="AC13" s="8">
        <v>15.9060317725597</v>
      </c>
      <c r="AD13" s="8">
        <v>24.876181331615999</v>
      </c>
      <c r="AE13" s="8">
        <v>22.834200251270101</v>
      </c>
      <c r="AF13" s="8">
        <v>0.47071319085088498</v>
      </c>
      <c r="AG13" s="8">
        <v>4.1859444787708998E-2</v>
      </c>
      <c r="AH13" s="8">
        <v>4.1859444787708998E-2</v>
      </c>
      <c r="AI13" s="8">
        <v>4.1859444787708998E-2</v>
      </c>
      <c r="AJ13" s="8">
        <v>3.8572563875063199E-3</v>
      </c>
      <c r="AK13" s="8">
        <v>3.8572563875063199E-3</v>
      </c>
      <c r="AL13" s="8">
        <v>3.8572563875063199E-3</v>
      </c>
      <c r="AM13" s="8">
        <v>3.8572563875063199E-3</v>
      </c>
      <c r="AN13" s="8">
        <v>5.6851979246083803E-2</v>
      </c>
      <c r="AO13" s="8">
        <v>3.8672776995626501E-3</v>
      </c>
      <c r="AP13" s="8">
        <v>5.8229240378677299E-4</v>
      </c>
      <c r="AQ13" s="8">
        <v>2.8442614953008301E-3</v>
      </c>
      <c r="AR13" s="8">
        <v>1.1526139177487999E-2</v>
      </c>
      <c r="AS13" s="8">
        <v>1.1526139177487999E-2</v>
      </c>
      <c r="AT13" s="8">
        <v>1.14721852608504E-2</v>
      </c>
      <c r="AU13" s="8">
        <v>1.14721852608504E-2</v>
      </c>
      <c r="AV13" s="8">
        <v>2.1755538767601E-4</v>
      </c>
      <c r="AW13" s="8">
        <v>7.1283616384324204E-3</v>
      </c>
      <c r="AX13" s="8">
        <v>1.0614703427235601E-2</v>
      </c>
      <c r="AY13" s="8">
        <v>4.2305331973588401E-3</v>
      </c>
      <c r="AZ13" s="8">
        <v>2.7928411654406401E-2</v>
      </c>
      <c r="BA13" s="8">
        <v>3.6049249947453302E-3</v>
      </c>
      <c r="BB13" s="8">
        <v>3.8692665574711502E-2</v>
      </c>
      <c r="BC13" s="8">
        <v>5.4979773546007401E-4</v>
      </c>
      <c r="BD13" s="8">
        <v>5.9183974770155002E-4</v>
      </c>
      <c r="BE13" s="8">
        <v>2.8795382801280198E-3</v>
      </c>
      <c r="BF13" s="8">
        <v>3.42744930862084E-4</v>
      </c>
      <c r="BG13" s="8">
        <v>8.6940915264965097E-4</v>
      </c>
      <c r="BH13" s="8">
        <v>5.4873850734360801E-3</v>
      </c>
      <c r="BI13" s="8">
        <v>1.59691360406597E-5</v>
      </c>
      <c r="BJ13" s="8">
        <v>3.9133502431106898E-4</v>
      </c>
      <c r="BK13" s="8">
        <v>0.12554590450922601</v>
      </c>
      <c r="BL13" s="8">
        <v>0</v>
      </c>
      <c r="BM13" s="8">
        <v>0.106229910739532</v>
      </c>
      <c r="BN13" s="8">
        <v>2.4919240799609601E-3</v>
      </c>
      <c r="BO13" s="8">
        <v>8.67112120575122E-4</v>
      </c>
      <c r="BP13" s="8">
        <v>0</v>
      </c>
      <c r="BQ13" s="8">
        <v>1.1953102202104E-2</v>
      </c>
      <c r="BR13" s="8">
        <v>4.66355941154806E-2</v>
      </c>
      <c r="BS13" s="8">
        <v>1.2282471800540299E-4</v>
      </c>
      <c r="BT13" s="8">
        <v>2.2101804143059101E-5</v>
      </c>
      <c r="BU13" s="8">
        <v>2.2041355848037399E-5</v>
      </c>
      <c r="BV13" s="8">
        <v>1.92091108439658E-5</v>
      </c>
      <c r="BW13" s="8">
        <v>4.0318685763870397E-3</v>
      </c>
      <c r="BX13" s="8">
        <v>2.3404443117969301E-2</v>
      </c>
      <c r="BY13" s="8">
        <v>3.7849910181499999E-3</v>
      </c>
      <c r="BZ13" s="8">
        <v>6.9730237698681793E-2</v>
      </c>
      <c r="CA13" s="8">
        <v>24.824775191287301</v>
      </c>
      <c r="CB13" s="8">
        <v>5.1238633444813404E-3</v>
      </c>
      <c r="CC13" s="9">
        <v>0.165830765875979</v>
      </c>
      <c r="CD13" s="6">
        <v>0</v>
      </c>
    </row>
    <row r="14" spans="2:82" x14ac:dyDescent="0.15">
      <c r="B14" s="7" t="s">
        <v>16</v>
      </c>
      <c r="C14" s="8">
        <v>0.365451272755343</v>
      </c>
      <c r="D14" s="8">
        <v>0.365451272755343</v>
      </c>
      <c r="E14" s="8">
        <v>8.8749783279156599E-2</v>
      </c>
      <c r="F14" s="8">
        <v>8.8749783279156599E-2</v>
      </c>
      <c r="G14" s="8">
        <v>0.32146420954315402</v>
      </c>
      <c r="H14" s="8">
        <v>0.12166786668565099</v>
      </c>
      <c r="I14" s="8">
        <v>4.5725739652276998E-2</v>
      </c>
      <c r="J14" s="8">
        <v>4.5725739652276998E-2</v>
      </c>
      <c r="K14" s="8">
        <v>4.5725739652276998E-2</v>
      </c>
      <c r="L14" s="8">
        <v>8.2273417101142202E-4</v>
      </c>
      <c r="M14" s="8">
        <v>8.4937870012142505E-4</v>
      </c>
      <c r="N14" s="8">
        <v>8.4952509628796204E-4</v>
      </c>
      <c r="O14" s="8">
        <v>2.7628679776227799E-4</v>
      </c>
      <c r="P14" s="8">
        <v>1.49159819782531E-4</v>
      </c>
      <c r="Q14" s="8">
        <v>1.49159819782531E-4</v>
      </c>
      <c r="R14" s="8">
        <v>1.49159819782531E-4</v>
      </c>
      <c r="S14" s="8">
        <v>1.3400388624275201E-4</v>
      </c>
      <c r="T14" s="8">
        <v>1.72352257765982E-4</v>
      </c>
      <c r="U14" s="8">
        <v>1.72352257765982E-4</v>
      </c>
      <c r="V14" s="8">
        <v>1.0132187575394601E-4</v>
      </c>
      <c r="W14" s="8">
        <v>9.3566685862402305E-5</v>
      </c>
      <c r="X14" s="8">
        <v>9.3566685862402305E-5</v>
      </c>
      <c r="Y14" s="8">
        <v>3.10345606261844E-5</v>
      </c>
      <c r="Z14" s="8">
        <v>3.4226542761932201E-5</v>
      </c>
      <c r="AA14" s="8">
        <v>2.4354145400035098E-5</v>
      </c>
      <c r="AB14" s="8">
        <v>2.5842593183242599E-2</v>
      </c>
      <c r="AC14" s="8">
        <v>0.47547426813856902</v>
      </c>
      <c r="AD14" s="8">
        <v>0.47547426813856902</v>
      </c>
      <c r="AE14" s="8">
        <v>0.47547426813856902</v>
      </c>
      <c r="AF14" s="8">
        <v>21.686318376262001</v>
      </c>
      <c r="AG14" s="8">
        <v>4.8776393996276403E-2</v>
      </c>
      <c r="AH14" s="8">
        <v>4.8776393996276403E-2</v>
      </c>
      <c r="AI14" s="8">
        <v>4.8776393996276403E-2</v>
      </c>
      <c r="AJ14" s="8">
        <v>5.8489502669726197E-3</v>
      </c>
      <c r="AK14" s="8">
        <v>5.8489502669726197E-3</v>
      </c>
      <c r="AL14" s="8">
        <v>5.8489502669726197E-3</v>
      </c>
      <c r="AM14" s="8">
        <v>5.8489502669726197E-3</v>
      </c>
      <c r="AN14" s="8">
        <v>6.3783676937782904E-2</v>
      </c>
      <c r="AO14" s="8">
        <v>5.6942560568023302E-3</v>
      </c>
      <c r="AP14" s="8">
        <v>6.9934794181287596E-4</v>
      </c>
      <c r="AQ14" s="8">
        <v>1.40528466022502E-3</v>
      </c>
      <c r="AR14" s="8">
        <v>8.0316810212827695E-3</v>
      </c>
      <c r="AS14" s="8">
        <v>8.0316810212827695E-3</v>
      </c>
      <c r="AT14" s="8">
        <v>8.9006048263669292E-3</v>
      </c>
      <c r="AU14" s="8">
        <v>8.9006048263669292E-3</v>
      </c>
      <c r="AV14" s="8">
        <v>3.4132029782280699E-4</v>
      </c>
      <c r="AW14" s="8">
        <v>6.5031465603891002E-3</v>
      </c>
      <c r="AX14" s="8">
        <v>9.0782146223305094E-3</v>
      </c>
      <c r="AY14" s="8">
        <v>3.4755765852633701E-3</v>
      </c>
      <c r="AZ14" s="8">
        <v>1.18096476872173E-2</v>
      </c>
      <c r="BA14" s="8">
        <v>5.5924454059737396E-3</v>
      </c>
      <c r="BB14" s="8">
        <v>1.51435876215813E-2</v>
      </c>
      <c r="BC14" s="8">
        <v>9.0539715598174299E-4</v>
      </c>
      <c r="BD14" s="8">
        <v>7.4473749268455904E-4</v>
      </c>
      <c r="BE14" s="8">
        <v>4.1669421117927199E-3</v>
      </c>
      <c r="BF14" s="8">
        <v>5.1439583690513705E-4</v>
      </c>
      <c r="BG14" s="8">
        <v>1.38127523710836E-3</v>
      </c>
      <c r="BH14" s="8">
        <v>6.8665931363619702E-3</v>
      </c>
      <c r="BI14" s="8">
        <v>2.1539641684750899E-5</v>
      </c>
      <c r="BJ14" s="8">
        <v>4.7784196247764598E-4</v>
      </c>
      <c r="BK14" s="8">
        <v>3.1050321894291799E-2</v>
      </c>
      <c r="BL14" s="8">
        <v>0</v>
      </c>
      <c r="BM14" s="8">
        <v>0.16584656675586701</v>
      </c>
      <c r="BN14" s="8">
        <v>2.9474091637965699E-3</v>
      </c>
      <c r="BO14" s="8">
        <v>1.0627544821350599E-3</v>
      </c>
      <c r="BP14" s="8">
        <v>0</v>
      </c>
      <c r="BQ14" s="8">
        <v>1.8493870732559099E-2</v>
      </c>
      <c r="BR14" s="8">
        <v>8.3022087657857999E-2</v>
      </c>
      <c r="BS14" s="8">
        <v>1.6983256306220799E-4</v>
      </c>
      <c r="BT14" s="8">
        <v>3.31376324415037E-5</v>
      </c>
      <c r="BU14" s="8">
        <v>1.2587642358882701E-5</v>
      </c>
      <c r="BV14" s="8">
        <v>2.71769435743339E-5</v>
      </c>
      <c r="BW14" s="8">
        <v>3.84693680226557E-3</v>
      </c>
      <c r="BX14" s="8">
        <v>2.69347155486909E-2</v>
      </c>
      <c r="BY14" s="8">
        <v>5.9828584666819402E-3</v>
      </c>
      <c r="BZ14" s="8">
        <v>0.47547426813856902</v>
      </c>
      <c r="CA14" s="8">
        <v>0.47547426813856902</v>
      </c>
      <c r="CB14" s="8">
        <v>7.2806350876505003E-3</v>
      </c>
      <c r="CC14" s="9">
        <v>1.0387466296716301E-2</v>
      </c>
      <c r="CD14" s="6">
        <v>0</v>
      </c>
    </row>
    <row r="15" spans="2:82" x14ac:dyDescent="0.15">
      <c r="B15" s="7" t="s">
        <v>4</v>
      </c>
      <c r="C15" s="8">
        <v>3.7248850635002301E-3</v>
      </c>
      <c r="D15" s="8">
        <v>3.7248850635002301E-3</v>
      </c>
      <c r="E15" s="8">
        <v>3.0300773043422202E-3</v>
      </c>
      <c r="F15" s="8">
        <v>3.0300773043422202E-3</v>
      </c>
      <c r="G15" s="8">
        <v>3.9210448175162399E-3</v>
      </c>
      <c r="H15" s="8">
        <v>3.1659230772807401E-3</v>
      </c>
      <c r="I15" s="8">
        <v>0.120406178935866</v>
      </c>
      <c r="J15" s="8">
        <v>0.120406178935866</v>
      </c>
      <c r="K15" s="8">
        <v>0.120406178935866</v>
      </c>
      <c r="L15" s="8">
        <v>8.2494994522226903E-3</v>
      </c>
      <c r="M15" s="8">
        <v>6.5972782658916401E-3</v>
      </c>
      <c r="N15" s="8">
        <v>6.5972782658916401E-3</v>
      </c>
      <c r="O15" s="8">
        <v>1.6217445918453399E-3</v>
      </c>
      <c r="P15" s="8">
        <v>1.34703625928978E-3</v>
      </c>
      <c r="Q15" s="8">
        <v>1.34703625928978E-3</v>
      </c>
      <c r="R15" s="8">
        <v>1.34703625928978E-3</v>
      </c>
      <c r="S15" s="8">
        <v>9.20557051255803E-4</v>
      </c>
      <c r="T15" s="8">
        <v>8.9253030450538705E-4</v>
      </c>
      <c r="U15" s="8">
        <v>8.9253030450538705E-4</v>
      </c>
      <c r="V15" s="8">
        <v>6.9289506030775598E-4</v>
      </c>
      <c r="W15" s="8">
        <v>6.7139747570295002E-4</v>
      </c>
      <c r="X15" s="8">
        <v>6.7139747570295002E-4</v>
      </c>
      <c r="Y15" s="8">
        <v>1.97323438613363E-4</v>
      </c>
      <c r="Z15" s="8">
        <v>1.56660744340942E-4</v>
      </c>
      <c r="AA15" s="8">
        <v>1.56660744340942E-4</v>
      </c>
      <c r="AB15" s="8">
        <v>1.75228764527185E-3</v>
      </c>
      <c r="AC15" s="8">
        <v>4.3312718724321702E-3</v>
      </c>
      <c r="AD15" s="8">
        <v>4.3312718724321702E-3</v>
      </c>
      <c r="AE15" s="8">
        <v>4.3312718724321702E-3</v>
      </c>
      <c r="AF15" s="8">
        <v>6.0685596240938602E-3</v>
      </c>
      <c r="AG15" s="8">
        <v>29.797205257498401</v>
      </c>
      <c r="AH15" s="8">
        <v>36.612999415731601</v>
      </c>
      <c r="AI15" s="8">
        <v>30.572259818648401</v>
      </c>
      <c r="AJ15" s="8">
        <v>0.31222573524855002</v>
      </c>
      <c r="AK15" s="8">
        <v>8.7582609398672698E-2</v>
      </c>
      <c r="AL15" s="8">
        <v>8.7582609398672698E-2</v>
      </c>
      <c r="AM15" s="8">
        <v>8.6723433915663201E-2</v>
      </c>
      <c r="AN15" s="8">
        <v>0.62977035363648304</v>
      </c>
      <c r="AO15" s="8">
        <v>9.21230975568684E-2</v>
      </c>
      <c r="AP15" s="8">
        <v>7.7623458398021804E-3</v>
      </c>
      <c r="AQ15" s="8">
        <v>2.64687793548384E-2</v>
      </c>
      <c r="AR15" s="8">
        <v>6.1193368182962801E-3</v>
      </c>
      <c r="AS15" s="8">
        <v>6.1193368182962801E-3</v>
      </c>
      <c r="AT15" s="8">
        <v>4.8219881617171997E-3</v>
      </c>
      <c r="AU15" s="8">
        <v>4.8219881617171997E-3</v>
      </c>
      <c r="AV15" s="8">
        <v>1.2045637082405301E-3</v>
      </c>
      <c r="AW15" s="8">
        <v>7.6428186554274398E-3</v>
      </c>
      <c r="AX15" s="8">
        <v>1.42323144656151E-2</v>
      </c>
      <c r="AY15" s="8">
        <v>3.5669433756987E-3</v>
      </c>
      <c r="AZ15" s="8">
        <v>9.8215037367727098E-4</v>
      </c>
      <c r="BA15" s="8">
        <v>1.4117457501507899E-2</v>
      </c>
      <c r="BB15" s="8">
        <v>1.3264374578621299E-3</v>
      </c>
      <c r="BC15" s="8">
        <v>6.1528587884744097E-3</v>
      </c>
      <c r="BD15" s="8">
        <v>6.0573607135724601E-3</v>
      </c>
      <c r="BE15" s="8">
        <v>0.10490528319630101</v>
      </c>
      <c r="BF15" s="8">
        <v>3.7089242136079102E-3</v>
      </c>
      <c r="BG15" s="8">
        <v>9.9576087572256708E-3</v>
      </c>
      <c r="BH15" s="8">
        <v>1.89885412587611E-2</v>
      </c>
      <c r="BI15" s="8">
        <v>1.4586557703902701E-4</v>
      </c>
      <c r="BJ15" s="8">
        <v>3.7505144443757501E-3</v>
      </c>
      <c r="BK15" s="8">
        <v>1.6541068962958401E-3</v>
      </c>
      <c r="BL15" s="8">
        <v>0</v>
      </c>
      <c r="BM15" s="8">
        <v>3.5769889787737401E-3</v>
      </c>
      <c r="BN15" s="8">
        <v>2.5907205516450199E-3</v>
      </c>
      <c r="BO15" s="8">
        <v>1.07215584843895E-2</v>
      </c>
      <c r="BP15" s="8">
        <v>0</v>
      </c>
      <c r="BQ15" s="8">
        <v>4.96529871810409E-2</v>
      </c>
      <c r="BR15" s="8">
        <v>1.7279032603990899E-2</v>
      </c>
      <c r="BS15" s="8">
        <v>1.3716797910328601E-3</v>
      </c>
      <c r="BT15" s="8">
        <v>1.5141600067067801E-4</v>
      </c>
      <c r="BU15" s="8">
        <v>1.6362689465448401E-4</v>
      </c>
      <c r="BV15" s="8">
        <v>1.2592711621772499E-4</v>
      </c>
      <c r="BW15" s="8">
        <v>3.6641096140790901E-3</v>
      </c>
      <c r="BX15" s="8">
        <v>4.6934502608350498E-3</v>
      </c>
      <c r="BY15" s="8">
        <v>4.0415387201974597E-3</v>
      </c>
      <c r="BZ15" s="8">
        <v>4.3312718724321702E-3</v>
      </c>
      <c r="CA15" s="8">
        <v>4.3312718724321702E-3</v>
      </c>
      <c r="CB15" s="8">
        <v>0.58110770341670503</v>
      </c>
      <c r="CC15" s="9">
        <v>0.367925376548912</v>
      </c>
      <c r="CD15" s="6">
        <v>0</v>
      </c>
    </row>
    <row r="16" spans="2:82" x14ac:dyDescent="0.15">
      <c r="B16" s="7" t="s">
        <v>5</v>
      </c>
      <c r="C16" s="8">
        <v>3.7248850635002301E-3</v>
      </c>
      <c r="D16" s="8">
        <v>3.7248850635002301E-3</v>
      </c>
      <c r="E16" s="8">
        <v>3.0300773043422202E-3</v>
      </c>
      <c r="F16" s="8">
        <v>3.0300773043422202E-3</v>
      </c>
      <c r="G16" s="8">
        <v>3.9210448175162399E-3</v>
      </c>
      <c r="H16" s="8">
        <v>3.1659230772807401E-3</v>
      </c>
      <c r="I16" s="8">
        <v>0.120406178935866</v>
      </c>
      <c r="J16" s="8">
        <v>0.120406178935866</v>
      </c>
      <c r="K16" s="8">
        <v>0.120406178935866</v>
      </c>
      <c r="L16" s="8">
        <v>8.2494994522226903E-3</v>
      </c>
      <c r="M16" s="8">
        <v>6.5972782658916401E-3</v>
      </c>
      <c r="N16" s="8">
        <v>6.5972782658916401E-3</v>
      </c>
      <c r="O16" s="8">
        <v>1.6217445918453399E-3</v>
      </c>
      <c r="P16" s="8">
        <v>1.34703625928978E-3</v>
      </c>
      <c r="Q16" s="8">
        <v>1.34703625928978E-3</v>
      </c>
      <c r="R16" s="8">
        <v>1.34703625928978E-3</v>
      </c>
      <c r="S16" s="8">
        <v>9.20557051255803E-4</v>
      </c>
      <c r="T16" s="8">
        <v>8.9253030450538705E-4</v>
      </c>
      <c r="U16" s="8">
        <v>8.9253030450538705E-4</v>
      </c>
      <c r="V16" s="8">
        <v>6.9289506030775598E-4</v>
      </c>
      <c r="W16" s="8">
        <v>6.7139747570295002E-4</v>
      </c>
      <c r="X16" s="8">
        <v>6.7139747570295002E-4</v>
      </c>
      <c r="Y16" s="8">
        <v>1.97323438613363E-4</v>
      </c>
      <c r="Z16" s="8">
        <v>1.56660744340942E-4</v>
      </c>
      <c r="AA16" s="8">
        <v>1.56660744340942E-4</v>
      </c>
      <c r="AB16" s="8">
        <v>1.75228764527185E-3</v>
      </c>
      <c r="AC16" s="8">
        <v>4.3312718724321702E-3</v>
      </c>
      <c r="AD16" s="8">
        <v>4.3312718724321702E-3</v>
      </c>
      <c r="AE16" s="8">
        <v>4.3312718724321702E-3</v>
      </c>
      <c r="AF16" s="8">
        <v>6.0685596240938602E-3</v>
      </c>
      <c r="AG16" s="8">
        <v>36.7506600568137</v>
      </c>
      <c r="AH16" s="8">
        <v>38.734237898080004</v>
      </c>
      <c r="AI16" s="8">
        <v>27.9913116307984</v>
      </c>
      <c r="AJ16" s="8">
        <v>0.31222573524855002</v>
      </c>
      <c r="AK16" s="8">
        <v>8.7582609398672698E-2</v>
      </c>
      <c r="AL16" s="8">
        <v>8.7582609398672698E-2</v>
      </c>
      <c r="AM16" s="8">
        <v>8.60989552143899E-2</v>
      </c>
      <c r="AN16" s="8">
        <v>0.62977035363648304</v>
      </c>
      <c r="AO16" s="8">
        <v>9.21230975568684E-2</v>
      </c>
      <c r="AP16" s="8">
        <v>7.7623458398021804E-3</v>
      </c>
      <c r="AQ16" s="8">
        <v>2.64687793548384E-2</v>
      </c>
      <c r="AR16" s="8">
        <v>6.1193368182962801E-3</v>
      </c>
      <c r="AS16" s="8">
        <v>6.1193368182962801E-3</v>
      </c>
      <c r="AT16" s="8">
        <v>4.8219881617171997E-3</v>
      </c>
      <c r="AU16" s="8">
        <v>4.8219881617171997E-3</v>
      </c>
      <c r="AV16" s="8">
        <v>1.2045637082405301E-3</v>
      </c>
      <c r="AW16" s="8">
        <v>7.6428186554274398E-3</v>
      </c>
      <c r="AX16" s="8">
        <v>1.42323144656151E-2</v>
      </c>
      <c r="AY16" s="8">
        <v>3.5669433756987E-3</v>
      </c>
      <c r="AZ16" s="8">
        <v>9.8215037367727098E-4</v>
      </c>
      <c r="BA16" s="8">
        <v>1.4117457501507899E-2</v>
      </c>
      <c r="BB16" s="8">
        <v>1.3264374578621299E-3</v>
      </c>
      <c r="BC16" s="8">
        <v>6.1528587884744097E-3</v>
      </c>
      <c r="BD16" s="8">
        <v>6.0573607135724601E-3</v>
      </c>
      <c r="BE16" s="8">
        <v>0.10490528319630101</v>
      </c>
      <c r="BF16" s="8">
        <v>3.7089242136079102E-3</v>
      </c>
      <c r="BG16" s="8">
        <v>9.9576087572256708E-3</v>
      </c>
      <c r="BH16" s="8">
        <v>1.89885412587611E-2</v>
      </c>
      <c r="BI16" s="8">
        <v>1.4586557703902701E-4</v>
      </c>
      <c r="BJ16" s="8">
        <v>3.7505144443757501E-3</v>
      </c>
      <c r="BK16" s="8">
        <v>1.6541068962958401E-3</v>
      </c>
      <c r="BL16" s="8">
        <v>0</v>
      </c>
      <c r="BM16" s="8">
        <v>3.5769889787737401E-3</v>
      </c>
      <c r="BN16" s="8">
        <v>2.5907205516450199E-3</v>
      </c>
      <c r="BO16" s="8">
        <v>1.07215584843895E-2</v>
      </c>
      <c r="BP16" s="8">
        <v>0</v>
      </c>
      <c r="BQ16" s="8">
        <v>4.96529871810409E-2</v>
      </c>
      <c r="BR16" s="8">
        <v>1.7279032603990899E-2</v>
      </c>
      <c r="BS16" s="8">
        <v>1.3716797910328601E-3</v>
      </c>
      <c r="BT16" s="8">
        <v>1.5141600067067801E-4</v>
      </c>
      <c r="BU16" s="8">
        <v>1.6362689465448401E-4</v>
      </c>
      <c r="BV16" s="8">
        <v>1.2592711621772499E-4</v>
      </c>
      <c r="BW16" s="8">
        <v>3.6641096140790901E-3</v>
      </c>
      <c r="BX16" s="8">
        <v>4.6934502608350498E-3</v>
      </c>
      <c r="BY16" s="8">
        <v>4.0415387201974597E-3</v>
      </c>
      <c r="BZ16" s="8">
        <v>4.3312718724321702E-3</v>
      </c>
      <c r="CA16" s="8">
        <v>4.3312718724321702E-3</v>
      </c>
      <c r="CB16" s="8">
        <v>0.576831177494042</v>
      </c>
      <c r="CC16" s="9">
        <v>0.40211564457208498</v>
      </c>
      <c r="CD16" s="6">
        <v>0</v>
      </c>
    </row>
    <row r="17" spans="2:82" x14ac:dyDescent="0.15">
      <c r="B17" s="7" t="s">
        <v>6</v>
      </c>
      <c r="C17" s="8">
        <v>3.6996380866141398E-3</v>
      </c>
      <c r="D17" s="8">
        <v>3.6996380866141398E-3</v>
      </c>
      <c r="E17" s="8">
        <v>3.1882345028178098E-3</v>
      </c>
      <c r="F17" s="8">
        <v>3.1882345028178098E-3</v>
      </c>
      <c r="G17" s="8">
        <v>3.81513062594231E-3</v>
      </c>
      <c r="H17" s="8">
        <v>3.0908585692157198E-3</v>
      </c>
      <c r="I17" s="8">
        <v>3.4476369526855503E-2</v>
      </c>
      <c r="J17" s="8">
        <v>3.4476369526855503E-2</v>
      </c>
      <c r="K17" s="8">
        <v>3.4476369526855503E-2</v>
      </c>
      <c r="L17" s="8">
        <v>1.21929477926034E-2</v>
      </c>
      <c r="M17" s="8">
        <v>1.02161825672585E-2</v>
      </c>
      <c r="N17" s="8">
        <v>1.02161825672585E-2</v>
      </c>
      <c r="O17" s="8">
        <v>2.0982387174129698E-3</v>
      </c>
      <c r="P17" s="8">
        <v>1.7063583352715901E-3</v>
      </c>
      <c r="Q17" s="8">
        <v>1.7063583352715901E-3</v>
      </c>
      <c r="R17" s="8">
        <v>1.7063583352715901E-3</v>
      </c>
      <c r="S17" s="8">
        <v>1.0965819495237E-3</v>
      </c>
      <c r="T17" s="8">
        <v>1.1092562256099401E-3</v>
      </c>
      <c r="U17" s="8">
        <v>1.1092562256099401E-3</v>
      </c>
      <c r="V17" s="8">
        <v>8.9496413274352705E-4</v>
      </c>
      <c r="W17" s="8">
        <v>8.6743266181159295E-4</v>
      </c>
      <c r="X17" s="8">
        <v>8.6743266181159295E-4</v>
      </c>
      <c r="Y17" s="8">
        <v>2.38556937844749E-4</v>
      </c>
      <c r="Z17" s="8">
        <v>2.0434888718403799E-4</v>
      </c>
      <c r="AA17" s="8">
        <v>2.0434888718403799E-4</v>
      </c>
      <c r="AB17" s="8">
        <v>1.94997383282531E-3</v>
      </c>
      <c r="AC17" s="8">
        <v>3.9081593413789499E-3</v>
      </c>
      <c r="AD17" s="8">
        <v>3.9081593413789499E-3</v>
      </c>
      <c r="AE17" s="8">
        <v>3.9081593413789499E-3</v>
      </c>
      <c r="AF17" s="8">
        <v>5.7414112426264303E-3</v>
      </c>
      <c r="AG17" s="8">
        <v>6.2060671374184501E-2</v>
      </c>
      <c r="AH17" s="8">
        <v>6.2060671374184501E-2</v>
      </c>
      <c r="AI17" s="8">
        <v>6.2060671374184501E-2</v>
      </c>
      <c r="AJ17" s="8">
        <v>4.4595919089695002</v>
      </c>
      <c r="AK17" s="8">
        <v>4.9117704430529301</v>
      </c>
      <c r="AL17" s="8">
        <v>3.71082941238646</v>
      </c>
      <c r="AM17" s="8">
        <v>0.255642157461692</v>
      </c>
      <c r="AN17" s="8">
        <v>4.8603752776317802E-2</v>
      </c>
      <c r="AO17" s="8">
        <v>0.31498052460985598</v>
      </c>
      <c r="AP17" s="8">
        <v>9.8644536482152701E-3</v>
      </c>
      <c r="AQ17" s="8">
        <v>2.64687793548384E-2</v>
      </c>
      <c r="AR17" s="8">
        <v>5.8173659006236699E-3</v>
      </c>
      <c r="AS17" s="8">
        <v>5.8173659006236699E-3</v>
      </c>
      <c r="AT17" s="8">
        <v>4.5942152191425197E-3</v>
      </c>
      <c r="AU17" s="8">
        <v>4.5942152191425197E-3</v>
      </c>
      <c r="AV17" s="8">
        <v>1.42465683635221E-3</v>
      </c>
      <c r="AW17" s="8">
        <v>7.0742000922672799E-3</v>
      </c>
      <c r="AX17" s="8">
        <v>1.2811614355883899E-2</v>
      </c>
      <c r="AY17" s="8">
        <v>3.3867404455190601E-3</v>
      </c>
      <c r="AZ17" s="8">
        <v>9.7979241254346591E-4</v>
      </c>
      <c r="BA17" s="8">
        <v>1.7875526210257099E-2</v>
      </c>
      <c r="BB17" s="8">
        <v>1.4950836260666899E-3</v>
      </c>
      <c r="BC17" s="8">
        <v>8.06669014474223E-3</v>
      </c>
      <c r="BD17" s="8">
        <v>8.1150599233221696E-3</v>
      </c>
      <c r="BE17" s="8">
        <v>4.4170421399051002E-2</v>
      </c>
      <c r="BF17" s="8">
        <v>5.0092596981429101E-3</v>
      </c>
      <c r="BG17" s="8">
        <v>1.51301721603275E-2</v>
      </c>
      <c r="BH17" s="8">
        <v>1.14936825191963E-2</v>
      </c>
      <c r="BI17" s="8">
        <v>1.8579922167778E-4</v>
      </c>
      <c r="BJ17" s="8">
        <v>4.8175905721300396E-3</v>
      </c>
      <c r="BK17" s="8">
        <v>1.566590405915E-3</v>
      </c>
      <c r="BL17" s="8">
        <v>0</v>
      </c>
      <c r="BM17" s="8">
        <v>3.5589614597023298E-3</v>
      </c>
      <c r="BN17" s="8">
        <v>2.8730834525468999E-3</v>
      </c>
      <c r="BO17" s="8">
        <v>1.7538089686689701E-2</v>
      </c>
      <c r="BP17" s="8">
        <v>0</v>
      </c>
      <c r="BQ17" s="8">
        <v>3.56818368513536E-2</v>
      </c>
      <c r="BR17" s="8">
        <v>1.5888726809981199E-2</v>
      </c>
      <c r="BS17" s="8">
        <v>1.65598776938158E-3</v>
      </c>
      <c r="BT17" s="8">
        <v>1.7794316423070899E-4</v>
      </c>
      <c r="BU17" s="8">
        <v>1.94720218757012E-4</v>
      </c>
      <c r="BV17" s="8">
        <v>1.83555945078711E-4</v>
      </c>
      <c r="BW17" s="8">
        <v>3.5923770401156199E-3</v>
      </c>
      <c r="BX17" s="8">
        <v>4.9261732619250197E-3</v>
      </c>
      <c r="BY17" s="8">
        <v>4.4199053313599603E-3</v>
      </c>
      <c r="BZ17" s="8">
        <v>3.9081593413789499E-3</v>
      </c>
      <c r="CA17" s="8">
        <v>3.9081593413789499E-3</v>
      </c>
      <c r="CB17" s="8">
        <v>0.33240811627146499</v>
      </c>
      <c r="CC17" s="9">
        <v>0.30789815191386899</v>
      </c>
      <c r="CD17" s="6">
        <v>0</v>
      </c>
    </row>
    <row r="18" spans="2:82" x14ac:dyDescent="0.15">
      <c r="B18" s="7" t="s">
        <v>1</v>
      </c>
      <c r="C18" s="8">
        <v>3.6996380866141398E-3</v>
      </c>
      <c r="D18" s="8">
        <v>3.6996380866141398E-3</v>
      </c>
      <c r="E18" s="8">
        <v>3.1882345028178098E-3</v>
      </c>
      <c r="F18" s="8">
        <v>3.1882345028178098E-3</v>
      </c>
      <c r="G18" s="8">
        <v>3.81513062594231E-3</v>
      </c>
      <c r="H18" s="8">
        <v>3.0908585692157198E-3</v>
      </c>
      <c r="I18" s="8">
        <v>3.4476369526855503E-2</v>
      </c>
      <c r="J18" s="8">
        <v>3.4476369526855503E-2</v>
      </c>
      <c r="K18" s="8">
        <v>3.4476369526855503E-2</v>
      </c>
      <c r="L18" s="8">
        <v>1.21929477926034E-2</v>
      </c>
      <c r="M18" s="8">
        <v>1.02161825672585E-2</v>
      </c>
      <c r="N18" s="8">
        <v>1.02161825672585E-2</v>
      </c>
      <c r="O18" s="8">
        <v>2.0982387174129698E-3</v>
      </c>
      <c r="P18" s="8">
        <v>1.7063583352715901E-3</v>
      </c>
      <c r="Q18" s="8">
        <v>1.7063583352715901E-3</v>
      </c>
      <c r="R18" s="8">
        <v>1.7063583352715901E-3</v>
      </c>
      <c r="S18" s="8">
        <v>1.0965819495237E-3</v>
      </c>
      <c r="T18" s="8">
        <v>1.1092562256099401E-3</v>
      </c>
      <c r="U18" s="8">
        <v>1.1092562256099401E-3</v>
      </c>
      <c r="V18" s="8">
        <v>8.9496413274352705E-4</v>
      </c>
      <c r="W18" s="8">
        <v>8.6743266181159295E-4</v>
      </c>
      <c r="X18" s="8">
        <v>8.6743266181159295E-4</v>
      </c>
      <c r="Y18" s="8">
        <v>2.38556937844749E-4</v>
      </c>
      <c r="Z18" s="8">
        <v>2.0434888718403799E-4</v>
      </c>
      <c r="AA18" s="8">
        <v>2.0434888718403799E-4</v>
      </c>
      <c r="AB18" s="8">
        <v>1.94997383282531E-3</v>
      </c>
      <c r="AC18" s="8">
        <v>3.9081593413789499E-3</v>
      </c>
      <c r="AD18" s="8">
        <v>3.9081593413789499E-3</v>
      </c>
      <c r="AE18" s="8">
        <v>3.9081593413789499E-3</v>
      </c>
      <c r="AF18" s="8">
        <v>5.7414112426264303E-3</v>
      </c>
      <c r="AG18" s="8">
        <v>6.2060671374184501E-2</v>
      </c>
      <c r="AH18" s="8">
        <v>6.2060671374184501E-2</v>
      </c>
      <c r="AI18" s="8">
        <v>6.2060671374184501E-2</v>
      </c>
      <c r="AJ18" s="8">
        <v>0.31222573524855002</v>
      </c>
      <c r="AK18" s="8">
        <v>0.31222573524855002</v>
      </c>
      <c r="AL18" s="8">
        <v>0.31222573524855002</v>
      </c>
      <c r="AM18" s="8">
        <v>0.32481797579273403</v>
      </c>
      <c r="AN18" s="8">
        <v>4.8603752776317802E-2</v>
      </c>
      <c r="AO18" s="8">
        <v>0.31498052460985598</v>
      </c>
      <c r="AP18" s="8">
        <v>9.8644536482152701E-3</v>
      </c>
      <c r="AQ18" s="8">
        <v>5.03175551655713E-2</v>
      </c>
      <c r="AR18" s="8">
        <v>5.8173659006236699E-3</v>
      </c>
      <c r="AS18" s="8">
        <v>5.8173659006236699E-3</v>
      </c>
      <c r="AT18" s="8">
        <v>4.5942152191425197E-3</v>
      </c>
      <c r="AU18" s="8">
        <v>4.5942152191425197E-3</v>
      </c>
      <c r="AV18" s="8">
        <v>1.42465683635221E-3</v>
      </c>
      <c r="AW18" s="8">
        <v>7.0742000922672799E-3</v>
      </c>
      <c r="AX18" s="8">
        <v>1.2811614355883899E-2</v>
      </c>
      <c r="AY18" s="8">
        <v>3.3867404455190601E-3</v>
      </c>
      <c r="AZ18" s="8">
        <v>9.7979241254346591E-4</v>
      </c>
      <c r="BA18" s="8">
        <v>1.7875526210257099E-2</v>
      </c>
      <c r="BB18" s="8">
        <v>1.4950836260666899E-3</v>
      </c>
      <c r="BC18" s="8">
        <v>8.06669014474223E-3</v>
      </c>
      <c r="BD18" s="8">
        <v>8.1150599233221696E-3</v>
      </c>
      <c r="BE18" s="8">
        <v>4.4170421399051002E-2</v>
      </c>
      <c r="BF18" s="8">
        <v>5.0092596981429101E-3</v>
      </c>
      <c r="BG18" s="8">
        <v>1.51301721603275E-2</v>
      </c>
      <c r="BH18" s="8">
        <v>1.14936825191963E-2</v>
      </c>
      <c r="BI18" s="8">
        <v>1.8579922167778E-4</v>
      </c>
      <c r="BJ18" s="8">
        <v>4.8175905721300396E-3</v>
      </c>
      <c r="BK18" s="8">
        <v>1.566590405915E-3</v>
      </c>
      <c r="BL18" s="8">
        <v>0</v>
      </c>
      <c r="BM18" s="8">
        <v>3.5589614597023298E-3</v>
      </c>
      <c r="BN18" s="8">
        <v>2.8730834525468999E-3</v>
      </c>
      <c r="BO18" s="8">
        <v>1.7538089686689701E-2</v>
      </c>
      <c r="BP18" s="8">
        <v>0</v>
      </c>
      <c r="BQ18" s="8">
        <v>3.56818368513536E-2</v>
      </c>
      <c r="BR18" s="8">
        <v>1.5888726809981199E-2</v>
      </c>
      <c r="BS18" s="8">
        <v>1.65598776938158E-3</v>
      </c>
      <c r="BT18" s="8">
        <v>1.7794316423070899E-4</v>
      </c>
      <c r="BU18" s="8">
        <v>1.94720218757012E-4</v>
      </c>
      <c r="BV18" s="8">
        <v>1.83555945078711E-4</v>
      </c>
      <c r="BW18" s="8">
        <v>3.5923770401156199E-3</v>
      </c>
      <c r="BX18" s="8">
        <v>4.9261732619250197E-3</v>
      </c>
      <c r="BY18" s="8">
        <v>4.4199053313599603E-3</v>
      </c>
      <c r="BZ18" s="8">
        <v>3.9081593413789499E-3</v>
      </c>
      <c r="CA18" s="8">
        <v>3.9081593413789499E-3</v>
      </c>
      <c r="CB18" s="8">
        <v>0.31584492795700497</v>
      </c>
      <c r="CC18" s="9">
        <v>0.31894632029974201</v>
      </c>
      <c r="CD18" s="6">
        <v>0</v>
      </c>
    </row>
    <row r="19" spans="2:82" x14ac:dyDescent="0.15">
      <c r="B19" s="7" t="s">
        <v>18</v>
      </c>
      <c r="C19" s="8">
        <v>1.55521233641883E-2</v>
      </c>
      <c r="D19" s="8">
        <v>1.55515816018451E-2</v>
      </c>
      <c r="E19" s="8">
        <v>9.8134163150978004E-3</v>
      </c>
      <c r="F19" s="8">
        <v>9.8134163150978004E-3</v>
      </c>
      <c r="G19" s="8">
        <v>1.6584041489157E-2</v>
      </c>
      <c r="H19" s="8">
        <v>1.16361825391936E-2</v>
      </c>
      <c r="I19" s="8">
        <v>0.19875108588002299</v>
      </c>
      <c r="J19" s="8">
        <v>0.19875108588002299</v>
      </c>
      <c r="K19" s="8">
        <v>0.19875108588002299</v>
      </c>
      <c r="L19" s="8">
        <v>4.2558840883846604E-3</v>
      </c>
      <c r="M19" s="8">
        <v>3.5494249227005698E-3</v>
      </c>
      <c r="N19" s="8">
        <v>3.5491891110024198E-3</v>
      </c>
      <c r="O19" s="8">
        <v>8.9779020731154096E-4</v>
      </c>
      <c r="P19" s="8">
        <v>7.6029947388325705E-4</v>
      </c>
      <c r="Q19" s="8">
        <v>7.6029947388325705E-4</v>
      </c>
      <c r="R19" s="8">
        <v>7.6029947388325705E-4</v>
      </c>
      <c r="S19" s="8">
        <v>5.6254710940499596E-4</v>
      </c>
      <c r="T19" s="8">
        <v>5.5713656616722504E-4</v>
      </c>
      <c r="U19" s="8">
        <v>5.5720566662220998E-4</v>
      </c>
      <c r="V19" s="8">
        <v>4.3448453606033703E-4</v>
      </c>
      <c r="W19" s="8">
        <v>3.5670416708580201E-4</v>
      </c>
      <c r="X19" s="8">
        <v>3.5670416708580201E-4</v>
      </c>
      <c r="Y19" s="8">
        <v>9.5658764123880799E-5</v>
      </c>
      <c r="Z19" s="8">
        <v>9.2992784193319906E-5</v>
      </c>
      <c r="AA19" s="8">
        <v>1.04556697219257E-4</v>
      </c>
      <c r="AB19" s="8">
        <v>4.3131330006515398E-3</v>
      </c>
      <c r="AC19" s="8">
        <v>5.62722972635133E-2</v>
      </c>
      <c r="AD19" s="8">
        <v>5.62722972635133E-2</v>
      </c>
      <c r="AE19" s="8">
        <v>5.62722972635133E-2</v>
      </c>
      <c r="AF19" s="8">
        <v>6.2504997427595702E-2</v>
      </c>
      <c r="AG19" s="8">
        <v>1.0223717107471999</v>
      </c>
      <c r="AH19" s="8">
        <v>1.0223717107471999</v>
      </c>
      <c r="AI19" s="8">
        <v>1.0223717107471999</v>
      </c>
      <c r="AJ19" s="8">
        <v>4.7914697519542297E-2</v>
      </c>
      <c r="AK19" s="8">
        <v>4.7914697519542297E-2</v>
      </c>
      <c r="AL19" s="8">
        <v>4.7914697519542297E-2</v>
      </c>
      <c r="AM19" s="8">
        <v>4.7914697519542297E-2</v>
      </c>
      <c r="AN19" s="8">
        <v>17.663881736212598</v>
      </c>
      <c r="AO19" s="8">
        <v>4.8528443449748597E-2</v>
      </c>
      <c r="AP19" s="8">
        <v>4.4560635012037102E-3</v>
      </c>
      <c r="AQ19" s="8">
        <v>1.6685415485429698E-2</v>
      </c>
      <c r="AR19" s="8">
        <v>6.3062093458600603E-3</v>
      </c>
      <c r="AS19" s="8">
        <v>6.3062093458600603E-3</v>
      </c>
      <c r="AT19" s="8">
        <v>5.7489829747770999E-3</v>
      </c>
      <c r="AU19" s="8">
        <v>5.7489829747770999E-3</v>
      </c>
      <c r="AV19" s="8">
        <v>8.7335487273551896E-4</v>
      </c>
      <c r="AW19" s="8">
        <v>8.2088126641167297E-3</v>
      </c>
      <c r="AX19" s="8">
        <v>1.40150692206302E-2</v>
      </c>
      <c r="AY19" s="8">
        <v>3.6356806510377E-3</v>
      </c>
      <c r="AZ19" s="8">
        <v>2.46072304009653E-3</v>
      </c>
      <c r="BA19" s="8">
        <v>1.13496911178827E-2</v>
      </c>
      <c r="BB19" s="8">
        <v>2.7501871590155302E-3</v>
      </c>
      <c r="BC19" s="8">
        <v>3.7794622229644199E-3</v>
      </c>
      <c r="BD19" s="8">
        <v>3.8704153008456798E-3</v>
      </c>
      <c r="BE19" s="8">
        <v>6.4929781090711694E-2</v>
      </c>
      <c r="BF19" s="8">
        <v>2.4375662143484001E-3</v>
      </c>
      <c r="BG19" s="8">
        <v>6.1952800703637904E-3</v>
      </c>
      <c r="BH19" s="8">
        <v>2.1458233535947498E-2</v>
      </c>
      <c r="BI19" s="8">
        <v>8.6266483404389899E-5</v>
      </c>
      <c r="BJ19" s="8">
        <v>2.1122272716850802E-3</v>
      </c>
      <c r="BK19" s="8">
        <v>5.0628234101163499E-3</v>
      </c>
      <c r="BL19" s="8">
        <v>0</v>
      </c>
      <c r="BM19" s="8">
        <v>1.4847590502018801E-2</v>
      </c>
      <c r="BN19" s="8">
        <v>2.7109468952548998E-3</v>
      </c>
      <c r="BO19" s="8">
        <v>5.5008001333012703E-3</v>
      </c>
      <c r="BP19" s="8">
        <v>0</v>
      </c>
      <c r="BQ19" s="8">
        <v>0.12214930047110301</v>
      </c>
      <c r="BR19" s="8">
        <v>0.33957120694202703</v>
      </c>
      <c r="BS19" s="8">
        <v>7.2649988473738104E-4</v>
      </c>
      <c r="BT19" s="8">
        <v>8.6157331596034995E-5</v>
      </c>
      <c r="BU19" s="8">
        <v>5.5188964803238597E-5</v>
      </c>
      <c r="BV19" s="8">
        <v>1.06481800358085E-4</v>
      </c>
      <c r="BW19" s="8">
        <v>4.3694515314106497E-3</v>
      </c>
      <c r="BX19" s="8">
        <v>7.3723985472829096E-3</v>
      </c>
      <c r="BY19" s="8">
        <v>4.5381620763635996E-3</v>
      </c>
      <c r="BZ19" s="8">
        <v>5.62722972635133E-2</v>
      </c>
      <c r="CA19" s="8">
        <v>5.62722972635133E-2</v>
      </c>
      <c r="CB19" s="8">
        <v>8.0401911412391697E-2</v>
      </c>
      <c r="CC19" s="9">
        <v>5.7811032966430101E-2</v>
      </c>
      <c r="CD19" s="6">
        <v>0</v>
      </c>
    </row>
    <row r="20" spans="2:82" x14ac:dyDescent="0.15">
      <c r="B20" s="7" t="s">
        <v>27</v>
      </c>
      <c r="C20" s="8">
        <v>8.1337158395486005E-3</v>
      </c>
      <c r="D20" s="8">
        <v>8.1337158395486005E-3</v>
      </c>
      <c r="E20" s="8">
        <v>7.8274485872731493E-3</v>
      </c>
      <c r="F20" s="8">
        <v>7.8274485872731493E-3</v>
      </c>
      <c r="G20" s="8">
        <v>8.3455618988552607E-3</v>
      </c>
      <c r="H20" s="8">
        <v>8.4248505234311693E-3</v>
      </c>
      <c r="I20" s="8">
        <v>1.8908127837980099E-2</v>
      </c>
      <c r="J20" s="8">
        <v>1.8908127837980099E-2</v>
      </c>
      <c r="K20" s="8">
        <v>1.8908127837980099E-2</v>
      </c>
      <c r="L20" s="8">
        <v>7.4731975871004299E-3</v>
      </c>
      <c r="M20" s="8">
        <v>7.3360703593474304E-3</v>
      </c>
      <c r="N20" s="8">
        <v>7.3360703593474304E-3</v>
      </c>
      <c r="O20" s="8">
        <v>1.0253081755101401E-2</v>
      </c>
      <c r="P20" s="8">
        <v>1.1733545885687599E-2</v>
      </c>
      <c r="Q20" s="8">
        <v>1.1733545885687599E-2</v>
      </c>
      <c r="R20" s="8">
        <v>1.1733545885687599E-2</v>
      </c>
      <c r="S20" s="8">
        <v>8.9139032889721994E-3</v>
      </c>
      <c r="T20" s="8">
        <v>8.9994047742594698E-3</v>
      </c>
      <c r="U20" s="8">
        <v>8.9994047742594698E-3</v>
      </c>
      <c r="V20" s="8">
        <v>8.6397981686687098E-3</v>
      </c>
      <c r="W20" s="8">
        <v>8.8413974847530805E-3</v>
      </c>
      <c r="X20" s="8">
        <v>8.8413974847530805E-3</v>
      </c>
      <c r="Y20" s="8">
        <v>1.18775556596301E-2</v>
      </c>
      <c r="Z20" s="8">
        <v>1.0826880321449499E-2</v>
      </c>
      <c r="AA20" s="8">
        <v>1.0826880321449499E-2</v>
      </c>
      <c r="AB20" s="8">
        <v>3.9321490745650401E-3</v>
      </c>
      <c r="AC20" s="8">
        <v>1.0597161802654799E-2</v>
      </c>
      <c r="AD20" s="8">
        <v>1.0597161802654799E-2</v>
      </c>
      <c r="AE20" s="8">
        <v>1.0597161802654799E-2</v>
      </c>
      <c r="AF20" s="8">
        <v>9.4426734080535393E-3</v>
      </c>
      <c r="AG20" s="8">
        <v>1.44544525175549E-2</v>
      </c>
      <c r="AH20" s="8">
        <v>1.44544525175549E-2</v>
      </c>
      <c r="AI20" s="8">
        <v>1.44544525175549E-2</v>
      </c>
      <c r="AJ20" s="8">
        <v>1.2889578991435601E-2</v>
      </c>
      <c r="AK20" s="8">
        <v>1.2889578991435601E-2</v>
      </c>
      <c r="AL20" s="8">
        <v>1.2889578991435601E-2</v>
      </c>
      <c r="AM20" s="8">
        <v>1.2889578991435601E-2</v>
      </c>
      <c r="AN20" s="8">
        <v>1.42178246845369E-2</v>
      </c>
      <c r="AO20" s="8">
        <v>1.2812631420047399E-2</v>
      </c>
      <c r="AP20" s="8">
        <v>1.8727760108869399E-2</v>
      </c>
      <c r="AQ20" s="8">
        <v>4.0813883390999998E-2</v>
      </c>
      <c r="AR20" s="8">
        <v>1.44785572203845E-2</v>
      </c>
      <c r="AS20" s="8">
        <v>1.22970525710844E-2</v>
      </c>
      <c r="AT20" s="8">
        <v>6.1860406848375897E-2</v>
      </c>
      <c r="AU20" s="8">
        <v>5.43223305724043E-2</v>
      </c>
      <c r="AV20" s="8">
        <v>1.33870158322897E-3</v>
      </c>
      <c r="AW20" s="8">
        <v>7.0585512445639001E-2</v>
      </c>
      <c r="AX20" s="8">
        <v>0.13798983329626799</v>
      </c>
      <c r="AY20" s="8">
        <v>4.9320979547822198E-2</v>
      </c>
      <c r="AZ20" s="8">
        <v>5.9173236754221804E-3</v>
      </c>
      <c r="BA20" s="8">
        <v>5.3632315883720104E-3</v>
      </c>
      <c r="BB20" s="8">
        <v>3.6270051899282099E-3</v>
      </c>
      <c r="BC20" s="8">
        <v>1.31838912926656E-2</v>
      </c>
      <c r="BD20" s="8">
        <v>1.32167265587354E-2</v>
      </c>
      <c r="BE20" s="8">
        <v>1.14114661786069E-2</v>
      </c>
      <c r="BF20" s="8">
        <v>1.0663537066662201E-2</v>
      </c>
      <c r="BG20" s="8">
        <v>9.6836877502660002E-3</v>
      </c>
      <c r="BH20" s="8">
        <v>1.07733931717341E-2</v>
      </c>
      <c r="BI20" s="8">
        <v>1.14417389668549E-2</v>
      </c>
      <c r="BJ20" s="8">
        <v>1.0019247287651399E-2</v>
      </c>
      <c r="BK20" s="8">
        <v>9.0689157078179695E-3</v>
      </c>
      <c r="BL20" s="8">
        <v>0</v>
      </c>
      <c r="BM20" s="8">
        <v>7.5082417097388499E-3</v>
      </c>
      <c r="BN20" s="8">
        <v>2.5430151643800599E-3</v>
      </c>
      <c r="BO20" s="8">
        <v>9.7130359982877806E-3</v>
      </c>
      <c r="BP20" s="8">
        <v>0</v>
      </c>
      <c r="BQ20" s="8">
        <v>1.6190785879671401E-2</v>
      </c>
      <c r="BR20" s="8">
        <v>1.1104544817538401E-2</v>
      </c>
      <c r="BS20" s="8">
        <v>2.0740563984362699E-2</v>
      </c>
      <c r="BT20" s="8">
        <v>1.02455337809966E-2</v>
      </c>
      <c r="BU20" s="8">
        <v>9.2566258232721597E-3</v>
      </c>
      <c r="BV20" s="8">
        <v>1.0702964849485E-2</v>
      </c>
      <c r="BW20" s="8">
        <v>4.2498309891010003E-3</v>
      </c>
      <c r="BX20" s="8">
        <v>2.8473209272976599E-2</v>
      </c>
      <c r="BY20" s="8">
        <v>6.0243970346513303E-3</v>
      </c>
      <c r="BZ20" s="8">
        <v>1.0597161802654799E-2</v>
      </c>
      <c r="CA20" s="8">
        <v>1.0597161802654799E-2</v>
      </c>
      <c r="CB20" s="8">
        <v>1.29417754792927E-2</v>
      </c>
      <c r="CC20" s="9">
        <v>1.28798261611116E-2</v>
      </c>
      <c r="CD20" s="6">
        <v>0</v>
      </c>
    </row>
    <row r="21" spans="2:82" x14ac:dyDescent="0.15">
      <c r="B21" s="7" t="s">
        <v>7</v>
      </c>
      <c r="C21" s="8">
        <v>7.6483140713149702E-3</v>
      </c>
      <c r="D21" s="8">
        <v>7.6483140713149702E-3</v>
      </c>
      <c r="E21" s="8">
        <v>7.6895104261127797E-3</v>
      </c>
      <c r="F21" s="8">
        <v>7.6895104261127797E-3</v>
      </c>
      <c r="G21" s="8">
        <v>7.4205760143012103E-3</v>
      </c>
      <c r="H21" s="8">
        <v>8.3505148759133903E-3</v>
      </c>
      <c r="I21" s="8">
        <v>7.3557043144941402E-3</v>
      </c>
      <c r="J21" s="8">
        <v>7.3557043144941402E-3</v>
      </c>
      <c r="K21" s="8">
        <v>7.3557043144941402E-3</v>
      </c>
      <c r="L21" s="8">
        <v>2.9753845820657899E-3</v>
      </c>
      <c r="M21" s="8">
        <v>2.9359427596750902E-3</v>
      </c>
      <c r="N21" s="8">
        <v>2.9359427596750902E-3</v>
      </c>
      <c r="O21" s="8">
        <v>4.84458294628555E-3</v>
      </c>
      <c r="P21" s="8">
        <v>5.5797786298434704E-3</v>
      </c>
      <c r="Q21" s="8">
        <v>5.5797786298434704E-3</v>
      </c>
      <c r="R21" s="8">
        <v>5.5797786298434704E-3</v>
      </c>
      <c r="S21" s="8">
        <v>4.3298764408918299E-3</v>
      </c>
      <c r="T21" s="8">
        <v>4.36654965649407E-3</v>
      </c>
      <c r="U21" s="8">
        <v>4.36654965649407E-3</v>
      </c>
      <c r="V21" s="8">
        <v>4.3657073623942803E-3</v>
      </c>
      <c r="W21" s="8">
        <v>4.5013938094504999E-3</v>
      </c>
      <c r="X21" s="8">
        <v>4.5013938094504999E-3</v>
      </c>
      <c r="Y21" s="8">
        <v>6.6845541218315298E-3</v>
      </c>
      <c r="Z21" s="8">
        <v>6.3891182390713496E-3</v>
      </c>
      <c r="AA21" s="8">
        <v>6.3891182390713496E-3</v>
      </c>
      <c r="AB21" s="8">
        <v>5.3676843521993801E-3</v>
      </c>
      <c r="AC21" s="8">
        <v>9.4667010304985994E-3</v>
      </c>
      <c r="AD21" s="8">
        <v>9.4667010304985994E-3</v>
      </c>
      <c r="AE21" s="8">
        <v>9.4667010304985994E-3</v>
      </c>
      <c r="AF21" s="8">
        <v>6.4060560650163996E-3</v>
      </c>
      <c r="AG21" s="8">
        <v>5.7375470891545804E-3</v>
      </c>
      <c r="AH21" s="8">
        <v>5.7375470891545804E-3</v>
      </c>
      <c r="AI21" s="8">
        <v>5.7375470891545804E-3</v>
      </c>
      <c r="AJ21" s="8">
        <v>4.9159700544420199E-3</v>
      </c>
      <c r="AK21" s="8">
        <v>4.9159700544420199E-3</v>
      </c>
      <c r="AL21" s="8">
        <v>4.9159700544420199E-3</v>
      </c>
      <c r="AM21" s="8">
        <v>4.9159700544420199E-3</v>
      </c>
      <c r="AN21" s="8">
        <v>5.7536474359407598E-3</v>
      </c>
      <c r="AO21" s="8">
        <v>4.88223781457896E-3</v>
      </c>
      <c r="AP21" s="8">
        <v>6.7543945794665897E-3</v>
      </c>
      <c r="AQ21" s="8">
        <v>1.58237572884324E-2</v>
      </c>
      <c r="AR21" s="8">
        <v>2.5585678775555901E-2</v>
      </c>
      <c r="AS21" s="8">
        <v>1.3456987816297099E-2</v>
      </c>
      <c r="AT21" s="8">
        <v>0.289615492294999</v>
      </c>
      <c r="AU21" s="8">
        <v>0.106213261116075</v>
      </c>
      <c r="AV21" s="8">
        <v>6.6646895537602804E-3</v>
      </c>
      <c r="AW21" s="8">
        <v>7.3948315503616399E-2</v>
      </c>
      <c r="AX21" s="8">
        <v>5.8291576962444303E-2</v>
      </c>
      <c r="AY21" s="8">
        <v>5.64567687873372E-2</v>
      </c>
      <c r="AZ21" s="8">
        <v>1.0385948013249E-2</v>
      </c>
      <c r="BA21" s="8">
        <v>2.2287118638152801E-3</v>
      </c>
      <c r="BB21" s="8">
        <v>5.5623241657745204E-3</v>
      </c>
      <c r="BC21" s="8">
        <v>4.9197179347434802E-3</v>
      </c>
      <c r="BD21" s="8">
        <v>4.9410472735630599E-3</v>
      </c>
      <c r="BE21" s="8">
        <v>4.27588485776614E-3</v>
      </c>
      <c r="BF21" s="8">
        <v>4.2734244524583898E-3</v>
      </c>
      <c r="BG21" s="8">
        <v>3.7055047408723202E-3</v>
      </c>
      <c r="BH21" s="8">
        <v>5.3645875814908898E-3</v>
      </c>
      <c r="BI21" s="8">
        <v>7.3893850864870103E-3</v>
      </c>
      <c r="BJ21" s="8">
        <v>3.9639737412748097E-3</v>
      </c>
      <c r="BK21" s="8">
        <v>1.4267179315142899E-2</v>
      </c>
      <c r="BL21" s="8">
        <v>0</v>
      </c>
      <c r="BM21" s="8">
        <v>7.2045309831666798E-3</v>
      </c>
      <c r="BN21" s="8">
        <v>2.87787460649704E-3</v>
      </c>
      <c r="BO21" s="8">
        <v>3.8404498462369101E-3</v>
      </c>
      <c r="BP21" s="8">
        <v>0</v>
      </c>
      <c r="BQ21" s="8">
        <v>6.4337772805663903E-3</v>
      </c>
      <c r="BR21" s="8">
        <v>5.39783662168517E-3</v>
      </c>
      <c r="BS21" s="8">
        <v>9.3580846193138702E-3</v>
      </c>
      <c r="BT21" s="8">
        <v>6.6391666287302703E-3</v>
      </c>
      <c r="BU21" s="8">
        <v>5.9191704769749904E-3</v>
      </c>
      <c r="BV21" s="8">
        <v>6.7698892689614003E-3</v>
      </c>
      <c r="BW21" s="8">
        <v>3.5713627346197702E-3</v>
      </c>
      <c r="BX21" s="8">
        <v>3.1512838448053103E-2</v>
      </c>
      <c r="BY21" s="8">
        <v>4.7512343859217503E-3</v>
      </c>
      <c r="BZ21" s="8">
        <v>9.4667010304985994E-3</v>
      </c>
      <c r="CA21" s="8">
        <v>9.4667010304985994E-3</v>
      </c>
      <c r="CB21" s="8">
        <v>4.9436239215380397E-3</v>
      </c>
      <c r="CC21" s="9">
        <v>4.9613720576560704E-3</v>
      </c>
      <c r="CD21" s="6">
        <v>0</v>
      </c>
    </row>
    <row r="22" spans="2:82" x14ac:dyDescent="0.15">
      <c r="B22" s="7" t="s">
        <v>2</v>
      </c>
      <c r="C22" s="8">
        <v>1.6862687982826498E-2</v>
      </c>
      <c r="D22" s="8">
        <v>1.6862687982826498E-2</v>
      </c>
      <c r="E22" s="8">
        <v>1.4128993914589799E-2</v>
      </c>
      <c r="F22" s="8">
        <v>1.4128993914589799E-2</v>
      </c>
      <c r="G22" s="8">
        <v>1.72931200114563E-2</v>
      </c>
      <c r="H22" s="8">
        <v>2.4859135400893399E-2</v>
      </c>
      <c r="I22" s="8">
        <v>2.15608863364491E-3</v>
      </c>
      <c r="J22" s="8">
        <v>2.15608863364491E-3</v>
      </c>
      <c r="K22" s="8">
        <v>2.15608863364491E-3</v>
      </c>
      <c r="L22" s="8">
        <v>2.1372408089508901E-4</v>
      </c>
      <c r="M22" s="8">
        <v>1.9252403541972601E-4</v>
      </c>
      <c r="N22" s="8">
        <v>1.9252403541972601E-4</v>
      </c>
      <c r="O22" s="8">
        <v>5.7191372806324198E-5</v>
      </c>
      <c r="P22" s="8">
        <v>4.91888947097807E-5</v>
      </c>
      <c r="Q22" s="8">
        <v>4.91888947097807E-5</v>
      </c>
      <c r="R22" s="8">
        <v>4.91888947097807E-5</v>
      </c>
      <c r="S22" s="8">
        <v>3.9901683202433703E-5</v>
      </c>
      <c r="T22" s="8">
        <v>4.1634012184946602E-5</v>
      </c>
      <c r="U22" s="8">
        <v>4.1634012184946602E-5</v>
      </c>
      <c r="V22" s="8">
        <v>2.9819040664290701E-5</v>
      </c>
      <c r="W22" s="8">
        <v>2.99377642028591E-5</v>
      </c>
      <c r="X22" s="8">
        <v>2.99377642028591E-5</v>
      </c>
      <c r="Y22" s="8">
        <v>7.8353515562263505E-6</v>
      </c>
      <c r="Z22" s="8">
        <v>7.0461521969240098E-6</v>
      </c>
      <c r="AA22" s="8">
        <v>7.0461521969240098E-6</v>
      </c>
      <c r="AB22" s="8">
        <v>1.8793584890825901E-2</v>
      </c>
      <c r="AC22" s="8">
        <v>2.7986278040160802E-2</v>
      </c>
      <c r="AD22" s="8">
        <v>2.7986278040160802E-2</v>
      </c>
      <c r="AE22" s="8">
        <v>2.7986278040160802E-2</v>
      </c>
      <c r="AF22" s="8">
        <v>1.16757197627687E-2</v>
      </c>
      <c r="AG22" s="8">
        <v>2.1463620951631302E-3</v>
      </c>
      <c r="AH22" s="8">
        <v>2.1463620951631302E-3</v>
      </c>
      <c r="AI22" s="8">
        <v>2.1463620951631302E-3</v>
      </c>
      <c r="AJ22" s="8">
        <v>9.8876936382643796E-4</v>
      </c>
      <c r="AK22" s="8">
        <v>9.8876936382643796E-4</v>
      </c>
      <c r="AL22" s="8">
        <v>9.8876936382643796E-4</v>
      </c>
      <c r="AM22" s="8">
        <v>9.8876936382643796E-4</v>
      </c>
      <c r="AN22" s="8">
        <v>2.4103697519248001E-3</v>
      </c>
      <c r="AO22" s="8">
        <v>9.7356329571169698E-4</v>
      </c>
      <c r="AP22" s="8">
        <v>1.7386361915013699E-4</v>
      </c>
      <c r="AQ22" s="8">
        <v>4.7837178942640802E-3</v>
      </c>
      <c r="AR22" s="8">
        <v>8.7754512777681697E-3</v>
      </c>
      <c r="AS22" s="8">
        <v>8.7754512777681697E-3</v>
      </c>
      <c r="AT22" s="8">
        <v>1.30609218291028E-2</v>
      </c>
      <c r="AU22" s="8">
        <v>1.30609218291028E-2</v>
      </c>
      <c r="AV22" s="8">
        <v>8.5040695391840599E-5</v>
      </c>
      <c r="AW22" s="8">
        <v>5.1598053254928999E-3</v>
      </c>
      <c r="AX22" s="8">
        <v>5.9322217431180997E-3</v>
      </c>
      <c r="AY22" s="8">
        <v>4.0446292988865103E-3</v>
      </c>
      <c r="AZ22" s="8">
        <v>0.29300515848768299</v>
      </c>
      <c r="BA22" s="8">
        <v>1.0467307808189499E-3</v>
      </c>
      <c r="BB22" s="8">
        <v>2.5001938616341202E-2</v>
      </c>
      <c r="BC22" s="8">
        <v>1.7368037961956501E-4</v>
      </c>
      <c r="BD22" s="8">
        <v>1.76567261224494E-4</v>
      </c>
      <c r="BE22" s="8">
        <v>7.0623757582840804E-4</v>
      </c>
      <c r="BF22" s="8">
        <v>1.15305342444868E-4</v>
      </c>
      <c r="BG22" s="8">
        <v>2.7202106137572298E-4</v>
      </c>
      <c r="BH22" s="8">
        <v>1.3288719258007201E-3</v>
      </c>
      <c r="BI22" s="8">
        <v>6.7505040130144098E-6</v>
      </c>
      <c r="BJ22" s="8">
        <v>1.18158021007182E-4</v>
      </c>
      <c r="BK22" s="8">
        <v>0.119038788794538</v>
      </c>
      <c r="BL22" s="8">
        <v>0</v>
      </c>
      <c r="BM22" s="8">
        <v>2.15252162273427E-2</v>
      </c>
      <c r="BN22" s="8">
        <v>2.0901797987953499E-3</v>
      </c>
      <c r="BO22" s="8">
        <v>2.7088375446075703E-4</v>
      </c>
      <c r="BP22" s="8">
        <v>0</v>
      </c>
      <c r="BQ22" s="8">
        <v>1.8839066157088E-3</v>
      </c>
      <c r="BR22" s="8">
        <v>4.2168464149250099E-3</v>
      </c>
      <c r="BS22" s="8">
        <v>4.26308246992433E-5</v>
      </c>
      <c r="BT22" s="8">
        <v>6.88256322342703E-6</v>
      </c>
      <c r="BU22" s="8">
        <v>8.1774952292880094E-6</v>
      </c>
      <c r="BV22" s="8">
        <v>6.93514634064174E-6</v>
      </c>
      <c r="BW22" s="8">
        <v>1.43376669179769E-3</v>
      </c>
      <c r="BX22" s="8">
        <v>4.2298577960088197E-3</v>
      </c>
      <c r="BY22" s="8">
        <v>1.01458840549664E-3</v>
      </c>
      <c r="BZ22" s="8">
        <v>2.7986278040160802E-2</v>
      </c>
      <c r="CA22" s="8">
        <v>2.7986278040160802E-2</v>
      </c>
      <c r="CB22" s="8">
        <v>1.0275491053533901E-3</v>
      </c>
      <c r="CC22" s="9">
        <v>1.23592256389796E-3</v>
      </c>
      <c r="CD22" s="6">
        <v>0</v>
      </c>
    </row>
    <row r="23" spans="2:82" x14ac:dyDescent="0.15">
      <c r="B23" s="7" t="s">
        <v>10</v>
      </c>
      <c r="C23" s="8">
        <v>4.2010138082583103E-2</v>
      </c>
      <c r="D23" s="8">
        <v>4.2005676845615202E-2</v>
      </c>
      <c r="E23" s="8">
        <v>4.8706813032127101E-2</v>
      </c>
      <c r="F23" s="8">
        <v>4.8706813032127101E-2</v>
      </c>
      <c r="G23" s="8">
        <v>3.4069743694731203E-2</v>
      </c>
      <c r="H23" s="8">
        <v>3.4631040881489598E-2</v>
      </c>
      <c r="I23" s="8">
        <v>2.0776003408994599E-3</v>
      </c>
      <c r="J23" s="8">
        <v>2.0776003408994599E-3</v>
      </c>
      <c r="K23" s="8">
        <v>2.0778877887768E-3</v>
      </c>
      <c r="L23" s="8">
        <v>4.1861441916326599E-4</v>
      </c>
      <c r="M23" s="8">
        <v>2.8421751014955202E-4</v>
      </c>
      <c r="N23" s="8">
        <v>5.0241224884751403E-4</v>
      </c>
      <c r="O23" s="8">
        <v>1.07218172263386E-4</v>
      </c>
      <c r="P23" s="8">
        <v>2.05177643221947E-4</v>
      </c>
      <c r="Q23" s="8">
        <v>2.05177643221947E-4</v>
      </c>
      <c r="R23" s="8">
        <v>2.05177643221947E-4</v>
      </c>
      <c r="S23" s="8">
        <v>2.1135205263004899E-4</v>
      </c>
      <c r="T23" s="8">
        <v>1.00109073036346E-4</v>
      </c>
      <c r="U23" s="8">
        <v>1.00109073036346E-4</v>
      </c>
      <c r="V23" s="8">
        <v>3.8371342362357298E-5</v>
      </c>
      <c r="W23" s="8">
        <v>1.6184567601654399E-4</v>
      </c>
      <c r="X23" s="8">
        <v>1.0719925757489499E-4</v>
      </c>
      <c r="Y23" s="8">
        <v>0</v>
      </c>
      <c r="Z23" s="8">
        <v>0</v>
      </c>
      <c r="AA23" s="8">
        <v>2.7237651353490801E-5</v>
      </c>
      <c r="AB23" s="8">
        <v>0.165818260911722</v>
      </c>
      <c r="AC23" s="8">
        <v>3.7719179412559499E-2</v>
      </c>
      <c r="AD23" s="8">
        <v>3.7719179412559499E-2</v>
      </c>
      <c r="AE23" s="8">
        <v>3.7719179412559499E-2</v>
      </c>
      <c r="AF23" s="8">
        <v>1.4671508010417E-2</v>
      </c>
      <c r="AG23" s="8">
        <v>2.3358584644356901E-3</v>
      </c>
      <c r="AH23" s="8">
        <v>2.3358584644356901E-3</v>
      </c>
      <c r="AI23" s="8">
        <v>2.3358584644356901E-3</v>
      </c>
      <c r="AJ23" s="8">
        <v>1.44034912702899E-3</v>
      </c>
      <c r="AK23" s="8">
        <v>1.44034912702899E-3</v>
      </c>
      <c r="AL23" s="8">
        <v>1.44034912702899E-3</v>
      </c>
      <c r="AM23" s="8">
        <v>1.44034912702899E-3</v>
      </c>
      <c r="AN23" s="8">
        <v>2.4205548716936401E-3</v>
      </c>
      <c r="AO23" s="8">
        <v>1.4950836260666899E-3</v>
      </c>
      <c r="AP23" s="8">
        <v>4.0611353438129702E-4</v>
      </c>
      <c r="AQ23" s="8">
        <v>2.0614578625355001E-3</v>
      </c>
      <c r="AR23" s="8">
        <v>6.86395296438491E-3</v>
      </c>
      <c r="AS23" s="8">
        <v>6.86395296438491E-3</v>
      </c>
      <c r="AT23" s="8">
        <v>7.7155380111324102E-3</v>
      </c>
      <c r="AU23" s="8">
        <v>7.7155380111324102E-3</v>
      </c>
      <c r="AV23" s="8">
        <v>2.27800427577135E-4</v>
      </c>
      <c r="AW23" s="8">
        <v>2.8048262365719099E-3</v>
      </c>
      <c r="AX23" s="8">
        <v>4.1031603054244598E-3</v>
      </c>
      <c r="AY23" s="8">
        <v>2.2791894879345301E-3</v>
      </c>
      <c r="AZ23" s="8">
        <v>2.2787069636858798E-2</v>
      </c>
      <c r="BA23" s="8">
        <v>2.8806937543835402E-3</v>
      </c>
      <c r="BB23" s="8">
        <v>529.61247508799102</v>
      </c>
      <c r="BC23" s="8">
        <v>3.6878265584254201E-4</v>
      </c>
      <c r="BD23" s="8">
        <v>2.3986801819820899E-4</v>
      </c>
      <c r="BE23" s="8">
        <v>1.45782460330795E-3</v>
      </c>
      <c r="BF23" s="8">
        <v>2.7324954004265798E-4</v>
      </c>
      <c r="BG23" s="8">
        <v>5.6272742557004801E-4</v>
      </c>
      <c r="BH23" s="8">
        <v>1.1697926876670401E-3</v>
      </c>
      <c r="BI23" s="8">
        <v>2.3344429919187499E-5</v>
      </c>
      <c r="BJ23" s="8">
        <v>3.7644135030452598E-4</v>
      </c>
      <c r="BK23" s="8">
        <v>3.0083438669828599E-2</v>
      </c>
      <c r="BL23" s="8">
        <v>0</v>
      </c>
      <c r="BM23" s="8">
        <v>1.9187176642010199E-2</v>
      </c>
      <c r="BN23" s="8">
        <v>3.5977144199704899E-3</v>
      </c>
      <c r="BO23" s="8">
        <v>4.8364161655028201E-4</v>
      </c>
      <c r="BP23" s="8">
        <v>0</v>
      </c>
      <c r="BQ23" s="8">
        <v>2.83320755171395E-3</v>
      </c>
      <c r="BR23" s="8">
        <v>4.8704057245011704E-3</v>
      </c>
      <c r="BS23" s="8">
        <v>1.4710984534981099E-4</v>
      </c>
      <c r="BT23" s="8">
        <v>3.3662523112643701E-5</v>
      </c>
      <c r="BU23" s="8">
        <v>0</v>
      </c>
      <c r="BV23" s="8">
        <v>2.3494698237172402E-5</v>
      </c>
      <c r="BW23" s="8">
        <v>2.5660732973141502E-3</v>
      </c>
      <c r="BX23" s="8">
        <v>2.7675781970142501E-3</v>
      </c>
      <c r="BY23" s="8">
        <v>1.2313817491791501E-3</v>
      </c>
      <c r="BZ23" s="8">
        <v>3.7719179412559499E-2</v>
      </c>
      <c r="CA23" s="8">
        <v>3.7719179412559499E-2</v>
      </c>
      <c r="CB23" s="8">
        <v>1.4697611482692499E-3</v>
      </c>
      <c r="CC23" s="9">
        <v>1.7658351378671501E-3</v>
      </c>
      <c r="CD23" s="6">
        <v>0</v>
      </c>
    </row>
    <row r="24" spans="2:82" x14ac:dyDescent="0.15">
      <c r="B24" s="7" t="s">
        <v>24</v>
      </c>
      <c r="C24" s="8">
        <v>5.37780359263271E-2</v>
      </c>
      <c r="D24" s="8">
        <v>5.37780359263271E-2</v>
      </c>
      <c r="E24" s="8">
        <v>3.7819307024911701E-2</v>
      </c>
      <c r="F24" s="8">
        <v>3.7819307024911701E-2</v>
      </c>
      <c r="G24" s="8">
        <v>5.4950963988878401E-2</v>
      </c>
      <c r="H24" s="8">
        <v>8.8018790282557796E-2</v>
      </c>
      <c r="I24" s="8">
        <v>3.9395994416633303E-3</v>
      </c>
      <c r="J24" s="8">
        <v>3.9395994416633303E-3</v>
      </c>
      <c r="K24" s="8">
        <v>3.9401758814521298E-3</v>
      </c>
      <c r="L24" s="8">
        <v>2.8717536185282399E-4</v>
      </c>
      <c r="M24" s="8">
        <v>2.1343307025082901E-4</v>
      </c>
      <c r="N24" s="8">
        <v>2.9538562582970003E-4</v>
      </c>
      <c r="O24" s="8">
        <v>5.4934037254374302E-5</v>
      </c>
      <c r="P24" s="8">
        <v>6.7933025114362699E-5</v>
      </c>
      <c r="Q24" s="8">
        <v>6.7933025114362699E-5</v>
      </c>
      <c r="R24" s="8">
        <v>6.7933025114362699E-5</v>
      </c>
      <c r="S24" s="8">
        <v>6.7388962772276005E-5</v>
      </c>
      <c r="T24" s="8">
        <v>3.6323336948616203E-5</v>
      </c>
      <c r="U24" s="8">
        <v>5.9599525191151998E-5</v>
      </c>
      <c r="V24" s="8">
        <v>3.1894747269164797E-5</v>
      </c>
      <c r="W24" s="8">
        <v>6.5994351805775001E-5</v>
      </c>
      <c r="X24" s="8">
        <v>4.2932390372338602E-5</v>
      </c>
      <c r="Y24" s="8">
        <v>0</v>
      </c>
      <c r="Z24" s="8">
        <v>0</v>
      </c>
      <c r="AA24" s="8">
        <v>1.2278080343749999E-5</v>
      </c>
      <c r="AB24" s="8">
        <v>3.2176043998266401E-2</v>
      </c>
      <c r="AC24" s="8">
        <v>0.12349132980301999</v>
      </c>
      <c r="AD24" s="8">
        <v>0.12349132980301999</v>
      </c>
      <c r="AE24" s="8">
        <v>0.12349132980301999</v>
      </c>
      <c r="AF24" s="8">
        <v>3.1157585503973202E-2</v>
      </c>
      <c r="AG24" s="8">
        <v>4.7661226466946304E-3</v>
      </c>
      <c r="AH24" s="8">
        <v>4.7661226466946304E-3</v>
      </c>
      <c r="AI24" s="8">
        <v>4.7661226466946304E-3</v>
      </c>
      <c r="AJ24" s="8">
        <v>1.3752638127177499E-3</v>
      </c>
      <c r="AK24" s="8">
        <v>1.3752638127177499E-3</v>
      </c>
      <c r="AL24" s="8">
        <v>1.3752638127177499E-3</v>
      </c>
      <c r="AM24" s="8">
        <v>1.37543950825754E-3</v>
      </c>
      <c r="AN24" s="8">
        <v>5.0665633086110296E-3</v>
      </c>
      <c r="AO24" s="8">
        <v>1.79310086777552E-3</v>
      </c>
      <c r="AP24" s="8">
        <v>3.0491899053043903E-4</v>
      </c>
      <c r="AQ24" s="8">
        <v>3.08794383964188E-3</v>
      </c>
      <c r="AR24" s="8">
        <v>1.7632177417046601E-2</v>
      </c>
      <c r="AS24" s="8">
        <v>1.7632177417046601E-2</v>
      </c>
      <c r="AT24" s="8">
        <v>1.8212464539899598E-2</v>
      </c>
      <c r="AU24" s="8">
        <v>1.8212464539899598E-2</v>
      </c>
      <c r="AV24" s="8">
        <v>1.0071002718393E-4</v>
      </c>
      <c r="AW24" s="8">
        <v>6.7254013492222698E-3</v>
      </c>
      <c r="AX24" s="8">
        <v>8.8870813029534208E-3</v>
      </c>
      <c r="AY24" s="8">
        <v>5.3864749657139104E-3</v>
      </c>
      <c r="AZ24" s="8">
        <v>0.11758005198118</v>
      </c>
      <c r="BA24" s="8">
        <v>1.84353941922686E-3</v>
      </c>
      <c r="BB24" s="8">
        <v>3.2277621983738E-2</v>
      </c>
      <c r="BC24" s="8">
        <v>2.9290999297659802E-4</v>
      </c>
      <c r="BD24" s="8">
        <v>3.3110240247440401E-4</v>
      </c>
      <c r="BE24" s="8">
        <v>1.01639725447114E-3</v>
      </c>
      <c r="BF24" s="8">
        <v>1.78557775484596E-4</v>
      </c>
      <c r="BG24" s="8">
        <v>4.3958196329349199E-4</v>
      </c>
      <c r="BH24" s="8">
        <v>2.2470158151870101E-3</v>
      </c>
      <c r="BI24" s="8">
        <v>9.1485706829661894E-6</v>
      </c>
      <c r="BJ24" s="8">
        <v>8.2651662043302103E-5</v>
      </c>
      <c r="BK24" s="8">
        <v>356.85513369946199</v>
      </c>
      <c r="BL24" s="8">
        <v>0</v>
      </c>
      <c r="BM24" s="8">
        <v>5.0236000696919803E-2</v>
      </c>
      <c r="BN24" s="8">
        <v>2.3753509926571202E-3</v>
      </c>
      <c r="BO24" s="8">
        <v>3.8398397357727399E-4</v>
      </c>
      <c r="BP24" s="8">
        <v>0</v>
      </c>
      <c r="BQ24" s="8">
        <v>4.0839183663191198E-3</v>
      </c>
      <c r="BR24" s="8">
        <v>8.8631007170554207E-3</v>
      </c>
      <c r="BS24" s="8">
        <v>5.62389990848426E-5</v>
      </c>
      <c r="BT24" s="8">
        <v>1.17740547950268E-5</v>
      </c>
      <c r="BU24" s="8">
        <v>0</v>
      </c>
      <c r="BV24" s="8">
        <v>1.1977097698707799E-5</v>
      </c>
      <c r="BW24" s="8">
        <v>1.85296122599254E-3</v>
      </c>
      <c r="BX24" s="8">
        <v>5.7789482561026399E-3</v>
      </c>
      <c r="BY24" s="8">
        <v>1.8168347043239299E-3</v>
      </c>
      <c r="BZ24" s="8">
        <v>0.12349132980301999</v>
      </c>
      <c r="CA24" s="8">
        <v>0.12349132980301999</v>
      </c>
      <c r="CB24" s="8">
        <v>1.48826135691526E-3</v>
      </c>
      <c r="CC24" s="9">
        <v>2.4776934532562099E-3</v>
      </c>
      <c r="CD24" s="6">
        <v>0</v>
      </c>
    </row>
    <row r="25" spans="2:82" x14ac:dyDescent="0.15">
      <c r="B25" s="7" t="s">
        <v>37</v>
      </c>
      <c r="C25" s="8">
        <v>3.7820688106554301</v>
      </c>
      <c r="D25" s="8">
        <v>3.7820688106554301</v>
      </c>
      <c r="E25" s="8">
        <v>0.36295669319068402</v>
      </c>
      <c r="F25" s="8">
        <v>0.36295669319068402</v>
      </c>
      <c r="G25" s="8">
        <v>4.7596941238337598</v>
      </c>
      <c r="H25" s="8">
        <v>0.431446083679699</v>
      </c>
      <c r="I25" s="8">
        <v>1.5042887600785201E-2</v>
      </c>
      <c r="J25" s="8">
        <v>1.5042887600785201E-2</v>
      </c>
      <c r="K25" s="8">
        <v>1.5042887600785201E-2</v>
      </c>
      <c r="L25" s="8">
        <v>7.78058704504454E-4</v>
      </c>
      <c r="M25" s="8">
        <v>7.0924270761096799E-4</v>
      </c>
      <c r="N25" s="8">
        <v>7.0924270761096799E-4</v>
      </c>
      <c r="O25" s="8">
        <v>2.24220663926968E-4</v>
      </c>
      <c r="P25" s="8">
        <v>1.78412074143468E-4</v>
      </c>
      <c r="Q25" s="8">
        <v>1.78412074143468E-4</v>
      </c>
      <c r="R25" s="8">
        <v>1.78412074143468E-4</v>
      </c>
      <c r="S25" s="8">
        <v>1.53152153162226E-4</v>
      </c>
      <c r="T25" s="8">
        <v>1.4814071059426301E-4</v>
      </c>
      <c r="U25" s="8">
        <v>1.4814071059426301E-4</v>
      </c>
      <c r="V25" s="8">
        <v>1.0470420470971099E-4</v>
      </c>
      <c r="W25" s="8">
        <v>1.03307031165536E-4</v>
      </c>
      <c r="X25" s="8">
        <v>1.03307031165536E-4</v>
      </c>
      <c r="Y25" s="8">
        <v>2.97256930989253E-5</v>
      </c>
      <c r="Z25" s="8">
        <v>2.4641857951066399E-5</v>
      </c>
      <c r="AA25" s="8">
        <v>2.4641857951066399E-5</v>
      </c>
      <c r="AB25" s="8">
        <v>7.7804818653759905E-2</v>
      </c>
      <c r="AC25" s="8">
        <v>0.24042668390670399</v>
      </c>
      <c r="AD25" s="8">
        <v>0.24042668390670399</v>
      </c>
      <c r="AE25" s="8">
        <v>0.24042668390670399</v>
      </c>
      <c r="AF25" s="8">
        <v>0.31902451523045799</v>
      </c>
      <c r="AG25" s="8">
        <v>1.4571882850123201E-2</v>
      </c>
      <c r="AH25" s="8">
        <v>1.4571882850123201E-2</v>
      </c>
      <c r="AI25" s="8">
        <v>1.4571882850123201E-2</v>
      </c>
      <c r="AJ25" s="8">
        <v>3.8666126723028902E-3</v>
      </c>
      <c r="AK25" s="8">
        <v>3.8666126723028902E-3</v>
      </c>
      <c r="AL25" s="8">
        <v>3.8666126723028902E-3</v>
      </c>
      <c r="AM25" s="8">
        <v>3.8666126723028902E-3</v>
      </c>
      <c r="AN25" s="8">
        <v>1.6679892909708199E-2</v>
      </c>
      <c r="AO25" s="8">
        <v>3.8210074967819901E-3</v>
      </c>
      <c r="AP25" s="8">
        <v>6.5747070598480702E-4</v>
      </c>
      <c r="AQ25" s="8">
        <v>5.99080222035921E-3</v>
      </c>
      <c r="AR25" s="8">
        <v>1.0167031970485499E-2</v>
      </c>
      <c r="AS25" s="8">
        <v>1.0167031970485499E-2</v>
      </c>
      <c r="AT25" s="8">
        <v>1.0714469797423199E-2</v>
      </c>
      <c r="AU25" s="8">
        <v>1.0714469797423199E-2</v>
      </c>
      <c r="AV25" s="8">
        <v>2.2854266197109299E-4</v>
      </c>
      <c r="AW25" s="8">
        <v>6.1307016798907302E-3</v>
      </c>
      <c r="AX25" s="8">
        <v>8.2569734448594001E-3</v>
      </c>
      <c r="AY25" s="8">
        <v>4.2356014455929396E-3</v>
      </c>
      <c r="AZ25" s="8">
        <v>1.71497237254985E-2</v>
      </c>
      <c r="BA25" s="8">
        <v>4.5863963113140097E-3</v>
      </c>
      <c r="BB25" s="8">
        <v>3.5322370293359301E-2</v>
      </c>
      <c r="BC25" s="8">
        <v>7.3042966012703203E-4</v>
      </c>
      <c r="BD25" s="8">
        <v>7.0070971700903102E-4</v>
      </c>
      <c r="BE25" s="8">
        <v>3.1440316443114499E-3</v>
      </c>
      <c r="BF25" s="8">
        <v>3.88948883044122E-4</v>
      </c>
      <c r="BG25" s="8">
        <v>1.0391467898067E-3</v>
      </c>
      <c r="BH25" s="8">
        <v>4.1457292863041504E-3</v>
      </c>
      <c r="BI25" s="8">
        <v>2.2322014915620101E-5</v>
      </c>
      <c r="BJ25" s="8">
        <v>4.8289008612177001E-4</v>
      </c>
      <c r="BK25" s="8">
        <v>5.4783731590254701E-2</v>
      </c>
      <c r="BL25" s="8">
        <v>0</v>
      </c>
      <c r="BM25" s="8">
        <v>0.12267364024218599</v>
      </c>
      <c r="BN25" s="8">
        <v>2.5645523212546001E-3</v>
      </c>
      <c r="BO25" s="8">
        <v>8.4175052741492201E-4</v>
      </c>
      <c r="BP25" s="8">
        <v>0</v>
      </c>
      <c r="BQ25" s="8">
        <v>1.0892137599148999E-2</v>
      </c>
      <c r="BR25" s="8">
        <v>3.00715781268143E-2</v>
      </c>
      <c r="BS25" s="8">
        <v>1.6578860148971E-4</v>
      </c>
      <c r="BT25" s="8">
        <v>2.5577520462121001E-5</v>
      </c>
      <c r="BU25" s="8">
        <v>3.0102888720972801E-5</v>
      </c>
      <c r="BV25" s="8">
        <v>2.2749577225365401E-5</v>
      </c>
      <c r="BW25" s="8">
        <v>2.9794722440566299E-3</v>
      </c>
      <c r="BX25" s="8">
        <v>8.52110478383321E-3</v>
      </c>
      <c r="BY25" s="8">
        <v>3.26349617127247E-3</v>
      </c>
      <c r="BZ25" s="8">
        <v>0.24042668390670399</v>
      </c>
      <c r="CA25" s="8">
        <v>0.24042668390670399</v>
      </c>
      <c r="CB25" s="8">
        <v>4.2234622216505199E-3</v>
      </c>
      <c r="CC25" s="9">
        <v>6.0440656730447696E-3</v>
      </c>
      <c r="CD25" s="6">
        <v>0</v>
      </c>
    </row>
    <row r="26" spans="2:82" x14ac:dyDescent="0.15">
      <c r="B26" s="7" t="s">
        <v>38</v>
      </c>
      <c r="C26" s="8">
        <v>0.464644747611203</v>
      </c>
      <c r="D26" s="8">
        <v>0.464644747611203</v>
      </c>
      <c r="E26" s="8">
        <v>0.185030178915181</v>
      </c>
      <c r="F26" s="8">
        <v>0.185030178915181</v>
      </c>
      <c r="G26" s="8">
        <v>0.43250041178606202</v>
      </c>
      <c r="H26" s="8">
        <v>76.169734898148505</v>
      </c>
      <c r="I26" s="8">
        <v>1.04944939771214E-2</v>
      </c>
      <c r="J26" s="8">
        <v>1.04944939771214E-2</v>
      </c>
      <c r="K26" s="8">
        <v>1.04944939771214E-2</v>
      </c>
      <c r="L26" s="8">
        <v>5.8852925709632401E-4</v>
      </c>
      <c r="M26" s="8">
        <v>5.8303885756431201E-4</v>
      </c>
      <c r="N26" s="8">
        <v>5.8303885756431201E-4</v>
      </c>
      <c r="O26" s="8">
        <v>1.44746930675443E-4</v>
      </c>
      <c r="P26" s="8">
        <v>1.4425916016060899E-4</v>
      </c>
      <c r="Q26" s="8">
        <v>1.4618253994575899E-4</v>
      </c>
      <c r="R26" s="8">
        <v>1.4425916016060899E-4</v>
      </c>
      <c r="S26" s="8">
        <v>1.0953500602473099E-4</v>
      </c>
      <c r="T26" s="8">
        <v>9.8033085864298502E-5</v>
      </c>
      <c r="U26" s="8">
        <v>9.8035266322484403E-5</v>
      </c>
      <c r="V26" s="8">
        <v>1.04907864066618E-4</v>
      </c>
      <c r="W26" s="8">
        <v>7.8012959048470804E-5</v>
      </c>
      <c r="X26" s="8">
        <v>8.7395539061762404E-5</v>
      </c>
      <c r="Y26" s="8">
        <v>2.23071120322592E-6</v>
      </c>
      <c r="Z26" s="8">
        <v>1.41337165615794E-5</v>
      </c>
      <c r="AA26" s="8">
        <v>1.41337165615794E-5</v>
      </c>
      <c r="AB26" s="8">
        <v>5.4601196521556199E-2</v>
      </c>
      <c r="AC26" s="8">
        <v>0.27678099062738298</v>
      </c>
      <c r="AD26" s="8">
        <v>0.27678099062738298</v>
      </c>
      <c r="AE26" s="8">
        <v>0.27678099062738298</v>
      </c>
      <c r="AF26" s="8">
        <v>0.119611786530403</v>
      </c>
      <c r="AG26" s="8">
        <v>1.0005871351904E-2</v>
      </c>
      <c r="AH26" s="8">
        <v>1.0005871351904E-2</v>
      </c>
      <c r="AI26" s="8">
        <v>1.0005871351904E-2</v>
      </c>
      <c r="AJ26" s="8">
        <v>3.0535968191326901E-3</v>
      </c>
      <c r="AK26" s="8">
        <v>3.0535968191326901E-3</v>
      </c>
      <c r="AL26" s="8">
        <v>3.0535968191326901E-3</v>
      </c>
      <c r="AM26" s="8">
        <v>3.0535968191326901E-3</v>
      </c>
      <c r="AN26" s="8">
        <v>1.15987833242613E-2</v>
      </c>
      <c r="AO26" s="8">
        <v>3.1035043967991499E-3</v>
      </c>
      <c r="AP26" s="8">
        <v>4.7352572680278601E-4</v>
      </c>
      <c r="AQ26" s="8">
        <v>2.6991135548744402E-3</v>
      </c>
      <c r="AR26" s="8">
        <v>1.13984594323097E-2</v>
      </c>
      <c r="AS26" s="8">
        <v>1.13984594323097E-2</v>
      </c>
      <c r="AT26" s="8">
        <v>1.1446529020271601E-2</v>
      </c>
      <c r="AU26" s="8">
        <v>1.1446529020271601E-2</v>
      </c>
      <c r="AV26" s="8">
        <v>1.7749772580038801E-4</v>
      </c>
      <c r="AW26" s="8">
        <v>6.4623912696039803E-3</v>
      </c>
      <c r="AX26" s="8">
        <v>8.3095406950210206E-3</v>
      </c>
      <c r="AY26" s="8">
        <v>4.1571036590930298E-3</v>
      </c>
      <c r="AZ26" s="8">
        <v>2.42795854008808E-2</v>
      </c>
      <c r="BA26" s="8">
        <v>3.48412055751626E-3</v>
      </c>
      <c r="BB26" s="8">
        <v>3.6281759247921798E-2</v>
      </c>
      <c r="BC26" s="8">
        <v>5.7406956803243605E-4</v>
      </c>
      <c r="BD26" s="8">
        <v>5.6179482676771495E-4</v>
      </c>
      <c r="BE26" s="8">
        <v>2.4920177240908901E-3</v>
      </c>
      <c r="BF26" s="8">
        <v>3.3284281760990699E-4</v>
      </c>
      <c r="BG26" s="8">
        <v>8.8906344925534196E-4</v>
      </c>
      <c r="BH26" s="8">
        <v>4.1118719863545298E-3</v>
      </c>
      <c r="BI26" s="8">
        <v>2.3664073506208301E-5</v>
      </c>
      <c r="BJ26" s="8">
        <v>3.6286884570652198E-4</v>
      </c>
      <c r="BK26" s="8">
        <v>8.8614288925996307E-2</v>
      </c>
      <c r="BL26" s="8">
        <v>0</v>
      </c>
      <c r="BM26" s="8">
        <v>0.118807510914457</v>
      </c>
      <c r="BN26" s="8">
        <v>2.2629605494598002E-3</v>
      </c>
      <c r="BO26" s="8">
        <v>6.8229913913624596E-4</v>
      </c>
      <c r="BP26" s="8">
        <v>0</v>
      </c>
      <c r="BQ26" s="8">
        <v>7.5005648897261403E-3</v>
      </c>
      <c r="BR26" s="8">
        <v>2.1154246218125901E-2</v>
      </c>
      <c r="BS26" s="8">
        <v>1.2937959428828801E-4</v>
      </c>
      <c r="BT26" s="8">
        <v>2.0759508630054401E-5</v>
      </c>
      <c r="BU26" s="8">
        <v>5.5102423712916799E-6</v>
      </c>
      <c r="BV26" s="8">
        <v>1.3649020836775901E-5</v>
      </c>
      <c r="BW26" s="8">
        <v>3.6865399430993499E-3</v>
      </c>
      <c r="BX26" s="8">
        <v>6.8635729459081401E-3</v>
      </c>
      <c r="BY26" s="8">
        <v>4.1136977169669896E-3</v>
      </c>
      <c r="BZ26" s="8">
        <v>0.27678099062738298</v>
      </c>
      <c r="CA26" s="8">
        <v>0.27678099062738298</v>
      </c>
      <c r="CB26" s="8">
        <v>3.2856909317776901E-3</v>
      </c>
      <c r="CC26" s="9">
        <v>5.51466000384776E-3</v>
      </c>
      <c r="CD26" s="6">
        <v>0</v>
      </c>
    </row>
    <row r="27" spans="2:82" x14ac:dyDescent="0.15">
      <c r="B27" s="7" t="s">
        <v>29</v>
      </c>
      <c r="C27" s="8">
        <v>0.10931091848904401</v>
      </c>
      <c r="D27" s="8">
        <v>0.12194658980846999</v>
      </c>
      <c r="E27" s="8">
        <v>6.0669062090001398E-2</v>
      </c>
      <c r="F27" s="8">
        <v>6.0647095375986199E-2</v>
      </c>
      <c r="G27" s="8">
        <v>0.12236208673136501</v>
      </c>
      <c r="H27" s="8">
        <v>0.118975414755371</v>
      </c>
      <c r="I27" s="8">
        <v>1.3025392424421099E-2</v>
      </c>
      <c r="J27" s="8">
        <v>1.3025392424421099E-2</v>
      </c>
      <c r="K27" s="8">
        <v>1.3025392424421099E-2</v>
      </c>
      <c r="L27" s="8">
        <v>6.6098280156887102E-4</v>
      </c>
      <c r="M27" s="8">
        <v>5.7652328169816199E-4</v>
      </c>
      <c r="N27" s="8">
        <v>5.7651311105092503E-4</v>
      </c>
      <c r="O27" s="8">
        <v>1.74921437168989E-4</v>
      </c>
      <c r="P27" s="8">
        <v>1.41874107983203E-4</v>
      </c>
      <c r="Q27" s="8">
        <v>1.41874107983203E-4</v>
      </c>
      <c r="R27" s="8">
        <v>1.41874107983203E-4</v>
      </c>
      <c r="S27" s="8">
        <v>1.13313070689766E-4</v>
      </c>
      <c r="T27" s="8">
        <v>1.13927783762462E-4</v>
      </c>
      <c r="U27" s="8">
        <v>1.1393718168687499E-4</v>
      </c>
      <c r="V27" s="8">
        <v>8.66428775993691E-5</v>
      </c>
      <c r="W27" s="8">
        <v>7.6424015197289999E-5</v>
      </c>
      <c r="X27" s="8">
        <v>7.6424015197289999E-5</v>
      </c>
      <c r="Y27" s="8">
        <v>2.21558943794842E-5</v>
      </c>
      <c r="Z27" s="8">
        <v>2.0486495103374998E-5</v>
      </c>
      <c r="AA27" s="8">
        <v>2.3059107568971099E-5</v>
      </c>
      <c r="AB27" s="8">
        <v>2.21530380230427E-2</v>
      </c>
      <c r="AC27" s="8">
        <v>0.105444901574876</v>
      </c>
      <c r="AD27" s="8">
        <v>0.105444901574876</v>
      </c>
      <c r="AE27" s="8">
        <v>0.105444901574876</v>
      </c>
      <c r="AF27" s="8">
        <v>0.16713178230254</v>
      </c>
      <c r="AG27" s="8">
        <v>1.2138763313706899E-2</v>
      </c>
      <c r="AH27" s="8">
        <v>1.2138763313706899E-2</v>
      </c>
      <c r="AI27" s="8">
        <v>1.2138763313706899E-2</v>
      </c>
      <c r="AJ27" s="8">
        <v>3.60831562744072E-3</v>
      </c>
      <c r="AK27" s="8">
        <v>3.60831562744072E-3</v>
      </c>
      <c r="AL27" s="8">
        <v>3.60831562744072E-3</v>
      </c>
      <c r="AM27" s="8">
        <v>3.60831562744072E-3</v>
      </c>
      <c r="AN27" s="8">
        <v>1.44847611917345E-2</v>
      </c>
      <c r="AO27" s="8">
        <v>3.4853700590939201E-3</v>
      </c>
      <c r="AP27" s="8">
        <v>5.2375013396061801E-4</v>
      </c>
      <c r="AQ27" s="8">
        <v>2.71973986649703E-3</v>
      </c>
      <c r="AR27" s="8">
        <v>9.2953883784572602E-3</v>
      </c>
      <c r="AS27" s="8">
        <v>9.2953883784572602E-3</v>
      </c>
      <c r="AT27" s="8">
        <v>9.6642906384210407E-3</v>
      </c>
      <c r="AU27" s="8">
        <v>9.6642906384210407E-3</v>
      </c>
      <c r="AV27" s="8">
        <v>2.2546644571950101E-4</v>
      </c>
      <c r="AW27" s="8">
        <v>5.4224109219796097E-3</v>
      </c>
      <c r="AX27" s="8">
        <v>7.4344317872539201E-3</v>
      </c>
      <c r="AY27" s="8">
        <v>3.6740297977834999E-3</v>
      </c>
      <c r="AZ27" s="8">
        <v>2.1356844468562699E-2</v>
      </c>
      <c r="BA27" s="8">
        <v>3.6246710738184898E-3</v>
      </c>
      <c r="BB27" s="8">
        <v>1.8351504930289999E-2</v>
      </c>
      <c r="BC27" s="8">
        <v>5.3221428699216596E-4</v>
      </c>
      <c r="BD27" s="8">
        <v>5.30818868083675E-4</v>
      </c>
      <c r="BE27" s="8">
        <v>2.5776309090524202E-3</v>
      </c>
      <c r="BF27" s="8">
        <v>3.3041469726877398E-4</v>
      </c>
      <c r="BG27" s="8">
        <v>8.3140891227609002E-4</v>
      </c>
      <c r="BH27" s="8">
        <v>7.9635251836797007E-3</v>
      </c>
      <c r="BI27" s="8">
        <v>2.2033491322626098E-5</v>
      </c>
      <c r="BJ27" s="8">
        <v>3.6090923528201801E-4</v>
      </c>
      <c r="BK27" s="8">
        <v>5.0415549809420701E-2</v>
      </c>
      <c r="BL27" s="8">
        <v>0</v>
      </c>
      <c r="BM27" s="8">
        <v>3.73841956566265</v>
      </c>
      <c r="BN27" s="8">
        <v>3.2166152226041299E-3</v>
      </c>
      <c r="BO27" s="8">
        <v>8.3081668304450405E-4</v>
      </c>
      <c r="BP27" s="8">
        <v>0</v>
      </c>
      <c r="BQ27" s="8">
        <v>8.7504247557408706E-3</v>
      </c>
      <c r="BR27" s="8">
        <v>2.7236059480757299E-2</v>
      </c>
      <c r="BS27" s="8">
        <v>1.2844535811452399E-4</v>
      </c>
      <c r="BT27" s="8">
        <v>1.9450638104041E-5</v>
      </c>
      <c r="BU27" s="8">
        <v>2.3145898905100901E-5</v>
      </c>
      <c r="BV27" s="8">
        <v>1.68670839273331E-5</v>
      </c>
      <c r="BW27" s="8">
        <v>3.1714600659871199E-3</v>
      </c>
      <c r="BX27" s="8">
        <v>6.3032304870531001E-3</v>
      </c>
      <c r="BY27" s="8">
        <v>3.4886181141675901E-3</v>
      </c>
      <c r="BZ27" s="8">
        <v>0.105444901574876</v>
      </c>
      <c r="CA27" s="8">
        <v>0.105444901574876</v>
      </c>
      <c r="CB27" s="8">
        <v>3.8922023391951702E-3</v>
      </c>
      <c r="CC27" s="9">
        <v>4.5812366578443101E-3</v>
      </c>
      <c r="CD27" s="6">
        <v>0</v>
      </c>
    </row>
    <row r="28" spans="2:82" x14ac:dyDescent="0.15">
      <c r="B28" s="7" t="s">
        <v>36</v>
      </c>
      <c r="C28" s="8">
        <v>2.7913431207495301E-2</v>
      </c>
      <c r="D28" s="8">
        <v>2.7913431207495301E-2</v>
      </c>
      <c r="E28" s="8">
        <v>1.7917444564195101E-2</v>
      </c>
      <c r="F28" s="8">
        <v>1.7917444564195101E-2</v>
      </c>
      <c r="G28" s="8">
        <v>3.0158604954500099E-2</v>
      </c>
      <c r="H28" s="8">
        <v>2.1311391664868298E-2</v>
      </c>
      <c r="I28" s="8">
        <v>0.13932565460328</v>
      </c>
      <c r="J28" s="8">
        <v>0.13932565460328</v>
      </c>
      <c r="K28" s="8">
        <v>0.13932565460328</v>
      </c>
      <c r="L28" s="8">
        <v>1.7372471473135901E-3</v>
      </c>
      <c r="M28" s="8">
        <v>1.47988721384446E-3</v>
      </c>
      <c r="N28" s="8">
        <v>1.4795625526485799E-3</v>
      </c>
      <c r="O28" s="8">
        <v>4.2337972394823701E-4</v>
      </c>
      <c r="P28" s="8">
        <v>3.4914045284253599E-4</v>
      </c>
      <c r="Q28" s="8">
        <v>3.4914125092891E-4</v>
      </c>
      <c r="R28" s="8">
        <v>3.4914045284253599E-4</v>
      </c>
      <c r="S28" s="8">
        <v>2.7712895095750802E-4</v>
      </c>
      <c r="T28" s="8">
        <v>2.8567126333861598E-4</v>
      </c>
      <c r="U28" s="8">
        <v>2.8567126333861598E-4</v>
      </c>
      <c r="V28" s="8">
        <v>1.9600639785020301E-4</v>
      </c>
      <c r="W28" s="8">
        <v>1.7852258213116499E-4</v>
      </c>
      <c r="X28" s="8">
        <v>1.7852258213116499E-4</v>
      </c>
      <c r="Y28" s="8">
        <v>4.3743933321472697E-5</v>
      </c>
      <c r="Z28" s="8">
        <v>4.1732595991292898E-5</v>
      </c>
      <c r="AA28" s="8">
        <v>4.1732595991292898E-5</v>
      </c>
      <c r="AB28" s="8">
        <v>7.2638985455659097E-3</v>
      </c>
      <c r="AC28" s="8">
        <v>4.6595382733064898E-2</v>
      </c>
      <c r="AD28" s="8">
        <v>4.6595382733064898E-2</v>
      </c>
      <c r="AE28" s="8">
        <v>4.6595382733064898E-2</v>
      </c>
      <c r="AF28" s="8">
        <v>8.1500089084327196E-2</v>
      </c>
      <c r="AG28" s="8">
        <v>0.19266995723623601</v>
      </c>
      <c r="AH28" s="8">
        <v>0.19266995723623601</v>
      </c>
      <c r="AI28" s="8">
        <v>0.19266995723623601</v>
      </c>
      <c r="AJ28" s="8">
        <v>1.6345594654860102E-2</v>
      </c>
      <c r="AK28" s="8">
        <v>1.6345594654860102E-2</v>
      </c>
      <c r="AL28" s="8">
        <v>1.6345594654860102E-2</v>
      </c>
      <c r="AM28" s="8">
        <v>1.6345594654860102E-2</v>
      </c>
      <c r="AN28" s="8">
        <v>0.33736044939643101</v>
      </c>
      <c r="AO28" s="8">
        <v>1.5772345501125301E-2</v>
      </c>
      <c r="AP28" s="8">
        <v>1.56299972084494E-3</v>
      </c>
      <c r="AQ28" s="8">
        <v>1.4668918975611799E-2</v>
      </c>
      <c r="AR28" s="8">
        <v>6.2575897666315803E-3</v>
      </c>
      <c r="AS28" s="8">
        <v>6.2575897666315803E-3</v>
      </c>
      <c r="AT28" s="8">
        <v>6.1510291582103699E-3</v>
      </c>
      <c r="AU28" s="8">
        <v>6.1510291582103699E-3</v>
      </c>
      <c r="AV28" s="8">
        <v>5.0308635865965105E-4</v>
      </c>
      <c r="AW28" s="8">
        <v>6.3769731891131802E-3</v>
      </c>
      <c r="AX28" s="8">
        <v>1.1018664917859701E-2</v>
      </c>
      <c r="AY28" s="8">
        <v>3.3268105547979501E-3</v>
      </c>
      <c r="AZ28" s="8">
        <v>4.11447033490458E-3</v>
      </c>
      <c r="BA28" s="8">
        <v>7.0316790692694997E-3</v>
      </c>
      <c r="BB28" s="8">
        <v>4.6216818668340697E-3</v>
      </c>
      <c r="BC28" s="8">
        <v>1.50025030557622E-3</v>
      </c>
      <c r="BD28" s="8">
        <v>1.4430440324140501E-3</v>
      </c>
      <c r="BE28" s="8">
        <v>1.10808138298212E-2</v>
      </c>
      <c r="BF28" s="8">
        <v>8.58572310038532E-4</v>
      </c>
      <c r="BG28" s="8">
        <v>2.3626665747661399E-3</v>
      </c>
      <c r="BH28" s="8">
        <v>1.92753342634845E-2</v>
      </c>
      <c r="BI28" s="8">
        <v>3.3539399996687301E-5</v>
      </c>
      <c r="BJ28" s="8">
        <v>9.0269339702455005E-4</v>
      </c>
      <c r="BK28" s="8">
        <v>9.2865710952187205E-3</v>
      </c>
      <c r="BL28" s="8">
        <v>0</v>
      </c>
      <c r="BM28" s="8">
        <v>2.7124384187469201E-2</v>
      </c>
      <c r="BN28" s="8">
        <v>3.1173474104115801E-3</v>
      </c>
      <c r="BO28" s="8">
        <v>1.9904660157664998E-3</v>
      </c>
      <c r="BP28" s="8">
        <v>0</v>
      </c>
      <c r="BQ28" s="8">
        <v>0.12258394644822</v>
      </c>
      <c r="BR28" s="8">
        <v>13.267806696705501</v>
      </c>
      <c r="BS28" s="8">
        <v>3.0291187593120799E-4</v>
      </c>
      <c r="BT28" s="8">
        <v>4.5430592613511598E-5</v>
      </c>
      <c r="BU28" s="8">
        <v>4.5658749237159303E-5</v>
      </c>
      <c r="BV28" s="8">
        <v>4.07677448299607E-5</v>
      </c>
      <c r="BW28" s="8">
        <v>3.6881556934333002E-3</v>
      </c>
      <c r="BX28" s="8">
        <v>7.8604209765978095E-3</v>
      </c>
      <c r="BY28" s="8">
        <v>5.65281907877733E-3</v>
      </c>
      <c r="BZ28" s="8">
        <v>4.6595382733064898E-2</v>
      </c>
      <c r="CA28" s="8">
        <v>4.6595382733064898E-2</v>
      </c>
      <c r="CB28" s="8">
        <v>2.2226763570358202E-2</v>
      </c>
      <c r="CC28" s="9">
        <v>1.8379584644862199E-2</v>
      </c>
      <c r="CD28" s="6">
        <v>0</v>
      </c>
    </row>
    <row r="29" spans="2:82" x14ac:dyDescent="0.15">
      <c r="B29" s="7" t="s">
        <v>3</v>
      </c>
      <c r="C29" s="8">
        <v>4.60145629018023E-3</v>
      </c>
      <c r="D29" s="8">
        <v>4.60145629018023E-3</v>
      </c>
      <c r="E29" s="8">
        <v>4.3993708316501599E-3</v>
      </c>
      <c r="F29" s="8">
        <v>4.3993708316501599E-3</v>
      </c>
      <c r="G29" s="8">
        <v>4.5924971796812699E-3</v>
      </c>
      <c r="H29" s="8">
        <v>3.5714767312031901E-3</v>
      </c>
      <c r="I29" s="8">
        <v>1.0123799231136699E-2</v>
      </c>
      <c r="J29" s="8">
        <v>1.0123799231136699E-2</v>
      </c>
      <c r="K29" s="8">
        <v>1.0123799231136699E-2</v>
      </c>
      <c r="L29" s="8">
        <v>7.5759553820471401E-3</v>
      </c>
      <c r="M29" s="8">
        <v>6.5008634244264601E-3</v>
      </c>
      <c r="N29" s="8">
        <v>6.5008634244264601E-3</v>
      </c>
      <c r="O29" s="8">
        <v>1.6007517005211999E-3</v>
      </c>
      <c r="P29" s="8">
        <v>1.3039759698710001E-3</v>
      </c>
      <c r="Q29" s="8">
        <v>1.3039759698710001E-3</v>
      </c>
      <c r="R29" s="8">
        <v>1.3039759698710001E-3</v>
      </c>
      <c r="S29" s="8">
        <v>8.5955173522449105E-4</v>
      </c>
      <c r="T29" s="8">
        <v>8.6909159356830302E-4</v>
      </c>
      <c r="U29" s="8">
        <v>8.6909159356830302E-4</v>
      </c>
      <c r="V29" s="8">
        <v>7.1992590647033299E-4</v>
      </c>
      <c r="W29" s="8">
        <v>7.0280650449057696E-4</v>
      </c>
      <c r="X29" s="8">
        <v>7.0279159536763901E-4</v>
      </c>
      <c r="Y29" s="8">
        <v>1.6444644945145601E-4</v>
      </c>
      <c r="Z29" s="8">
        <v>1.4159629072942401E-4</v>
      </c>
      <c r="AA29" s="8">
        <v>1.4159629072942401E-4</v>
      </c>
      <c r="AB29" s="8">
        <v>3.6691266286636099E-3</v>
      </c>
      <c r="AC29" s="8">
        <v>3.5427314459267798E-3</v>
      </c>
      <c r="AD29" s="8">
        <v>3.5427314459267798E-3</v>
      </c>
      <c r="AE29" s="8">
        <v>3.5427314459267798E-3</v>
      </c>
      <c r="AF29" s="8">
        <v>5.4555630402297597E-3</v>
      </c>
      <c r="AG29" s="8">
        <v>1.16756174211052E-2</v>
      </c>
      <c r="AH29" s="8">
        <v>1.16756174211052E-2</v>
      </c>
      <c r="AI29" s="8">
        <v>1.16756174211052E-2</v>
      </c>
      <c r="AJ29" s="8">
        <v>1.8367127300236898E-2</v>
      </c>
      <c r="AK29" s="8">
        <v>1.8367127300236898E-2</v>
      </c>
      <c r="AL29" s="8">
        <v>1.8367127300236898E-2</v>
      </c>
      <c r="AM29" s="8">
        <v>1.8367127300236898E-2</v>
      </c>
      <c r="AN29" s="8">
        <v>1.12804462094366E-2</v>
      </c>
      <c r="AO29" s="8">
        <v>1.7776189843204501E-2</v>
      </c>
      <c r="AP29" s="8">
        <v>5.0253131864072499E-3</v>
      </c>
      <c r="AQ29" s="8">
        <v>5.3302781724449697E-3</v>
      </c>
      <c r="AR29" s="8">
        <v>1.9079502623379401E-3</v>
      </c>
      <c r="AS29" s="8">
        <v>1.9079502623379401E-3</v>
      </c>
      <c r="AT29" s="8">
        <v>2.1966960159547802E-3</v>
      </c>
      <c r="AU29" s="8">
        <v>2.1966960159547802E-3</v>
      </c>
      <c r="AV29" s="8">
        <v>8.0857592533327904E-4</v>
      </c>
      <c r="AW29" s="8">
        <v>3.0083207925138602E-3</v>
      </c>
      <c r="AX29" s="8">
        <v>5.2908591537156602E-3</v>
      </c>
      <c r="AY29" s="8">
        <v>1.5428916865810199E-3</v>
      </c>
      <c r="AZ29" s="8">
        <v>1.02232593541567E-3</v>
      </c>
      <c r="BA29" s="8">
        <v>0.60296082639211501</v>
      </c>
      <c r="BB29" s="8">
        <v>2.7279179984201702E-3</v>
      </c>
      <c r="BC29" s="8">
        <v>5.9412405581465398E-3</v>
      </c>
      <c r="BD29" s="8">
        <v>5.9302299115433603E-3</v>
      </c>
      <c r="BE29" s="8">
        <v>2.5044663095905299E-2</v>
      </c>
      <c r="BF29" s="8">
        <v>2.8123694773738799E-3</v>
      </c>
      <c r="BG29" s="8">
        <v>9.0774712460501197E-3</v>
      </c>
      <c r="BH29" s="8">
        <v>4.8657950388645904E-3</v>
      </c>
      <c r="BI29" s="8">
        <v>1.31070466147633E-4</v>
      </c>
      <c r="BJ29" s="8">
        <v>3.8482038962658802E-3</v>
      </c>
      <c r="BK29" s="8">
        <v>1.8738571808651801E-3</v>
      </c>
      <c r="BL29" s="8">
        <v>0</v>
      </c>
      <c r="BM29" s="8">
        <v>3.61866496724431E-3</v>
      </c>
      <c r="BN29" s="8">
        <v>4.87846769759623E-3</v>
      </c>
      <c r="BO29" s="8">
        <v>5.4529544542719398E-3</v>
      </c>
      <c r="BP29" s="8">
        <v>0</v>
      </c>
      <c r="BQ29" s="8">
        <v>1.62643808514241E-2</v>
      </c>
      <c r="BR29" s="8">
        <v>6.9354873990418696E-3</v>
      </c>
      <c r="BS29" s="8">
        <v>1.17889087618147E-3</v>
      </c>
      <c r="BT29" s="8">
        <v>1.4146295850616601E-4</v>
      </c>
      <c r="BU29" s="8">
        <v>1.52653978405659E-4</v>
      </c>
      <c r="BV29" s="8">
        <v>1.3404099157763501E-4</v>
      </c>
      <c r="BW29" s="8">
        <v>2.4629613657659098E-3</v>
      </c>
      <c r="BX29" s="8">
        <v>2.9180077694769199E-3</v>
      </c>
      <c r="BY29" s="8">
        <v>2.4498678083834302E-3</v>
      </c>
      <c r="BZ29" s="8">
        <v>3.5427314459267798E-3</v>
      </c>
      <c r="CA29" s="8">
        <v>3.5427314459267798E-3</v>
      </c>
      <c r="CB29" s="8">
        <v>1.81400216930152E-2</v>
      </c>
      <c r="CC29" s="9">
        <v>1.8159422637929599E-2</v>
      </c>
      <c r="CD29" s="6">
        <v>0</v>
      </c>
    </row>
    <row r="30" spans="2:82" x14ac:dyDescent="0.15">
      <c r="B30" s="7" t="s">
        <v>35</v>
      </c>
      <c r="C30" s="8">
        <v>1.0529561724650201E-2</v>
      </c>
      <c r="D30" s="8">
        <v>1.0529561724650201E-2</v>
      </c>
      <c r="E30" s="8">
        <v>9.0140960778122003E-3</v>
      </c>
      <c r="F30" s="8">
        <v>9.0140960778122003E-3</v>
      </c>
      <c r="G30" s="8">
        <v>1.08070192227752E-2</v>
      </c>
      <c r="H30" s="8">
        <v>7.5755240792040202E-3</v>
      </c>
      <c r="I30" s="8">
        <v>6.4629680728948202E-2</v>
      </c>
      <c r="J30" s="8">
        <v>6.4629680728948202E-2</v>
      </c>
      <c r="K30" s="8">
        <v>6.4629680728948202E-2</v>
      </c>
      <c r="L30" s="8">
        <v>3.31834431778726E-3</v>
      </c>
      <c r="M30" s="8">
        <v>2.8114510615559001E-3</v>
      </c>
      <c r="N30" s="8">
        <v>2.8114510615559001E-3</v>
      </c>
      <c r="O30" s="8">
        <v>7.8516273594925895E-4</v>
      </c>
      <c r="P30" s="8">
        <v>6.6322163743445599E-4</v>
      </c>
      <c r="Q30" s="8">
        <v>6.6322163743445599E-4</v>
      </c>
      <c r="R30" s="8">
        <v>6.6322163743445599E-4</v>
      </c>
      <c r="S30" s="8">
        <v>5.4447302774397505E-4</v>
      </c>
      <c r="T30" s="8">
        <v>4.8399202690855002E-4</v>
      </c>
      <c r="U30" s="8">
        <v>4.8399202690855002E-4</v>
      </c>
      <c r="V30" s="8">
        <v>3.5031099818779799E-4</v>
      </c>
      <c r="W30" s="8">
        <v>3.3011034778976102E-4</v>
      </c>
      <c r="X30" s="8">
        <v>3.3002574136834899E-4</v>
      </c>
      <c r="Y30" s="8">
        <v>9.8690901330139694E-5</v>
      </c>
      <c r="Z30" s="8">
        <v>8.4798720752348494E-5</v>
      </c>
      <c r="AA30" s="8">
        <v>8.4798720752348494E-5</v>
      </c>
      <c r="AB30" s="8">
        <v>4.7440921763901396E-3</v>
      </c>
      <c r="AC30" s="8">
        <v>1.20316442681672E-2</v>
      </c>
      <c r="AD30" s="8">
        <v>1.20316442681672E-2</v>
      </c>
      <c r="AE30" s="8">
        <v>1.20316442681672E-2</v>
      </c>
      <c r="AF30" s="8">
        <v>1.8875680540622799E-2</v>
      </c>
      <c r="AG30" s="8">
        <v>0.107047485730248</v>
      </c>
      <c r="AH30" s="8">
        <v>0.107047485730248</v>
      </c>
      <c r="AI30" s="8">
        <v>0.107047485730248</v>
      </c>
      <c r="AJ30" s="8">
        <v>3.6822380803475503E-2</v>
      </c>
      <c r="AK30" s="8">
        <v>3.6822380803475503E-2</v>
      </c>
      <c r="AL30" s="8">
        <v>3.6822380803475503E-2</v>
      </c>
      <c r="AM30" s="8">
        <v>3.6822380803475503E-2</v>
      </c>
      <c r="AN30" s="8">
        <v>0.122372507389747</v>
      </c>
      <c r="AO30" s="8">
        <v>3.5566894730842999E-2</v>
      </c>
      <c r="AP30" s="8">
        <v>3.1240817463053399E-3</v>
      </c>
      <c r="AQ30" s="8">
        <v>4.55803450523722E-3</v>
      </c>
      <c r="AR30" s="8">
        <v>5.9649093778351503E-3</v>
      </c>
      <c r="AS30" s="8">
        <v>5.9649093778351503E-3</v>
      </c>
      <c r="AT30" s="8">
        <v>6.9982414318337698E-3</v>
      </c>
      <c r="AU30" s="8">
        <v>6.9982414318337698E-3</v>
      </c>
      <c r="AV30" s="8">
        <v>7.7647890822514704E-4</v>
      </c>
      <c r="AW30" s="8">
        <v>9.1938723422755504E-3</v>
      </c>
      <c r="AX30" s="8">
        <v>1.6315878245323399E-2</v>
      </c>
      <c r="AY30" s="8">
        <v>4.6492697631111404E-3</v>
      </c>
      <c r="AZ30" s="8">
        <v>1.9052174023454901E-3</v>
      </c>
      <c r="BA30" s="8">
        <v>1.6410356388713701E-2</v>
      </c>
      <c r="BB30" s="8">
        <v>3.0662072599351299E-3</v>
      </c>
      <c r="BC30" s="8">
        <v>2.9806346039308999E-3</v>
      </c>
      <c r="BD30" s="8">
        <v>2.9761974086313201E-3</v>
      </c>
      <c r="BE30" s="8">
        <v>4.8237143772898998E-2</v>
      </c>
      <c r="BF30" s="8">
        <v>1.65700639282126E-3</v>
      </c>
      <c r="BG30" s="8">
        <v>4.9363651589813496E-3</v>
      </c>
      <c r="BH30" s="8">
        <v>2.7680763736399501E-2</v>
      </c>
      <c r="BI30" s="8">
        <v>6.8814450197654501E-5</v>
      </c>
      <c r="BJ30" s="8">
        <v>1.81420488546405E-3</v>
      </c>
      <c r="BK30" s="8">
        <v>4.1625280423735504E-3</v>
      </c>
      <c r="BL30" s="8">
        <v>0</v>
      </c>
      <c r="BM30" s="8">
        <v>8.7701170107588704E-3</v>
      </c>
      <c r="BN30" s="8">
        <v>2.7979366338520902E-3</v>
      </c>
      <c r="BO30" s="8">
        <v>3.4827672060573299E-3</v>
      </c>
      <c r="BP30" s="8">
        <v>0</v>
      </c>
      <c r="BQ30" s="8">
        <v>12.5807674064773</v>
      </c>
      <c r="BR30" s="8">
        <v>0.122009646359569</v>
      </c>
      <c r="BS30" s="8">
        <v>6.3241562078680802E-4</v>
      </c>
      <c r="BT30" s="8">
        <v>8.4647717287722102E-5</v>
      </c>
      <c r="BU30" s="8">
        <v>8.7585185421497501E-5</v>
      </c>
      <c r="BV30" s="8">
        <v>7.8669411230659797E-5</v>
      </c>
      <c r="BW30" s="8">
        <v>3.9109287399318304E-3</v>
      </c>
      <c r="BX30" s="8">
        <v>6.6991271549226104E-3</v>
      </c>
      <c r="BY30" s="8">
        <v>4.2055469886348703E-3</v>
      </c>
      <c r="BZ30" s="8">
        <v>1.20316442681672E-2</v>
      </c>
      <c r="CA30" s="8">
        <v>1.20316442681672E-2</v>
      </c>
      <c r="CB30" s="8">
        <v>3.9165287535958097E-2</v>
      </c>
      <c r="CC30" s="9">
        <v>3.7292709057495099E-2</v>
      </c>
      <c r="CD30" s="6">
        <v>0</v>
      </c>
    </row>
    <row r="31" spans="2:82" x14ac:dyDescent="0.15">
      <c r="B31" s="7" t="s">
        <v>12</v>
      </c>
      <c r="C31" s="8">
        <v>3.17340267524473E-3</v>
      </c>
      <c r="D31" s="8">
        <v>3.17340267524473E-3</v>
      </c>
      <c r="E31" s="8">
        <v>2.89893145627347E-3</v>
      </c>
      <c r="F31" s="8">
        <v>2.89893145627347E-3</v>
      </c>
      <c r="G31" s="8">
        <v>3.19909166415941E-3</v>
      </c>
      <c r="H31" s="8">
        <v>2.4276017565881798E-3</v>
      </c>
      <c r="I31" s="8">
        <v>7.1508671472428897E-2</v>
      </c>
      <c r="J31" s="8">
        <v>7.1508671472428897E-2</v>
      </c>
      <c r="K31" s="8">
        <v>7.1508671472428897E-2</v>
      </c>
      <c r="L31" s="8">
        <v>2.84492157463021E-2</v>
      </c>
      <c r="M31" s="8">
        <v>2.1821969895675801E-2</v>
      </c>
      <c r="N31" s="8">
        <v>2.1821969895675801E-2</v>
      </c>
      <c r="O31" s="8">
        <v>3.1140449613529298E-3</v>
      </c>
      <c r="P31" s="8">
        <v>2.4458897020189201E-3</v>
      </c>
      <c r="Q31" s="8">
        <v>2.4458897020189201E-3</v>
      </c>
      <c r="R31" s="8">
        <v>2.4458897020189201E-3</v>
      </c>
      <c r="S31" s="8">
        <v>1.24224467756952E-3</v>
      </c>
      <c r="T31" s="8">
        <v>1.25873411508276E-3</v>
      </c>
      <c r="U31" s="8">
        <v>1.25873411508276E-3</v>
      </c>
      <c r="V31" s="8">
        <v>1.25126485263669E-3</v>
      </c>
      <c r="W31" s="8">
        <v>1.21728907273466E-3</v>
      </c>
      <c r="X31" s="8">
        <v>1.21728907273466E-3</v>
      </c>
      <c r="Y31" s="8">
        <v>2.6770659410960601E-4</v>
      </c>
      <c r="Z31" s="8">
        <v>2.3545826483154799E-4</v>
      </c>
      <c r="AA31" s="8">
        <v>2.3545826483154799E-4</v>
      </c>
      <c r="AB31" s="8">
        <v>1.9766274077082199E-3</v>
      </c>
      <c r="AC31" s="8">
        <v>2.9651070320631098E-3</v>
      </c>
      <c r="AD31" s="8">
        <v>2.9651070320631098E-3</v>
      </c>
      <c r="AE31" s="8">
        <v>2.9651070320631098E-3</v>
      </c>
      <c r="AF31" s="8">
        <v>4.2962492024709803E-3</v>
      </c>
      <c r="AG31" s="8">
        <v>6.7680279035502597E-2</v>
      </c>
      <c r="AH31" s="8">
        <v>6.7680279035502597E-2</v>
      </c>
      <c r="AI31" s="8">
        <v>6.7680279035502597E-2</v>
      </c>
      <c r="AJ31" s="8">
        <v>4.40092664933531E-2</v>
      </c>
      <c r="AK31" s="8">
        <v>4.40092664933531E-2</v>
      </c>
      <c r="AL31" s="8">
        <v>4.40092664933531E-2</v>
      </c>
      <c r="AM31" s="8">
        <v>4.40092664933531E-2</v>
      </c>
      <c r="AN31" s="8">
        <v>6.5242798705536301E-2</v>
      </c>
      <c r="AO31" s="8">
        <v>4.4148556680738499E-2</v>
      </c>
      <c r="AP31" s="8">
        <v>1.28154325207533E-2</v>
      </c>
      <c r="AQ31" s="8">
        <v>4.4797474925902102E-2</v>
      </c>
      <c r="AR31" s="8">
        <v>3.7914537898749798E-3</v>
      </c>
      <c r="AS31" s="8">
        <v>3.7914537898749798E-3</v>
      </c>
      <c r="AT31" s="8">
        <v>3.8761744683138599E-3</v>
      </c>
      <c r="AU31" s="8">
        <v>3.8761744683138599E-3</v>
      </c>
      <c r="AV31" s="8">
        <v>1.0376501997462601E-3</v>
      </c>
      <c r="AW31" s="8">
        <v>6.2297380509189699E-3</v>
      </c>
      <c r="AX31" s="8">
        <v>1.1408081084510999E-2</v>
      </c>
      <c r="AY31" s="8">
        <v>2.9042032997102099E-3</v>
      </c>
      <c r="AZ31" s="8">
        <v>7.2293103444381695E-4</v>
      </c>
      <c r="BA31" s="8">
        <v>2.51464529164576E-2</v>
      </c>
      <c r="BB31" s="8">
        <v>1.45782460330795E-3</v>
      </c>
      <c r="BC31" s="8">
        <v>1.11494109112868E-2</v>
      </c>
      <c r="BD31" s="8">
        <v>1.1141241746550099E-2</v>
      </c>
      <c r="BE31" s="8">
        <v>0.95337937214970803</v>
      </c>
      <c r="BF31" s="8">
        <v>6.2273231534369297E-3</v>
      </c>
      <c r="BG31" s="8">
        <v>1.7872828435916099E-2</v>
      </c>
      <c r="BH31" s="8">
        <v>1.7143448625183799E-2</v>
      </c>
      <c r="BI31" s="8">
        <v>2.1061037606911299E-4</v>
      </c>
      <c r="BJ31" s="8">
        <v>7.50821047450275E-3</v>
      </c>
      <c r="BK31" s="8">
        <v>1.25850234705579E-3</v>
      </c>
      <c r="BL31" s="8">
        <v>0</v>
      </c>
      <c r="BM31" s="8">
        <v>2.6158596092815201E-3</v>
      </c>
      <c r="BN31" s="8">
        <v>2.5579228042385401E-3</v>
      </c>
      <c r="BO31" s="8">
        <v>1.89037932069544E-2</v>
      </c>
      <c r="BP31" s="8">
        <v>0</v>
      </c>
      <c r="BQ31" s="8">
        <v>4.8213873653116301E-2</v>
      </c>
      <c r="BR31" s="8">
        <v>1.08557649226903E-2</v>
      </c>
      <c r="BS31" s="8">
        <v>2.1666040985039302E-3</v>
      </c>
      <c r="BT31" s="8">
        <v>2.21303239075588E-4</v>
      </c>
      <c r="BU31" s="8">
        <v>2.3769688078363599E-4</v>
      </c>
      <c r="BV31" s="8">
        <v>2.1345461884259801E-4</v>
      </c>
      <c r="BW31" s="8">
        <v>3.2970423011139298E-3</v>
      </c>
      <c r="BX31" s="8">
        <v>5.6994051600035697E-3</v>
      </c>
      <c r="BY31" s="8">
        <v>3.3715743857944398E-3</v>
      </c>
      <c r="BZ31" s="8">
        <v>2.9651070320631098E-3</v>
      </c>
      <c r="CA31" s="8">
        <v>2.9651070320631098E-3</v>
      </c>
      <c r="CB31" s="8">
        <v>4.4795964594775202E-2</v>
      </c>
      <c r="CC31" s="9">
        <v>4.3856207389577802E-2</v>
      </c>
      <c r="CD31" s="6">
        <v>0</v>
      </c>
    </row>
    <row r="32" spans="2:82" x14ac:dyDescent="0.15">
      <c r="B32" s="7" t="s">
        <v>0</v>
      </c>
      <c r="C32" s="8">
        <v>6.7403654486634099E-4</v>
      </c>
      <c r="D32" s="8">
        <v>6.7403654486634099E-4</v>
      </c>
      <c r="E32" s="8">
        <v>6.6311782230053296E-4</v>
      </c>
      <c r="F32" s="8">
        <v>6.6311782230053296E-4</v>
      </c>
      <c r="G32" s="8">
        <v>6.7641726404742803E-4</v>
      </c>
      <c r="H32" s="8">
        <v>5.0648263233163101E-4</v>
      </c>
      <c r="I32" s="8">
        <v>1.42624449745319E-2</v>
      </c>
      <c r="J32" s="8">
        <v>1.42624449745319E-2</v>
      </c>
      <c r="K32" s="8">
        <v>1.42624449745319E-2</v>
      </c>
      <c r="L32" s="8">
        <v>4.0813193767019203E-2</v>
      </c>
      <c r="M32" s="8">
        <v>3.9110090277619997E-2</v>
      </c>
      <c r="N32" s="8">
        <v>3.9110090277619997E-2</v>
      </c>
      <c r="O32" s="8">
        <v>1.8055131368276699E-2</v>
      </c>
      <c r="P32" s="8">
        <v>1.5024729780725001E-2</v>
      </c>
      <c r="Q32" s="8">
        <v>1.5024729780725001E-2</v>
      </c>
      <c r="R32" s="8">
        <v>1.5024729780725001E-2</v>
      </c>
      <c r="S32" s="8">
        <v>7.2976501916094602E-3</v>
      </c>
      <c r="T32" s="8">
        <v>7.5243774663279602E-3</v>
      </c>
      <c r="U32" s="8">
        <v>7.5243774663279602E-3</v>
      </c>
      <c r="V32" s="8">
        <v>4.4780824314402303E-3</v>
      </c>
      <c r="W32" s="8">
        <v>4.4081180630834603E-3</v>
      </c>
      <c r="X32" s="8">
        <v>4.4081180630834603E-3</v>
      </c>
      <c r="Y32" s="8">
        <v>1.2272426626203201E-3</v>
      </c>
      <c r="Z32" s="8">
        <v>9.9799566461011109E-4</v>
      </c>
      <c r="AA32" s="8">
        <v>9.9799566461011109E-4</v>
      </c>
      <c r="AB32" s="8">
        <v>5.2963789260198301E-4</v>
      </c>
      <c r="AC32" s="8">
        <v>5.9254250842651795E-4</v>
      </c>
      <c r="AD32" s="8">
        <v>5.9254250842651795E-4</v>
      </c>
      <c r="AE32" s="8">
        <v>5.9254250842651795E-4</v>
      </c>
      <c r="AF32" s="8">
        <v>8.36429197920856E-4</v>
      </c>
      <c r="AG32" s="8">
        <v>5.2175532177117798E-3</v>
      </c>
      <c r="AH32" s="8">
        <v>5.2175532177117798E-3</v>
      </c>
      <c r="AI32" s="8">
        <v>5.2175532177117798E-3</v>
      </c>
      <c r="AJ32" s="8">
        <v>9.5238582610599407E-3</v>
      </c>
      <c r="AK32" s="8">
        <v>9.5238582610599407E-3</v>
      </c>
      <c r="AL32" s="8">
        <v>9.5238582610599407E-3</v>
      </c>
      <c r="AM32" s="8">
        <v>9.5238582610599407E-3</v>
      </c>
      <c r="AN32" s="8">
        <v>4.4422087814838702E-3</v>
      </c>
      <c r="AO32" s="8">
        <v>9.9989524863168706E-3</v>
      </c>
      <c r="AP32" s="8">
        <v>16.3078864757274</v>
      </c>
      <c r="AQ32" s="8">
        <v>2.3792437409101402E-2</v>
      </c>
      <c r="AR32" s="8">
        <v>6.9225767039551899E-3</v>
      </c>
      <c r="AS32" s="8">
        <v>6.9225767039551899E-3</v>
      </c>
      <c r="AT32" s="8">
        <v>7.9312413653907805E-3</v>
      </c>
      <c r="AU32" s="8">
        <v>7.9312413653907805E-3</v>
      </c>
      <c r="AV32" s="8">
        <v>8.0886165534120602E-4</v>
      </c>
      <c r="AW32" s="8">
        <v>9.8833977052049E-3</v>
      </c>
      <c r="AX32" s="8">
        <v>1.8805750519609199E-2</v>
      </c>
      <c r="AY32" s="8">
        <v>4.4090282156305297E-3</v>
      </c>
      <c r="AZ32" s="8">
        <v>2.1129648143084E-4</v>
      </c>
      <c r="BA32" s="8">
        <v>5.2402862819453501E-3</v>
      </c>
      <c r="BB32" s="8">
        <v>4.0612874850341898E-4</v>
      </c>
      <c r="BC32" s="8">
        <v>0.143037663234444</v>
      </c>
      <c r="BD32" s="8">
        <v>0.116637160077427</v>
      </c>
      <c r="BE32" s="8">
        <v>1.26455188208849E-2</v>
      </c>
      <c r="BF32" s="8">
        <v>9.6584559262153202E-2</v>
      </c>
      <c r="BG32" s="8">
        <v>5.6554438126370503E-2</v>
      </c>
      <c r="BH32" s="8">
        <v>2.57903740813052E-2</v>
      </c>
      <c r="BI32" s="8">
        <v>9.5258428095913196E-4</v>
      </c>
      <c r="BJ32" s="8">
        <v>4.8891267854228503E-2</v>
      </c>
      <c r="BK32" s="8">
        <v>3.0491899053043903E-4</v>
      </c>
      <c r="BL32" s="8">
        <v>0</v>
      </c>
      <c r="BM32" s="8">
        <v>5.7702168954324601E-4</v>
      </c>
      <c r="BN32" s="8">
        <v>2.3270625401436099E-3</v>
      </c>
      <c r="BO32" s="8">
        <v>3.7157916268385202E-2</v>
      </c>
      <c r="BP32" s="8">
        <v>0</v>
      </c>
      <c r="BQ32" s="8">
        <v>3.2157588668089501E-3</v>
      </c>
      <c r="BR32" s="8">
        <v>1.60402129793159E-3</v>
      </c>
      <c r="BS32" s="8">
        <v>2.0035011147709302E-2</v>
      </c>
      <c r="BT32" s="8">
        <v>8.4536235605990303E-4</v>
      </c>
      <c r="BU32" s="8">
        <v>9.2182615361945802E-4</v>
      </c>
      <c r="BV32" s="8">
        <v>8.9091032142882601E-4</v>
      </c>
      <c r="BW32" s="8">
        <v>4.0969882155645404E-3</v>
      </c>
      <c r="BX32" s="8">
        <v>9.2111421280914197E-3</v>
      </c>
      <c r="BY32" s="8">
        <v>4.5631435628324902E-3</v>
      </c>
      <c r="BZ32" s="8">
        <v>5.9254250842651795E-4</v>
      </c>
      <c r="CA32" s="8">
        <v>5.9254250842651795E-4</v>
      </c>
      <c r="CB32" s="8">
        <v>9.3798301375355407E-3</v>
      </c>
      <c r="CC32" s="9">
        <v>9.3955524976406697E-3</v>
      </c>
      <c r="CD32" s="6">
        <v>0</v>
      </c>
    </row>
    <row r="33" spans="2:82" x14ac:dyDescent="0.15">
      <c r="B33" s="7" t="s">
        <v>15</v>
      </c>
      <c r="C33" s="8">
        <v>1.0767784199723701E-3</v>
      </c>
      <c r="D33" s="8">
        <v>1.0767784199723701E-3</v>
      </c>
      <c r="E33" s="8">
        <v>1.03923614830023E-3</v>
      </c>
      <c r="F33" s="8">
        <v>1.03923614830023E-3</v>
      </c>
      <c r="G33" s="8">
        <v>1.0692428678340899E-3</v>
      </c>
      <c r="H33" s="8">
        <v>8.2549401034422501E-4</v>
      </c>
      <c r="I33" s="8">
        <v>1.5196265799174701E-2</v>
      </c>
      <c r="J33" s="8">
        <v>1.5196265799174701E-2</v>
      </c>
      <c r="K33" s="8">
        <v>1.5196265799174701E-2</v>
      </c>
      <c r="L33" s="8">
        <v>2.6286844494323901E-2</v>
      </c>
      <c r="M33" s="8">
        <v>2.85070483833086E-2</v>
      </c>
      <c r="N33" s="8">
        <v>2.85070483833086E-2</v>
      </c>
      <c r="O33" s="8">
        <v>1.0847020245962199E-2</v>
      </c>
      <c r="P33" s="8">
        <v>9.3433899190557192E-3</v>
      </c>
      <c r="Q33" s="8">
        <v>9.3433899190557192E-3</v>
      </c>
      <c r="R33" s="8">
        <v>9.3433899190557192E-3</v>
      </c>
      <c r="S33" s="8">
        <v>7.7188926285331697E-3</v>
      </c>
      <c r="T33" s="8">
        <v>8.0294753784139992E-3</v>
      </c>
      <c r="U33" s="8">
        <v>8.0294753784139992E-3</v>
      </c>
      <c r="V33" s="8">
        <v>3.1342954159688202E-3</v>
      </c>
      <c r="W33" s="8">
        <v>3.06899780561654E-3</v>
      </c>
      <c r="X33" s="8">
        <v>3.06899780561654E-3</v>
      </c>
      <c r="Y33" s="8">
        <v>8.4879024965898899E-4</v>
      </c>
      <c r="Z33" s="8">
        <v>7.3545740025123105E-4</v>
      </c>
      <c r="AA33" s="8">
        <v>7.3545740025123105E-4</v>
      </c>
      <c r="AB33" s="8">
        <v>8.2597894047868896E-4</v>
      </c>
      <c r="AC33" s="8">
        <v>9.0015073033362805E-4</v>
      </c>
      <c r="AD33" s="8">
        <v>9.0015073033362805E-4</v>
      </c>
      <c r="AE33" s="8">
        <v>9.0015073033362805E-4</v>
      </c>
      <c r="AF33" s="8">
        <v>1.2596625880709699E-3</v>
      </c>
      <c r="AG33" s="8">
        <v>6.88320255828601E-3</v>
      </c>
      <c r="AH33" s="8">
        <v>6.88320255828601E-3</v>
      </c>
      <c r="AI33" s="8">
        <v>6.88320255828601E-3</v>
      </c>
      <c r="AJ33" s="8">
        <v>1.5257953835737701E-2</v>
      </c>
      <c r="AK33" s="8">
        <v>1.5257953835737701E-2</v>
      </c>
      <c r="AL33" s="8">
        <v>1.5257953835737701E-2</v>
      </c>
      <c r="AM33" s="8">
        <v>1.5257953835737701E-2</v>
      </c>
      <c r="AN33" s="8">
        <v>6.0786619611196404E-3</v>
      </c>
      <c r="AO33" s="8">
        <v>1.51026543363616E-2</v>
      </c>
      <c r="AP33" s="8">
        <v>5.6705411130145301E-2</v>
      </c>
      <c r="AQ33" s="8">
        <v>2.7077476900642598E-2</v>
      </c>
      <c r="AR33" s="8">
        <v>3.2243703786112802E-3</v>
      </c>
      <c r="AS33" s="8">
        <v>3.2243703786112802E-3</v>
      </c>
      <c r="AT33" s="8">
        <v>3.7313642386798702E-3</v>
      </c>
      <c r="AU33" s="8">
        <v>3.7313642386798702E-3</v>
      </c>
      <c r="AV33" s="8">
        <v>9.8972116812802197E-4</v>
      </c>
      <c r="AW33" s="8">
        <v>5.2693257961030898E-3</v>
      </c>
      <c r="AX33" s="8">
        <v>9.6803337322933294E-3</v>
      </c>
      <c r="AY33" s="8">
        <v>2.48235631592326E-3</v>
      </c>
      <c r="AZ33" s="8">
        <v>2.8558741859430902E-4</v>
      </c>
      <c r="BA33" s="8">
        <v>9.1908874400423793E-3</v>
      </c>
      <c r="BB33" s="8">
        <v>6.5732984395194696E-4</v>
      </c>
      <c r="BC33" s="8">
        <v>9.2440853478577098E-2</v>
      </c>
      <c r="BD33" s="8">
        <v>7.6677025029366006E-2</v>
      </c>
      <c r="BE33" s="8">
        <v>1.78808601776239E-2</v>
      </c>
      <c r="BF33" s="8">
        <v>2.6924692509519201E-2</v>
      </c>
      <c r="BG33" s="8">
        <v>0.21312140053100001</v>
      </c>
      <c r="BH33" s="8">
        <v>9.4218896003509297E-3</v>
      </c>
      <c r="BI33" s="8">
        <v>6.9460642301873404E-4</v>
      </c>
      <c r="BJ33" s="8">
        <v>3.3932739494833102E-2</v>
      </c>
      <c r="BK33" s="8">
        <v>4.3148143344352001E-4</v>
      </c>
      <c r="BL33" s="8">
        <v>0</v>
      </c>
      <c r="BM33" s="8">
        <v>8.6629563823235195E-4</v>
      </c>
      <c r="BN33" s="8">
        <v>2.6484820626437602E-3</v>
      </c>
      <c r="BO33" s="8">
        <v>1.21792483957329E-2</v>
      </c>
      <c r="BP33" s="8">
        <v>0</v>
      </c>
      <c r="BQ33" s="8">
        <v>4.9483462238809704E-3</v>
      </c>
      <c r="BR33" s="8">
        <v>2.3990727990620001E-3</v>
      </c>
      <c r="BS33" s="8">
        <v>9.2232286107444706E-3</v>
      </c>
      <c r="BT33" s="8">
        <v>7.0558145158103899E-4</v>
      </c>
      <c r="BU33" s="8">
        <v>7.7273436231501205E-4</v>
      </c>
      <c r="BV33" s="8">
        <v>6.8882240660048295E-4</v>
      </c>
      <c r="BW33" s="8">
        <v>3.3702020368242399E-3</v>
      </c>
      <c r="BX33" s="8">
        <v>5.94063052864598E-3</v>
      </c>
      <c r="BY33" s="8">
        <v>3.2888304886894799E-3</v>
      </c>
      <c r="BZ33" s="8">
        <v>9.0015073033362805E-4</v>
      </c>
      <c r="CA33" s="8">
        <v>9.0015073033362805E-4</v>
      </c>
      <c r="CB33" s="8">
        <v>1.49785624874294E-2</v>
      </c>
      <c r="CC33" s="9">
        <v>1.50334227763314E-2</v>
      </c>
      <c r="CD33" s="6">
        <v>0</v>
      </c>
    </row>
    <row r="34" spans="2:82" x14ac:dyDescent="0.15">
      <c r="B34" s="7" t="s">
        <v>23</v>
      </c>
      <c r="C34" s="8">
        <v>4.9808956435200399E-4</v>
      </c>
      <c r="D34" s="8">
        <v>4.9808956435200399E-4</v>
      </c>
      <c r="E34" s="8">
        <v>4.9615581849078304E-4</v>
      </c>
      <c r="F34" s="8">
        <v>4.9615581849078304E-4</v>
      </c>
      <c r="G34" s="8">
        <v>5.0434811413902696E-4</v>
      </c>
      <c r="H34" s="8">
        <v>3.8660062733234798E-4</v>
      </c>
      <c r="I34" s="8">
        <v>5.6163968282581999E-3</v>
      </c>
      <c r="J34" s="8">
        <v>5.6163968282581999E-3</v>
      </c>
      <c r="K34" s="8">
        <v>5.6163968282581999E-3</v>
      </c>
      <c r="L34" s="8">
        <v>6.01451006659438E-2</v>
      </c>
      <c r="M34" s="8">
        <v>9.3832115791412596E-2</v>
      </c>
      <c r="N34" s="8">
        <v>9.3832115791412596E-2</v>
      </c>
      <c r="O34" s="8">
        <v>6.3281695322845999E-2</v>
      </c>
      <c r="P34" s="8">
        <v>4.7058998257566299E-2</v>
      </c>
      <c r="Q34" s="8">
        <v>4.7058998257566299E-2</v>
      </c>
      <c r="R34" s="8">
        <v>4.7058998257566299E-2</v>
      </c>
      <c r="S34" s="8">
        <v>1.93544300491185E-2</v>
      </c>
      <c r="T34" s="8">
        <v>2.0585347667577299E-2</v>
      </c>
      <c r="U34" s="8">
        <v>2.0585347667577299E-2</v>
      </c>
      <c r="V34" s="8">
        <v>1.11420278802613E-2</v>
      </c>
      <c r="W34" s="8">
        <v>1.0827118054347201E-2</v>
      </c>
      <c r="X34" s="8">
        <v>1.0827118054347201E-2</v>
      </c>
      <c r="Y34" s="8">
        <v>2.0211057781379898E-3</v>
      </c>
      <c r="Z34" s="8">
        <v>1.70306069552149E-3</v>
      </c>
      <c r="AA34" s="8">
        <v>1.70306069552149E-3</v>
      </c>
      <c r="AB34" s="8">
        <v>4.3871355952433298E-4</v>
      </c>
      <c r="AC34" s="8">
        <v>3.9055712169098702E-4</v>
      </c>
      <c r="AD34" s="8">
        <v>3.9055712169098702E-4</v>
      </c>
      <c r="AE34" s="8">
        <v>3.9055712169098702E-4</v>
      </c>
      <c r="AF34" s="8">
        <v>5.3394835155136399E-4</v>
      </c>
      <c r="AG34" s="8">
        <v>2.5632421554668801E-3</v>
      </c>
      <c r="AH34" s="8">
        <v>2.5632421554668801E-3</v>
      </c>
      <c r="AI34" s="8">
        <v>2.5632421554668801E-3</v>
      </c>
      <c r="AJ34" s="8">
        <v>4.8321115006130701E-3</v>
      </c>
      <c r="AK34" s="8">
        <v>4.8321115006130701E-3</v>
      </c>
      <c r="AL34" s="8">
        <v>4.8321115006130701E-3</v>
      </c>
      <c r="AM34" s="8">
        <v>4.8321115006130701E-3</v>
      </c>
      <c r="AN34" s="8">
        <v>2.2342405549695401E-3</v>
      </c>
      <c r="AO34" s="8">
        <v>4.8570556991398102E-3</v>
      </c>
      <c r="AP34" s="8">
        <v>4.8861637163889603E-2</v>
      </c>
      <c r="AQ34" s="8">
        <v>2.2456672820796199E-2</v>
      </c>
      <c r="AR34" s="8">
        <v>3.4785933976363898E-3</v>
      </c>
      <c r="AS34" s="8">
        <v>3.4785933976363898E-3</v>
      </c>
      <c r="AT34" s="8">
        <v>5.4815313465979704E-3</v>
      </c>
      <c r="AU34" s="8">
        <v>5.4815313465979704E-3</v>
      </c>
      <c r="AV34" s="8">
        <v>6.5520709545104701E-4</v>
      </c>
      <c r="AW34" s="8">
        <v>5.5455661147291004E-3</v>
      </c>
      <c r="AX34" s="8">
        <v>1.00395375065693E-2</v>
      </c>
      <c r="AY34" s="8">
        <v>2.5959789586103401E-3</v>
      </c>
      <c r="AZ34" s="8">
        <v>1.3167371079495199E-4</v>
      </c>
      <c r="BA34" s="8">
        <v>3.9699706674896102E-3</v>
      </c>
      <c r="BB34" s="8">
        <v>3.7646614004364503E-4</v>
      </c>
      <c r="BC34" s="8">
        <v>0.116119893258175</v>
      </c>
      <c r="BD34" s="8">
        <v>0.12222488517918199</v>
      </c>
      <c r="BE34" s="8">
        <v>7.4872126028688799E-3</v>
      </c>
      <c r="BF34" s="8">
        <v>6.2629714075433801E-2</v>
      </c>
      <c r="BG34" s="8">
        <v>3.4051998116432898E-2</v>
      </c>
      <c r="BH34" s="8">
        <v>2.8978008648070999E-2</v>
      </c>
      <c r="BI34" s="8">
        <v>1.5594224287508601E-3</v>
      </c>
      <c r="BJ34" s="8">
        <v>2.0327700467830701</v>
      </c>
      <c r="BK34" s="8">
        <v>2.04718345211936E-4</v>
      </c>
      <c r="BL34" s="8">
        <v>0</v>
      </c>
      <c r="BM34" s="8">
        <v>3.7854779255326598E-4</v>
      </c>
      <c r="BN34" s="8">
        <v>2.2112764426034499E-3</v>
      </c>
      <c r="BO34" s="8">
        <v>1.9354586818324401E-2</v>
      </c>
      <c r="BP34" s="8">
        <v>0</v>
      </c>
      <c r="BQ34" s="8">
        <v>1.8548200468815499E-3</v>
      </c>
      <c r="BR34" s="8">
        <v>9.2783277818549105E-4</v>
      </c>
      <c r="BS34" s="8">
        <v>4.7068996016253403E-2</v>
      </c>
      <c r="BT34" s="8">
        <v>1.6872933413111899E-3</v>
      </c>
      <c r="BU34" s="8">
        <v>1.8405373079217601E-3</v>
      </c>
      <c r="BV34" s="8">
        <v>1.62717997275386E-3</v>
      </c>
      <c r="BW34" s="8">
        <v>4.1425170059941497E-3</v>
      </c>
      <c r="BX34" s="8">
        <v>6.7637185288406997E-3</v>
      </c>
      <c r="BY34" s="8">
        <v>3.6672044009741999E-3</v>
      </c>
      <c r="BZ34" s="8">
        <v>3.9055712169098702E-4</v>
      </c>
      <c r="CA34" s="8">
        <v>3.9055712169098702E-4</v>
      </c>
      <c r="CB34" s="8">
        <v>4.7560858709957497E-3</v>
      </c>
      <c r="CC34" s="9">
        <v>4.7669063239490798E-3</v>
      </c>
      <c r="CD34" s="6">
        <v>0</v>
      </c>
    </row>
    <row r="35" spans="2:82" x14ac:dyDescent="0.15">
      <c r="B35" s="7" t="s">
        <v>13</v>
      </c>
      <c r="C35" s="8">
        <v>4.2142967172729398E-4</v>
      </c>
      <c r="D35" s="8">
        <v>4.2142967172729398E-4</v>
      </c>
      <c r="E35" s="8">
        <v>4.1412374679988199E-4</v>
      </c>
      <c r="F35" s="8">
        <v>4.1412374679988199E-4</v>
      </c>
      <c r="G35" s="8">
        <v>4.2265032528165198E-4</v>
      </c>
      <c r="H35" s="8">
        <v>3.2142343563003399E-4</v>
      </c>
      <c r="I35" s="8">
        <v>5.3574466949900604E-3</v>
      </c>
      <c r="J35" s="8">
        <v>5.3574466949900604E-3</v>
      </c>
      <c r="K35" s="8">
        <v>5.3574466949900604E-3</v>
      </c>
      <c r="L35" s="8">
        <v>2.9699875543218499E-2</v>
      </c>
      <c r="M35" s="8">
        <v>2.9534362050034499E-2</v>
      </c>
      <c r="N35" s="8">
        <v>2.9534362050034499E-2</v>
      </c>
      <c r="O35" s="8">
        <v>2.97068297801629E-2</v>
      </c>
      <c r="P35" s="8">
        <v>2.4493689483161302E-2</v>
      </c>
      <c r="Q35" s="8">
        <v>2.4493689483161302E-2</v>
      </c>
      <c r="R35" s="8">
        <v>2.4493689483161302E-2</v>
      </c>
      <c r="S35" s="8">
        <v>1.8956183974132301E-2</v>
      </c>
      <c r="T35" s="8">
        <v>2.17341285481133E-2</v>
      </c>
      <c r="U35" s="8">
        <v>2.17341285481133E-2</v>
      </c>
      <c r="V35" s="8">
        <v>9.6939301771375302E-3</v>
      </c>
      <c r="W35" s="8">
        <v>9.4677915161362498E-3</v>
      </c>
      <c r="X35" s="8">
        <v>9.4677915161362498E-3</v>
      </c>
      <c r="Y35" s="8">
        <v>2.2122642945157801E-3</v>
      </c>
      <c r="Z35" s="8">
        <v>1.8644197899592E-3</v>
      </c>
      <c r="AA35" s="8">
        <v>1.8644197899592E-3</v>
      </c>
      <c r="AB35" s="8">
        <v>3.4012067762390302E-4</v>
      </c>
      <c r="AC35" s="8">
        <v>3.70280105353528E-4</v>
      </c>
      <c r="AD35" s="8">
        <v>3.70280105353528E-4</v>
      </c>
      <c r="AE35" s="8">
        <v>3.70280105353528E-4</v>
      </c>
      <c r="AF35" s="8">
        <v>5.0642636392546304E-4</v>
      </c>
      <c r="AG35" s="8">
        <v>2.7110381359770098E-3</v>
      </c>
      <c r="AH35" s="8">
        <v>2.7110381359770098E-3</v>
      </c>
      <c r="AI35" s="8">
        <v>2.7110381359770098E-3</v>
      </c>
      <c r="AJ35" s="8">
        <v>4.9376926603158303E-3</v>
      </c>
      <c r="AK35" s="8">
        <v>4.9376926603158303E-3</v>
      </c>
      <c r="AL35" s="8">
        <v>4.9376926603158303E-3</v>
      </c>
      <c r="AM35" s="8">
        <v>4.9376926603158303E-3</v>
      </c>
      <c r="AN35" s="8">
        <v>2.2885233365097599E-3</v>
      </c>
      <c r="AO35" s="8">
        <v>5.05156883887929E-3</v>
      </c>
      <c r="AP35" s="8">
        <v>9.67955292837714E-2</v>
      </c>
      <c r="AQ35" s="8">
        <v>2.4741902292678902E-2</v>
      </c>
      <c r="AR35" s="8">
        <v>3.9158177348632903E-3</v>
      </c>
      <c r="AS35" s="8">
        <v>3.9158177348632903E-3</v>
      </c>
      <c r="AT35" s="8">
        <v>5.37070423563167E-3</v>
      </c>
      <c r="AU35" s="8">
        <v>5.37070423563167E-3</v>
      </c>
      <c r="AV35" s="8">
        <v>8.9139499563073801E-4</v>
      </c>
      <c r="AW35" s="8">
        <v>5.8996014129826801E-3</v>
      </c>
      <c r="AX35" s="8">
        <v>1.06925151268801E-2</v>
      </c>
      <c r="AY35" s="8">
        <v>2.8412239706052198E-3</v>
      </c>
      <c r="AZ35" s="8">
        <v>1.2468716907052899E-4</v>
      </c>
      <c r="BA35" s="8">
        <v>2.9527048398766301E-3</v>
      </c>
      <c r="BB35" s="8">
        <v>2.7325878875088402E-4</v>
      </c>
      <c r="BC35" s="8">
        <v>5.3032118881386897E-2</v>
      </c>
      <c r="BD35" s="8">
        <v>4.9331115819413199E-2</v>
      </c>
      <c r="BE35" s="8">
        <v>6.2535073383251198E-3</v>
      </c>
      <c r="BF35" s="8">
        <v>0.870317844802587</v>
      </c>
      <c r="BG35" s="8">
        <v>2.6978145306252501E-2</v>
      </c>
      <c r="BH35" s="8">
        <v>1.6852867708237702E-2</v>
      </c>
      <c r="BI35" s="8">
        <v>1.67773752867745E-3</v>
      </c>
      <c r="BJ35" s="8">
        <v>6.2665750632512396E-2</v>
      </c>
      <c r="BK35" s="8">
        <v>1.7857360004765399E-4</v>
      </c>
      <c r="BL35" s="8">
        <v>0</v>
      </c>
      <c r="BM35" s="8">
        <v>3.5810522589588598E-4</v>
      </c>
      <c r="BN35" s="8">
        <v>2.5225339493989999E-3</v>
      </c>
      <c r="BO35" s="8">
        <v>3.7840394125826897E-2</v>
      </c>
      <c r="BP35" s="8">
        <v>0</v>
      </c>
      <c r="BQ35" s="8">
        <v>1.70673074131393E-3</v>
      </c>
      <c r="BR35" s="8">
        <v>9.0722007963756101E-4</v>
      </c>
      <c r="BS35" s="8">
        <v>3.3616606181192103E-2</v>
      </c>
      <c r="BT35" s="8">
        <v>1.6128852524234199E-3</v>
      </c>
      <c r="BU35" s="8">
        <v>1.7466293073324401E-3</v>
      </c>
      <c r="BV35" s="8">
        <v>1.69078636748534E-3</v>
      </c>
      <c r="BW35" s="8">
        <v>4.6586665212354304E-3</v>
      </c>
      <c r="BX35" s="8">
        <v>6.0838546527344998E-3</v>
      </c>
      <c r="BY35" s="8">
        <v>5.0133920491689304E-3</v>
      </c>
      <c r="BZ35" s="8">
        <v>3.70280105353528E-4</v>
      </c>
      <c r="CA35" s="8">
        <v>3.70280105353528E-4</v>
      </c>
      <c r="CB35" s="8">
        <v>4.8638119701092802E-3</v>
      </c>
      <c r="CC35" s="9">
        <v>4.8716129879214903E-3</v>
      </c>
      <c r="CD35" s="6">
        <v>0</v>
      </c>
    </row>
    <row r="36" spans="2:82" x14ac:dyDescent="0.15">
      <c r="B36" s="7" t="s">
        <v>32</v>
      </c>
      <c r="C36" s="8">
        <v>8.6510099639976103E-4</v>
      </c>
      <c r="D36" s="8">
        <v>8.6510099639976103E-4</v>
      </c>
      <c r="E36" s="8">
        <v>7.9855115847017296E-4</v>
      </c>
      <c r="F36" s="8">
        <v>7.9855115847017296E-4</v>
      </c>
      <c r="G36" s="8">
        <v>8.7568538463380404E-4</v>
      </c>
      <c r="H36" s="8">
        <v>7.2983922567952599E-4</v>
      </c>
      <c r="I36" s="8">
        <v>1.3773813157407401E-2</v>
      </c>
      <c r="J36" s="8">
        <v>1.3773813157407401E-2</v>
      </c>
      <c r="K36" s="8">
        <v>1.3773813157407401E-2</v>
      </c>
      <c r="L36" s="8">
        <v>8.32446653588787E-2</v>
      </c>
      <c r="M36" s="8">
        <v>7.8283938418906907E-2</v>
      </c>
      <c r="N36" s="8">
        <v>7.8283938418906907E-2</v>
      </c>
      <c r="O36" s="8">
        <v>1.18828226463142E-2</v>
      </c>
      <c r="P36" s="8">
        <v>9.7186118305817408E-3</v>
      </c>
      <c r="Q36" s="8">
        <v>9.7186118305817408E-3</v>
      </c>
      <c r="R36" s="8">
        <v>9.7186118305817408E-3</v>
      </c>
      <c r="S36" s="8">
        <v>2.19199503280707E-3</v>
      </c>
      <c r="T36" s="8">
        <v>2.2036479781553601E-3</v>
      </c>
      <c r="U36" s="8">
        <v>2.2036479781553601E-3</v>
      </c>
      <c r="V36" s="8">
        <v>4.0703633402071398E-3</v>
      </c>
      <c r="W36" s="8">
        <v>3.9563802648129604E-3</v>
      </c>
      <c r="X36" s="8">
        <v>3.9563802648129604E-3</v>
      </c>
      <c r="Y36" s="8">
        <v>7.9689217000754699E-4</v>
      </c>
      <c r="Z36" s="8">
        <v>6.7166287292586598E-4</v>
      </c>
      <c r="AA36" s="8">
        <v>6.7166287292586598E-4</v>
      </c>
      <c r="AB36" s="8">
        <v>5.9871928861099095E-4</v>
      </c>
      <c r="AC36" s="8">
        <v>8.3602673034869701E-4</v>
      </c>
      <c r="AD36" s="8">
        <v>8.3602673034869701E-4</v>
      </c>
      <c r="AE36" s="8">
        <v>8.3602673034869701E-4</v>
      </c>
      <c r="AF36" s="8">
        <v>1.1260930398766999E-3</v>
      </c>
      <c r="AG36" s="8">
        <v>6.8941099867514096E-3</v>
      </c>
      <c r="AH36" s="8">
        <v>6.8941099867514096E-3</v>
      </c>
      <c r="AI36" s="8">
        <v>6.8941099867514096E-3</v>
      </c>
      <c r="AJ36" s="8">
        <v>1.6941086670922801E-2</v>
      </c>
      <c r="AK36" s="8">
        <v>1.6941086670922801E-2</v>
      </c>
      <c r="AL36" s="8">
        <v>1.6941086670922801E-2</v>
      </c>
      <c r="AM36" s="8">
        <v>1.6941086670922801E-2</v>
      </c>
      <c r="AN36" s="8">
        <v>5.3886580923700701E-3</v>
      </c>
      <c r="AO36" s="8">
        <v>1.7506524380415198E-2</v>
      </c>
      <c r="AP36" s="8">
        <v>3.72898822341114E-2</v>
      </c>
      <c r="AQ36" s="8">
        <v>2.9472454953464001E-2</v>
      </c>
      <c r="AR36" s="8">
        <v>3.3398655461664398E-3</v>
      </c>
      <c r="AS36" s="8">
        <v>3.3398655461664398E-3</v>
      </c>
      <c r="AT36" s="8">
        <v>3.6325387736047998E-3</v>
      </c>
      <c r="AU36" s="8">
        <v>3.6325387736047998E-3</v>
      </c>
      <c r="AV36" s="8">
        <v>1.24534302154512E-3</v>
      </c>
      <c r="AW36" s="8">
        <v>5.4085443058220703E-3</v>
      </c>
      <c r="AX36" s="8">
        <v>9.6414646689557907E-3</v>
      </c>
      <c r="AY36" s="8">
        <v>2.61800993281237E-3</v>
      </c>
      <c r="AZ36" s="8">
        <v>2.8125563796451997E-4</v>
      </c>
      <c r="BA36" s="8">
        <v>5.5586896533943797E-3</v>
      </c>
      <c r="BB36" s="8">
        <v>4.86405631321157E-4</v>
      </c>
      <c r="BC36" s="8">
        <v>1.5328075669361001E-2</v>
      </c>
      <c r="BD36" s="8">
        <v>1.52494850359768E-2</v>
      </c>
      <c r="BE36" s="8">
        <v>1.89277360882769E-2</v>
      </c>
      <c r="BF36" s="8">
        <v>3.7710579044497199E-2</v>
      </c>
      <c r="BG36" s="8">
        <v>1.21780843941017E-2</v>
      </c>
      <c r="BH36" s="8">
        <v>1.0978701749162901E-2</v>
      </c>
      <c r="BI36" s="8">
        <v>5.5762871081809699E-4</v>
      </c>
      <c r="BJ36" s="8">
        <v>1.9255911145016201E-2</v>
      </c>
      <c r="BK36" s="8">
        <v>4.0568543228925201E-4</v>
      </c>
      <c r="BL36" s="8">
        <v>0</v>
      </c>
      <c r="BM36" s="8">
        <v>8.3193351205074803E-4</v>
      </c>
      <c r="BN36" s="8">
        <v>3.09763697501318E-3</v>
      </c>
      <c r="BO36" s="8">
        <v>1.6008678835105801</v>
      </c>
      <c r="BP36" s="8">
        <v>0</v>
      </c>
      <c r="BQ36" s="8">
        <v>3.4645449510025102E-3</v>
      </c>
      <c r="BR36" s="8">
        <v>1.9710480496677001E-3</v>
      </c>
      <c r="BS36" s="8">
        <v>5.8026750748304302E-3</v>
      </c>
      <c r="BT36" s="8">
        <v>5.6281426505479801E-4</v>
      </c>
      <c r="BU36" s="8">
        <v>5.9790320344480202E-4</v>
      </c>
      <c r="BV36" s="8">
        <v>5.9737535018208096E-4</v>
      </c>
      <c r="BW36" s="8">
        <v>4.6080147687428399E-3</v>
      </c>
      <c r="BX36" s="8">
        <v>4.3680122726207898E-3</v>
      </c>
      <c r="BY36" s="8">
        <v>3.99733929853416E-3</v>
      </c>
      <c r="BZ36" s="8">
        <v>8.3602673034869701E-4</v>
      </c>
      <c r="CA36" s="8">
        <v>8.3602673034869701E-4</v>
      </c>
      <c r="CB36" s="8">
        <v>1.66027051647273E-2</v>
      </c>
      <c r="CC36" s="9">
        <v>1.66870583846166E-2</v>
      </c>
      <c r="CD36" s="6">
        <v>0</v>
      </c>
    </row>
    <row r="37" spans="2:82" x14ac:dyDescent="0.15">
      <c r="B37" s="7" t="s">
        <v>11</v>
      </c>
      <c r="C37" s="8">
        <v>7.6105601005872596E-4</v>
      </c>
      <c r="D37" s="8">
        <v>7.6109176604615401E-4</v>
      </c>
      <c r="E37" s="8">
        <v>7.9758574891356795E-4</v>
      </c>
      <c r="F37" s="8">
        <v>7.9758574891356795E-4</v>
      </c>
      <c r="G37" s="8">
        <v>7.4954098858906601E-4</v>
      </c>
      <c r="H37" s="8">
        <v>5.8494771908530795E-4</v>
      </c>
      <c r="I37" s="8">
        <v>1.0203517479039E-2</v>
      </c>
      <c r="J37" s="8">
        <v>1.0203517479039E-2</v>
      </c>
      <c r="K37" s="8">
        <v>1.0203517479039E-2</v>
      </c>
      <c r="L37" s="8">
        <v>2.98328238060942E-2</v>
      </c>
      <c r="M37" s="8">
        <v>4.0214915166817203E-2</v>
      </c>
      <c r="N37" s="8">
        <v>4.0214915166817203E-2</v>
      </c>
      <c r="O37" s="8">
        <v>2.5522746476441299E-2</v>
      </c>
      <c r="P37" s="8">
        <v>2.31763083666775E-2</v>
      </c>
      <c r="Q37" s="8">
        <v>2.31763083666775E-2</v>
      </c>
      <c r="R37" s="8">
        <v>2.31763083666775E-2</v>
      </c>
      <c r="S37" s="8">
        <v>1.0649785346609099E-2</v>
      </c>
      <c r="T37" s="8">
        <v>1.09731755867512E-2</v>
      </c>
      <c r="U37" s="8">
        <v>1.09731755867512E-2</v>
      </c>
      <c r="V37" s="8">
        <v>5.6919677124203597E-3</v>
      </c>
      <c r="W37" s="8">
        <v>5.4331260162295099E-3</v>
      </c>
      <c r="X37" s="8">
        <v>5.4331260162295099E-3</v>
      </c>
      <c r="Y37" s="8">
        <v>1.2640634280636899E-3</v>
      </c>
      <c r="Z37" s="8">
        <v>1.0737150645833101E-3</v>
      </c>
      <c r="AA37" s="8">
        <v>1.0737607141855399E-3</v>
      </c>
      <c r="AB37" s="8">
        <v>6.6208566754244404E-4</v>
      </c>
      <c r="AC37" s="8">
        <v>5.4566997010979299E-4</v>
      </c>
      <c r="AD37" s="8">
        <v>5.4566997010979299E-4</v>
      </c>
      <c r="AE37" s="8">
        <v>5.4566997010979299E-4</v>
      </c>
      <c r="AF37" s="8">
        <v>8.7472985903853495E-4</v>
      </c>
      <c r="AG37" s="8">
        <v>4.3390550873942902E-3</v>
      </c>
      <c r="AH37" s="8">
        <v>4.3390550873942902E-3</v>
      </c>
      <c r="AI37" s="8">
        <v>4.3390550873942902E-3</v>
      </c>
      <c r="AJ37" s="8">
        <v>8.0843488697903403E-3</v>
      </c>
      <c r="AK37" s="8">
        <v>8.0843488697903403E-3</v>
      </c>
      <c r="AL37" s="8">
        <v>8.0843488697903403E-3</v>
      </c>
      <c r="AM37" s="8">
        <v>8.0843488697903403E-3</v>
      </c>
      <c r="AN37" s="8">
        <v>3.8260302170898398E-3</v>
      </c>
      <c r="AO37" s="8">
        <v>8.0120960815400401E-3</v>
      </c>
      <c r="AP37" s="8">
        <v>0.14280727443227401</v>
      </c>
      <c r="AQ37" s="8">
        <v>5.1143709338969503E-3</v>
      </c>
      <c r="AR37" s="8">
        <v>4.8802969342482501E-3</v>
      </c>
      <c r="AS37" s="8">
        <v>4.8802969342482501E-3</v>
      </c>
      <c r="AT37" s="8">
        <v>6.1922064181066496E-3</v>
      </c>
      <c r="AU37" s="8">
        <v>6.1922064181066496E-3</v>
      </c>
      <c r="AV37" s="8">
        <v>6.9375727522891304E-4</v>
      </c>
      <c r="AW37" s="8">
        <v>7.13850887374757E-3</v>
      </c>
      <c r="AX37" s="8">
        <v>1.3245172618090601E-2</v>
      </c>
      <c r="AY37" s="8">
        <v>3.1251479781554199E-3</v>
      </c>
      <c r="AZ37" s="8">
        <v>1.7182208415585801E-4</v>
      </c>
      <c r="BA37" s="8">
        <v>6.0775267872398304E-3</v>
      </c>
      <c r="BB37" s="8">
        <v>4.7430117118460398E-4</v>
      </c>
      <c r="BC37" s="8">
        <v>24.408784296897299</v>
      </c>
      <c r="BD37" s="8">
        <v>1.0851144924632401</v>
      </c>
      <c r="BE37" s="8">
        <v>1.11962714880428E-2</v>
      </c>
      <c r="BF37" s="8">
        <v>5.30802551246949E-2</v>
      </c>
      <c r="BG37" s="8">
        <v>9.2441520524391196E-2</v>
      </c>
      <c r="BH37" s="8">
        <v>2.6621981216770899E-2</v>
      </c>
      <c r="BI37" s="8">
        <v>1.0398968616235999E-3</v>
      </c>
      <c r="BJ37" s="8">
        <v>0.116281997552125</v>
      </c>
      <c r="BK37" s="8">
        <v>2.9290999297659802E-4</v>
      </c>
      <c r="BL37" s="8">
        <v>0</v>
      </c>
      <c r="BM37" s="8">
        <v>5.8725267554679604E-4</v>
      </c>
      <c r="BN37" s="8">
        <v>2.1794030189334099E-3</v>
      </c>
      <c r="BO37" s="8">
        <v>1.53921838348438E-2</v>
      </c>
      <c r="BP37" s="8">
        <v>0</v>
      </c>
      <c r="BQ37" s="8">
        <v>3.0251478167698199E-3</v>
      </c>
      <c r="BR37" s="8">
        <v>1.46585471771423E-3</v>
      </c>
      <c r="BS37" s="8">
        <v>3.2171163306483799E-2</v>
      </c>
      <c r="BT37" s="8">
        <v>1.14014719721018E-3</v>
      </c>
      <c r="BU37" s="8">
        <v>1.1066752500223701E-3</v>
      </c>
      <c r="BV37" s="8">
        <v>1.00071139761407E-3</v>
      </c>
      <c r="BW37" s="8">
        <v>3.5591497637311701E-3</v>
      </c>
      <c r="BX37" s="8">
        <v>8.0639613703787794E-3</v>
      </c>
      <c r="BY37" s="8">
        <v>3.49677223405868E-3</v>
      </c>
      <c r="BZ37" s="8">
        <v>5.4566997010979299E-4</v>
      </c>
      <c r="CA37" s="8">
        <v>5.4566997010979299E-4</v>
      </c>
      <c r="CB37" s="8">
        <v>7.9597718584567007E-3</v>
      </c>
      <c r="CC37" s="9">
        <v>7.9755988637452702E-3</v>
      </c>
      <c r="CD37" s="6">
        <v>0</v>
      </c>
    </row>
    <row r="38" spans="2:82" x14ac:dyDescent="0.15">
      <c r="B38" s="7" t="s">
        <v>39</v>
      </c>
      <c r="C38" s="8">
        <v>1.7377400801184999E-4</v>
      </c>
      <c r="D38" s="8">
        <v>1.7377400801184999E-4</v>
      </c>
      <c r="E38" s="8">
        <v>1.8747525900844099E-4</v>
      </c>
      <c r="F38" s="8">
        <v>1.8747525900844099E-4</v>
      </c>
      <c r="G38" s="8">
        <v>1.72319149533232E-4</v>
      </c>
      <c r="H38" s="8">
        <v>1.2653939664960899E-4</v>
      </c>
      <c r="I38" s="8">
        <v>1.6668772156390201E-3</v>
      </c>
      <c r="J38" s="8">
        <v>1.6668772156390201E-3</v>
      </c>
      <c r="K38" s="8">
        <v>1.6668772156390201E-3</v>
      </c>
      <c r="L38" s="8">
        <v>9.7424993308440292E-3</v>
      </c>
      <c r="M38" s="8">
        <v>1.27900118559909E-2</v>
      </c>
      <c r="N38" s="8">
        <v>1.27900118559909E-2</v>
      </c>
      <c r="O38" s="8">
        <v>4.21583326189705E-2</v>
      </c>
      <c r="P38" s="8">
        <v>5.5375642057408497E-2</v>
      </c>
      <c r="Q38" s="8">
        <v>5.5375642057408497E-2</v>
      </c>
      <c r="R38" s="8">
        <v>5.5375642057408497E-2</v>
      </c>
      <c r="S38" s="8">
        <v>3.08149030558739E-2</v>
      </c>
      <c r="T38" s="8">
        <v>3.1655112616707899E-2</v>
      </c>
      <c r="U38" s="8">
        <v>3.1655112616707899E-2</v>
      </c>
      <c r="V38" s="8">
        <v>3.1516022273434599E-2</v>
      </c>
      <c r="W38" s="8">
        <v>3.2313842355164199E-2</v>
      </c>
      <c r="X38" s="8">
        <v>3.2313842355164199E-2</v>
      </c>
      <c r="Y38" s="8">
        <v>3.2791836294804103E-2</v>
      </c>
      <c r="Z38" s="8">
        <v>3.11673382461688E-2</v>
      </c>
      <c r="AA38" s="8">
        <v>3.11673382461688E-2</v>
      </c>
      <c r="AB38" s="8">
        <v>1.7393582867180401E-4</v>
      </c>
      <c r="AC38" s="8">
        <v>1.4196672902002001E-4</v>
      </c>
      <c r="AD38" s="8">
        <v>1.4196672902002001E-4</v>
      </c>
      <c r="AE38" s="8">
        <v>1.4196672902002001E-4</v>
      </c>
      <c r="AF38" s="8">
        <v>1.8783871992652899E-4</v>
      </c>
      <c r="AG38" s="8">
        <v>8.7366398710614997E-4</v>
      </c>
      <c r="AH38" s="8">
        <v>8.7366398710614997E-4</v>
      </c>
      <c r="AI38" s="8">
        <v>8.7366398710614997E-4</v>
      </c>
      <c r="AJ38" s="8">
        <v>1.6589828769564101E-3</v>
      </c>
      <c r="AK38" s="8">
        <v>1.6589828769564101E-3</v>
      </c>
      <c r="AL38" s="8">
        <v>1.6589828769564101E-3</v>
      </c>
      <c r="AM38" s="8">
        <v>1.65904436863956E-3</v>
      </c>
      <c r="AN38" s="8">
        <v>7.8489002783126204E-4</v>
      </c>
      <c r="AO38" s="8">
        <v>1.64176353666007E-3</v>
      </c>
      <c r="AP38" s="8">
        <v>2.0144730922676098E-2</v>
      </c>
      <c r="AQ38" s="8">
        <v>3.9880078652722297E-3</v>
      </c>
      <c r="AR38" s="8">
        <v>6.3744529258865402E-3</v>
      </c>
      <c r="AS38" s="8">
        <v>6.3744529258865402E-3</v>
      </c>
      <c r="AT38" s="8">
        <v>1.0833929277507899E-2</v>
      </c>
      <c r="AU38" s="8">
        <v>1.0833929277507899E-2</v>
      </c>
      <c r="AV38" s="8">
        <v>8.1709531833793598E-4</v>
      </c>
      <c r="AW38" s="8">
        <v>1.23899036652854E-2</v>
      </c>
      <c r="AX38" s="8">
        <v>2.0797599345397499E-2</v>
      </c>
      <c r="AY38" s="8">
        <v>6.5275240813076896E-3</v>
      </c>
      <c r="AZ38" s="8">
        <v>4.9654926540932901E-5</v>
      </c>
      <c r="BA38" s="8">
        <v>1.24364398869756E-3</v>
      </c>
      <c r="BB38" s="8">
        <v>1.4710984534981099E-4</v>
      </c>
      <c r="BC38" s="8">
        <v>3.2146808471084698E-2</v>
      </c>
      <c r="BD38" s="8">
        <v>3.2378011345639501E-2</v>
      </c>
      <c r="BE38" s="8">
        <v>2.2124566759880002E-3</v>
      </c>
      <c r="BF38" s="8">
        <v>3.3430603125977502E-2</v>
      </c>
      <c r="BG38" s="8">
        <v>9.13141123327154E-3</v>
      </c>
      <c r="BH38" s="8">
        <v>3.09198563806426E-2</v>
      </c>
      <c r="BI38" s="8">
        <v>2.2563023121293199E-2</v>
      </c>
      <c r="BJ38" s="8">
        <v>4.7235589661643998E-2</v>
      </c>
      <c r="BK38" s="8">
        <v>6.9297710091121995E-5</v>
      </c>
      <c r="BL38" s="8">
        <v>0</v>
      </c>
      <c r="BM38" s="8">
        <v>1.3649357425774499E-4</v>
      </c>
      <c r="BN38" s="8">
        <v>2.0841177751245101E-3</v>
      </c>
      <c r="BO38" s="8">
        <v>5.9350362669343196E-3</v>
      </c>
      <c r="BP38" s="8">
        <v>0</v>
      </c>
      <c r="BQ38" s="8">
        <v>6.5389622438498905E-4</v>
      </c>
      <c r="BR38" s="8">
        <v>3.4936083512700298E-4</v>
      </c>
      <c r="BS38" s="8">
        <v>14.6583289826568</v>
      </c>
      <c r="BT38" s="8">
        <v>3.8370606959795203E-2</v>
      </c>
      <c r="BU38" s="8">
        <v>2.8352303624724001E-2</v>
      </c>
      <c r="BV38" s="8">
        <v>2.57439731042533E-2</v>
      </c>
      <c r="BW38" s="8">
        <v>6.4457073584399203E-3</v>
      </c>
      <c r="BX38" s="8">
        <v>1.35908085107866E-2</v>
      </c>
      <c r="BY38" s="8">
        <v>6.4897966600592502E-3</v>
      </c>
      <c r="BZ38" s="8">
        <v>1.4196672902002001E-4</v>
      </c>
      <c r="CA38" s="8">
        <v>1.4196672902002001E-4</v>
      </c>
      <c r="CB38" s="8">
        <v>1.6332530988142299E-3</v>
      </c>
      <c r="CC38" s="9">
        <v>1.6372089682557701E-3</v>
      </c>
      <c r="CD38" s="6">
        <v>0</v>
      </c>
    </row>
    <row r="39" spans="2:82" x14ac:dyDescent="0.15">
      <c r="B39" s="7" t="s">
        <v>40</v>
      </c>
      <c r="C39" s="8">
        <v>3.2463000942173501E-5</v>
      </c>
      <c r="D39" s="8">
        <v>3.2463000942173501E-5</v>
      </c>
      <c r="E39" s="8">
        <v>3.0397242269617102E-5</v>
      </c>
      <c r="F39" s="8">
        <v>3.0397242269617102E-5</v>
      </c>
      <c r="G39" s="8">
        <v>2.5282969234237099E-5</v>
      </c>
      <c r="H39" s="8">
        <v>2.0759508630054401E-5</v>
      </c>
      <c r="I39" s="8">
        <v>1.5905017304127E-4</v>
      </c>
      <c r="J39" s="8">
        <v>1.5905017304127E-4</v>
      </c>
      <c r="K39" s="8">
        <v>1.5905017304127E-4</v>
      </c>
      <c r="L39" s="8">
        <v>8.0050291592373998E-4</v>
      </c>
      <c r="M39" s="8">
        <v>1.00278803069911E-3</v>
      </c>
      <c r="N39" s="8">
        <v>1.00278803069911E-3</v>
      </c>
      <c r="O39" s="8">
        <v>2.52032943097549E-2</v>
      </c>
      <c r="P39" s="8">
        <v>2.5859487450576601E-2</v>
      </c>
      <c r="Q39" s="8">
        <v>2.5859487450576601E-2</v>
      </c>
      <c r="R39" s="8">
        <v>2.5859487450576601E-2</v>
      </c>
      <c r="S39" s="8">
        <v>9.4270301373050799E-3</v>
      </c>
      <c r="T39" s="8">
        <v>9.8870727614269096E-3</v>
      </c>
      <c r="U39" s="8">
        <v>9.8870727614269096E-3</v>
      </c>
      <c r="V39" s="8">
        <v>1.15469501019043E-2</v>
      </c>
      <c r="W39" s="8">
        <v>1.3462077904311301E-2</v>
      </c>
      <c r="X39" s="8">
        <v>1.3462077904311301E-2</v>
      </c>
      <c r="Y39" s="8">
        <v>6.0129130718935699E-2</v>
      </c>
      <c r="Z39" s="8">
        <v>7.78255631503251E-2</v>
      </c>
      <c r="AA39" s="8">
        <v>7.78255631503251E-2</v>
      </c>
      <c r="AB39" s="8">
        <v>3.9172287628572798E-5</v>
      </c>
      <c r="AC39" s="8">
        <v>2.4859147348528199E-5</v>
      </c>
      <c r="AD39" s="8">
        <v>2.4859147348528199E-5</v>
      </c>
      <c r="AE39" s="8">
        <v>2.4859147348528199E-5</v>
      </c>
      <c r="AF39" s="8">
        <v>3.31376324415037E-5</v>
      </c>
      <c r="AG39" s="8">
        <v>9.7170294364837606E-5</v>
      </c>
      <c r="AH39" s="8">
        <v>9.7170294364837606E-5</v>
      </c>
      <c r="AI39" s="8">
        <v>9.7170294364837606E-5</v>
      </c>
      <c r="AJ39" s="8">
        <v>1.85513159634874E-4</v>
      </c>
      <c r="AK39" s="8">
        <v>1.85513159634874E-4</v>
      </c>
      <c r="AL39" s="8">
        <v>1.85513159634874E-4</v>
      </c>
      <c r="AM39" s="8">
        <v>1.8551781427275399E-4</v>
      </c>
      <c r="AN39" s="8">
        <v>8.9136726088718496E-5</v>
      </c>
      <c r="AO39" s="8">
        <v>1.8128169209854399E-4</v>
      </c>
      <c r="AP39" s="8">
        <v>8.8766926289160302E-4</v>
      </c>
      <c r="AQ39" s="8">
        <v>4.1360591981636202E-3</v>
      </c>
      <c r="AR39" s="8">
        <v>5.0143484239843997E-3</v>
      </c>
      <c r="AS39" s="8">
        <v>5.0143484239843997E-3</v>
      </c>
      <c r="AT39" s="8">
        <v>5.2733774549044302E-3</v>
      </c>
      <c r="AU39" s="8">
        <v>5.2733774549044302E-3</v>
      </c>
      <c r="AV39" s="8">
        <v>1.5155851909208499E-3</v>
      </c>
      <c r="AW39" s="8">
        <v>7.9799083331517692E-3</v>
      </c>
      <c r="AX39" s="8">
        <v>1.02275662136575E-2</v>
      </c>
      <c r="AY39" s="8">
        <v>5.8145081625251196E-3</v>
      </c>
      <c r="AZ39" s="8">
        <v>1.11951218695468E-5</v>
      </c>
      <c r="BA39" s="8">
        <v>1.50149774592656E-4</v>
      </c>
      <c r="BB39" s="8">
        <v>3.3662523112643701E-5</v>
      </c>
      <c r="BC39" s="8">
        <v>1.07317457855456E-3</v>
      </c>
      <c r="BD39" s="8">
        <v>1.0706616231976199E-3</v>
      </c>
      <c r="BE39" s="8">
        <v>2.2670754497738701E-4</v>
      </c>
      <c r="BF39" s="8">
        <v>1.5820124552874599E-3</v>
      </c>
      <c r="BG39" s="8">
        <v>6.8121015953310495E-4</v>
      </c>
      <c r="BH39" s="8">
        <v>1.5396584704605001E-2</v>
      </c>
      <c r="BI39" s="8">
        <v>7.5309769547107802E-2</v>
      </c>
      <c r="BJ39" s="8">
        <v>1.6885966036074599E-3</v>
      </c>
      <c r="BK39" s="8">
        <v>1.17740547950268E-5</v>
      </c>
      <c r="BL39" s="8">
        <v>0</v>
      </c>
      <c r="BM39" s="8">
        <v>2.1770150334906501E-5</v>
      </c>
      <c r="BN39" s="8">
        <v>2.6790977678511799E-3</v>
      </c>
      <c r="BO39" s="8">
        <v>5.7715362499706296E-4</v>
      </c>
      <c r="BP39" s="8">
        <v>0</v>
      </c>
      <c r="BQ39" s="8">
        <v>8.6548783787076093E-5</v>
      </c>
      <c r="BR39" s="8">
        <v>4.38029569608283E-5</v>
      </c>
      <c r="BS39" s="8">
        <v>3.8434234944652999E-2</v>
      </c>
      <c r="BT39" s="8">
        <v>5.6207200745835397</v>
      </c>
      <c r="BU39" s="8">
        <v>0.311030377337149</v>
      </c>
      <c r="BV39" s="8">
        <v>0.196361325065393</v>
      </c>
      <c r="BW39" s="8">
        <v>5.6566270191798097E-3</v>
      </c>
      <c r="BX39" s="8">
        <v>6.5490981620898196E-3</v>
      </c>
      <c r="BY39" s="8">
        <v>6.10167379206469E-3</v>
      </c>
      <c r="BZ39" s="8">
        <v>2.4859147348528199E-5</v>
      </c>
      <c r="CA39" s="8">
        <v>2.4859147348528199E-5</v>
      </c>
      <c r="CB39" s="8">
        <v>1.8259075897131299E-4</v>
      </c>
      <c r="CC39" s="9">
        <v>1.8310407811539199E-4</v>
      </c>
      <c r="CD39" s="6">
        <v>0</v>
      </c>
    </row>
    <row r="40" spans="2:82" x14ac:dyDescent="0.15">
      <c r="B40" s="7" t="s">
        <v>22</v>
      </c>
      <c r="C40" s="8">
        <v>1.84408330679116E-5</v>
      </c>
      <c r="D40" s="8">
        <v>2.7080120786313201E-5</v>
      </c>
      <c r="E40" s="8">
        <v>2.9154731269760301E-5</v>
      </c>
      <c r="F40" s="8">
        <v>2.9154731269760301E-5</v>
      </c>
      <c r="G40" s="8">
        <v>3.4655502187592298E-5</v>
      </c>
      <c r="H40" s="8">
        <v>2.3664073506208301E-5</v>
      </c>
      <c r="I40" s="8">
        <v>1.6379329365131301E-4</v>
      </c>
      <c r="J40" s="8">
        <v>1.6379329365131301E-4</v>
      </c>
      <c r="K40" s="8">
        <v>1.63793414179241E-4</v>
      </c>
      <c r="L40" s="8">
        <v>7.7611180076917602E-4</v>
      </c>
      <c r="M40" s="8">
        <v>9.1833116179394704E-4</v>
      </c>
      <c r="N40" s="8">
        <v>9.1842156252487303E-4</v>
      </c>
      <c r="O40" s="8">
        <v>2.8701941663403101E-2</v>
      </c>
      <c r="P40" s="8">
        <v>2.8234208124042998E-2</v>
      </c>
      <c r="Q40" s="8">
        <v>2.8234208124042998E-2</v>
      </c>
      <c r="R40" s="8">
        <v>2.8234208124042998E-2</v>
      </c>
      <c r="S40" s="8">
        <v>7.3530499121713102E-3</v>
      </c>
      <c r="T40" s="8">
        <v>7.6154680615047104E-3</v>
      </c>
      <c r="U40" s="8">
        <v>7.6154680615047104E-3</v>
      </c>
      <c r="V40" s="8">
        <v>7.6336747380873603E-3</v>
      </c>
      <c r="W40" s="8">
        <v>8.2239036907721004E-3</v>
      </c>
      <c r="X40" s="8">
        <v>8.2239036907721004E-3</v>
      </c>
      <c r="Y40" s="8">
        <v>9.7555317436199607E-2</v>
      </c>
      <c r="Z40" s="8">
        <v>0.15529709896525701</v>
      </c>
      <c r="AA40" s="8">
        <v>0.15529709896525701</v>
      </c>
      <c r="AB40" s="8">
        <v>3.1854334973325103E-5</v>
      </c>
      <c r="AC40" s="8">
        <v>1.8605680720369401E-5</v>
      </c>
      <c r="AD40" s="8">
        <v>1.8605680720369401E-5</v>
      </c>
      <c r="AE40" s="8">
        <v>1.8605680720369401E-5</v>
      </c>
      <c r="AF40" s="8">
        <v>2.75883570058366E-5</v>
      </c>
      <c r="AG40" s="8">
        <v>1.06470113058793E-4</v>
      </c>
      <c r="AH40" s="8">
        <v>1.06470113058793E-4</v>
      </c>
      <c r="AI40" s="8">
        <v>1.06470113058793E-4</v>
      </c>
      <c r="AJ40" s="8">
        <v>1.8470717670132899E-4</v>
      </c>
      <c r="AK40" s="8">
        <v>1.8470717670132899E-4</v>
      </c>
      <c r="AL40" s="8">
        <v>1.8470717670132899E-4</v>
      </c>
      <c r="AM40" s="8">
        <v>1.8471828660023999E-4</v>
      </c>
      <c r="AN40" s="8">
        <v>1.07041343442316E-4</v>
      </c>
      <c r="AO40" s="8">
        <v>1.8730313105524201E-4</v>
      </c>
      <c r="AP40" s="8">
        <v>8.8982098475175902E-4</v>
      </c>
      <c r="AQ40" s="8">
        <v>1.7447825881352099E-2</v>
      </c>
      <c r="AR40" s="8">
        <v>4.9262102036370997E-3</v>
      </c>
      <c r="AS40" s="8">
        <v>4.9262102036370997E-3</v>
      </c>
      <c r="AT40" s="8">
        <v>5.7084006558292899E-3</v>
      </c>
      <c r="AU40" s="8">
        <v>5.7084006558292899E-3</v>
      </c>
      <c r="AV40" s="8">
        <v>1.73424166016603E-3</v>
      </c>
      <c r="AW40" s="8">
        <v>8.7957103694748205E-3</v>
      </c>
      <c r="AX40" s="8">
        <v>1.1491552787146799E-2</v>
      </c>
      <c r="AY40" s="8">
        <v>6.5983899485296703E-3</v>
      </c>
      <c r="AZ40" s="8">
        <v>3.3255932777887902E-6</v>
      </c>
      <c r="BA40" s="8">
        <v>1.5270561985246899E-4</v>
      </c>
      <c r="BB40" s="8">
        <v>2.3344429919187499E-5</v>
      </c>
      <c r="BC40" s="8">
        <v>1.0033481677415501E-3</v>
      </c>
      <c r="BD40" s="8">
        <v>1.0348741779814799E-3</v>
      </c>
      <c r="BE40" s="8">
        <v>1.94238436619049E-4</v>
      </c>
      <c r="BF40" s="8">
        <v>1.6854751957804501E-3</v>
      </c>
      <c r="BG40" s="8">
        <v>7.0999327964524502E-4</v>
      </c>
      <c r="BH40" s="8">
        <v>2.0054185610985799E-2</v>
      </c>
      <c r="BI40" s="8">
        <v>21.414436461410801</v>
      </c>
      <c r="BJ40" s="8">
        <v>1.5812593198065801E-3</v>
      </c>
      <c r="BK40" s="8">
        <v>9.1485706829661894E-6</v>
      </c>
      <c r="BL40" s="8">
        <v>0</v>
      </c>
      <c r="BM40" s="8">
        <v>2.2033491322626098E-5</v>
      </c>
      <c r="BN40" s="8">
        <v>2.2835392449451E-3</v>
      </c>
      <c r="BO40" s="8">
        <v>5.7940641195068903E-4</v>
      </c>
      <c r="BP40" s="8">
        <v>0</v>
      </c>
      <c r="BQ40" s="8">
        <v>8.1789963692471606E-5</v>
      </c>
      <c r="BR40" s="8">
        <v>4.4852177025296003E-5</v>
      </c>
      <c r="BS40" s="8">
        <v>2.28380723632346E-2</v>
      </c>
      <c r="BT40" s="8">
        <v>7.5221527173214398E-2</v>
      </c>
      <c r="BU40" s="8">
        <v>6.2616587051802605E-2</v>
      </c>
      <c r="BV40" s="8">
        <v>0.25437419912766202</v>
      </c>
      <c r="BW40" s="8">
        <v>7.40101956294777E-3</v>
      </c>
      <c r="BX40" s="8">
        <v>6.5259898355836997E-3</v>
      </c>
      <c r="BY40" s="8">
        <v>7.4053217963896203E-3</v>
      </c>
      <c r="BZ40" s="8">
        <v>1.8605680720369401E-5</v>
      </c>
      <c r="CA40" s="8">
        <v>1.8605680720369401E-5</v>
      </c>
      <c r="CB40" s="8">
        <v>1.82097184371421E-4</v>
      </c>
      <c r="CC40" s="9">
        <v>1.82347753240389E-4</v>
      </c>
      <c r="CD40" s="6">
        <v>0</v>
      </c>
    </row>
    <row r="41" spans="2:82" x14ac:dyDescent="0.15">
      <c r="B41" s="7" t="s">
        <v>34</v>
      </c>
      <c r="C41" s="8">
        <v>0</v>
      </c>
      <c r="D41" s="8">
        <v>0</v>
      </c>
      <c r="E41" s="8">
        <v>0</v>
      </c>
      <c r="F41" s="8">
        <v>0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8">
        <v>0</v>
      </c>
      <c r="AS41" s="8">
        <v>0</v>
      </c>
      <c r="AT41" s="8">
        <v>0</v>
      </c>
      <c r="AU41" s="8">
        <v>0</v>
      </c>
      <c r="AV41" s="8">
        <v>0</v>
      </c>
      <c r="AW41" s="8">
        <v>0</v>
      </c>
      <c r="AX41" s="8">
        <v>0</v>
      </c>
      <c r="AY41" s="8">
        <v>0</v>
      </c>
      <c r="AZ41" s="8">
        <v>0</v>
      </c>
      <c r="BA41" s="8">
        <v>0</v>
      </c>
      <c r="BB41" s="8">
        <v>0</v>
      </c>
      <c r="BC41" s="8">
        <v>0</v>
      </c>
      <c r="BD41" s="8">
        <v>0</v>
      </c>
      <c r="BE41" s="8">
        <v>0</v>
      </c>
      <c r="BF41" s="8">
        <v>0</v>
      </c>
      <c r="BG41" s="8">
        <v>0</v>
      </c>
      <c r="BH41" s="8">
        <v>0</v>
      </c>
      <c r="BI41" s="8">
        <v>0</v>
      </c>
      <c r="BJ41" s="8">
        <v>0</v>
      </c>
      <c r="BK41" s="8">
        <v>0</v>
      </c>
      <c r="BL41" s="8">
        <v>0</v>
      </c>
      <c r="BM41" s="8">
        <v>0</v>
      </c>
      <c r="BN41" s="8">
        <v>0</v>
      </c>
      <c r="BO41" s="8">
        <v>0</v>
      </c>
      <c r="BP41" s="8">
        <v>0</v>
      </c>
      <c r="BQ41" s="8">
        <v>0</v>
      </c>
      <c r="BR41" s="8">
        <v>0</v>
      </c>
      <c r="BS41" s="8">
        <v>0</v>
      </c>
      <c r="BT41" s="8">
        <v>0</v>
      </c>
      <c r="BU41" s="8">
        <v>0</v>
      </c>
      <c r="BV41" s="8">
        <v>0</v>
      </c>
      <c r="BW41" s="8">
        <v>0</v>
      </c>
      <c r="BX41" s="8">
        <v>0</v>
      </c>
      <c r="BY41" s="8">
        <v>0</v>
      </c>
      <c r="BZ41" s="8">
        <v>0</v>
      </c>
      <c r="CA41" s="8">
        <v>0</v>
      </c>
      <c r="CB41" s="8">
        <v>0</v>
      </c>
      <c r="CC41" s="9">
        <v>0</v>
      </c>
      <c r="CD41" s="6">
        <v>0</v>
      </c>
    </row>
    <row r="42" spans="2:82" x14ac:dyDescent="0.15">
      <c r="B42" s="7" t="s">
        <v>25</v>
      </c>
      <c r="C42" s="8">
        <v>0</v>
      </c>
      <c r="D42" s="8">
        <v>0</v>
      </c>
      <c r="E42" s="8">
        <v>0</v>
      </c>
      <c r="F42" s="8">
        <v>0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8">
        <v>0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8">
        <v>0</v>
      </c>
      <c r="AS42" s="8">
        <v>0</v>
      </c>
      <c r="AT42" s="8">
        <v>0</v>
      </c>
      <c r="AU42" s="8">
        <v>0</v>
      </c>
      <c r="AV42" s="8">
        <v>0</v>
      </c>
      <c r="AW42" s="8">
        <v>0</v>
      </c>
      <c r="AX42" s="8">
        <v>0</v>
      </c>
      <c r="AY42" s="8">
        <v>0</v>
      </c>
      <c r="AZ42" s="8">
        <v>0</v>
      </c>
      <c r="BA42" s="8">
        <v>0</v>
      </c>
      <c r="BB42" s="8">
        <v>0</v>
      </c>
      <c r="BC42" s="8">
        <v>0</v>
      </c>
      <c r="BD42" s="8">
        <v>0</v>
      </c>
      <c r="BE42" s="8">
        <v>0</v>
      </c>
      <c r="BF42" s="8">
        <v>0</v>
      </c>
      <c r="BG42" s="8">
        <v>0</v>
      </c>
      <c r="BH42" s="8">
        <v>0</v>
      </c>
      <c r="BI42" s="8">
        <v>0</v>
      </c>
      <c r="BJ42" s="8">
        <v>0</v>
      </c>
      <c r="BK42" s="8">
        <v>0</v>
      </c>
      <c r="BL42" s="8">
        <v>0</v>
      </c>
      <c r="BM42" s="8">
        <v>0</v>
      </c>
      <c r="BN42" s="8">
        <v>0</v>
      </c>
      <c r="BO42" s="8">
        <v>0</v>
      </c>
      <c r="BP42" s="8">
        <v>0</v>
      </c>
      <c r="BQ42" s="8">
        <v>0</v>
      </c>
      <c r="BR42" s="8">
        <v>0</v>
      </c>
      <c r="BS42" s="8">
        <v>0</v>
      </c>
      <c r="BT42" s="8">
        <v>0</v>
      </c>
      <c r="BU42" s="8">
        <v>0</v>
      </c>
      <c r="BV42" s="8">
        <v>0</v>
      </c>
      <c r="BW42" s="8">
        <v>0</v>
      </c>
      <c r="BX42" s="8">
        <v>0</v>
      </c>
      <c r="BY42" s="8">
        <v>0</v>
      </c>
      <c r="BZ42" s="8">
        <v>0</v>
      </c>
      <c r="CA42" s="8">
        <v>0</v>
      </c>
      <c r="CB42" s="8">
        <v>0</v>
      </c>
      <c r="CC42" s="9">
        <v>0</v>
      </c>
      <c r="CD42" s="6">
        <v>0</v>
      </c>
    </row>
    <row r="43" spans="2:82" x14ac:dyDescent="0.15">
      <c r="B43" s="7" t="s">
        <v>41</v>
      </c>
      <c r="C43" s="8">
        <v>2.7582593250994199E-5</v>
      </c>
      <c r="D43" s="8">
        <v>2.7582593250994199E-5</v>
      </c>
      <c r="E43" s="8">
        <v>2.5371129473581899E-5</v>
      </c>
      <c r="F43" s="8">
        <v>2.5371129473581899E-5</v>
      </c>
      <c r="G43" s="8">
        <v>2.5984552220384099E-5</v>
      </c>
      <c r="H43" s="8">
        <v>1.87694201442172E-5</v>
      </c>
      <c r="I43" s="8">
        <v>1.4820591996896201E-4</v>
      </c>
      <c r="J43" s="8">
        <v>1.4820591996896201E-4</v>
      </c>
      <c r="K43" s="8">
        <v>1.4820591996896201E-4</v>
      </c>
      <c r="L43" s="8">
        <v>7.9324357511387298E-4</v>
      </c>
      <c r="M43" s="8">
        <v>9.9198334927803303E-4</v>
      </c>
      <c r="N43" s="8">
        <v>9.9198334927803303E-4</v>
      </c>
      <c r="O43" s="8">
        <v>3.27032831919419E-2</v>
      </c>
      <c r="P43" s="8">
        <v>2.5984863679248099E-2</v>
      </c>
      <c r="Q43" s="8">
        <v>2.5984863679248099E-2</v>
      </c>
      <c r="R43" s="8">
        <v>2.5984863679248099E-2</v>
      </c>
      <c r="S43" s="8">
        <v>7.1959608369297203E-3</v>
      </c>
      <c r="T43" s="8">
        <v>7.3459859672471298E-3</v>
      </c>
      <c r="U43" s="8">
        <v>7.3459859672471298E-3</v>
      </c>
      <c r="V43" s="8">
        <v>8.9428609333756098E-3</v>
      </c>
      <c r="W43" s="8">
        <v>1.00071610684049E-2</v>
      </c>
      <c r="X43" s="8">
        <v>1.00071610684049E-2</v>
      </c>
      <c r="Y43" s="8">
        <v>0.12285387590827899</v>
      </c>
      <c r="Z43" s="8">
        <v>0.188618286750286</v>
      </c>
      <c r="AA43" s="8">
        <v>0.188618286750286</v>
      </c>
      <c r="AB43" s="8">
        <v>2.5837223048208399E-5</v>
      </c>
      <c r="AC43" s="8">
        <v>1.94165479015901E-5</v>
      </c>
      <c r="AD43" s="8">
        <v>1.94165479015901E-5</v>
      </c>
      <c r="AE43" s="8">
        <v>1.94165479015901E-5</v>
      </c>
      <c r="AF43" s="8">
        <v>2.71769435743339E-5</v>
      </c>
      <c r="AG43" s="8">
        <v>1.06475926844642E-4</v>
      </c>
      <c r="AH43" s="8">
        <v>1.06475926844642E-4</v>
      </c>
      <c r="AI43" s="8">
        <v>1.06475926844642E-4</v>
      </c>
      <c r="AJ43" s="8">
        <v>1.8593634278760401E-4</v>
      </c>
      <c r="AK43" s="8">
        <v>1.8593634278760401E-4</v>
      </c>
      <c r="AL43" s="8">
        <v>1.8593634278760401E-4</v>
      </c>
      <c r="AM43" s="8">
        <v>1.85940420907606E-4</v>
      </c>
      <c r="AN43" s="8">
        <v>9.4044202816736194E-5</v>
      </c>
      <c r="AO43" s="8">
        <v>1.9306114396086901E-4</v>
      </c>
      <c r="AP43" s="8">
        <v>9.4329761921653705E-4</v>
      </c>
      <c r="AQ43" s="8">
        <v>3.1794326293056699E-3</v>
      </c>
      <c r="AR43" s="8">
        <v>4.6456522069677998E-3</v>
      </c>
      <c r="AS43" s="8">
        <v>4.6456522069677998E-3</v>
      </c>
      <c r="AT43" s="8">
        <v>5.1945846951988103E-3</v>
      </c>
      <c r="AU43" s="8">
        <v>5.1945846951988103E-3</v>
      </c>
      <c r="AV43" s="8">
        <v>1.7062509684651101E-3</v>
      </c>
      <c r="AW43" s="8">
        <v>8.1190119170865306E-3</v>
      </c>
      <c r="AX43" s="8">
        <v>1.0718058328075901E-2</v>
      </c>
      <c r="AY43" s="8">
        <v>5.9287176681592103E-3</v>
      </c>
      <c r="AZ43" s="8">
        <v>6.93514634064174E-6</v>
      </c>
      <c r="BA43" s="8">
        <v>1.4772349243469799E-4</v>
      </c>
      <c r="BB43" s="8">
        <v>2.3494698237172402E-5</v>
      </c>
      <c r="BC43" s="8">
        <v>1.0251817219309599E-3</v>
      </c>
      <c r="BD43" s="8">
        <v>1.0227193913336799E-3</v>
      </c>
      <c r="BE43" s="8">
        <v>2.2798933274988499E-4</v>
      </c>
      <c r="BF43" s="8">
        <v>1.7134018990271999E-3</v>
      </c>
      <c r="BG43" s="8">
        <v>7.2180711907116404E-4</v>
      </c>
      <c r="BH43" s="8">
        <v>1.9702416745629999E-2</v>
      </c>
      <c r="BI43" s="8">
        <v>0.25451868256305399</v>
      </c>
      <c r="BJ43" s="8">
        <v>1.6218071679744101E-3</v>
      </c>
      <c r="BK43" s="8">
        <v>1.1977097698707799E-5</v>
      </c>
      <c r="BL43" s="8">
        <v>0</v>
      </c>
      <c r="BM43" s="8">
        <v>2.1475412810281801E-5</v>
      </c>
      <c r="BN43" s="8">
        <v>2.2617152241106299E-3</v>
      </c>
      <c r="BO43" s="8">
        <v>6.1933723976641795E-4</v>
      </c>
      <c r="BP43" s="8">
        <v>0</v>
      </c>
      <c r="BQ43" s="8">
        <v>7.8281230743042205E-5</v>
      </c>
      <c r="BR43" s="8">
        <v>4.4218478198071401E-5</v>
      </c>
      <c r="BS43" s="8">
        <v>2.5969221511352399E-2</v>
      </c>
      <c r="BT43" s="8">
        <v>0.196723641396361</v>
      </c>
      <c r="BU43" s="8">
        <v>0.121668929313809</v>
      </c>
      <c r="BV43" s="8">
        <v>3.46861667673301</v>
      </c>
      <c r="BW43" s="8">
        <v>6.3398200291829004E-3</v>
      </c>
      <c r="BX43" s="8">
        <v>6.3262236498410201E-3</v>
      </c>
      <c r="BY43" s="8">
        <v>6.8154551825894303E-3</v>
      </c>
      <c r="BZ43" s="8">
        <v>1.94165479015901E-5</v>
      </c>
      <c r="CA43" s="8">
        <v>1.94165479015901E-5</v>
      </c>
      <c r="CB43" s="8">
        <v>1.8325333379143799E-4</v>
      </c>
      <c r="CC43" s="9">
        <v>1.8354188754156E-4</v>
      </c>
      <c r="CD43" s="6">
        <v>0</v>
      </c>
    </row>
    <row r="44" spans="2:82" x14ac:dyDescent="0.15">
      <c r="B44" s="7" t="s">
        <v>17</v>
      </c>
      <c r="C44" s="8">
        <v>3.8465324510334399E-3</v>
      </c>
      <c r="D44" s="8">
        <v>3.8465324510334399E-3</v>
      </c>
      <c r="E44" s="8">
        <v>2.7608394300387301E-3</v>
      </c>
      <c r="F44" s="8">
        <v>2.7608394300387301E-3</v>
      </c>
      <c r="G44" s="8">
        <v>4.1699346574174002E-3</v>
      </c>
      <c r="H44" s="8">
        <v>4.08631783207634E-3</v>
      </c>
      <c r="I44" s="8">
        <v>2.8072243416819201E-2</v>
      </c>
      <c r="J44" s="8">
        <v>2.8072243416819201E-2</v>
      </c>
      <c r="K44" s="8">
        <v>2.8072243416819201E-2</v>
      </c>
      <c r="L44" s="8">
        <v>1.5488967438892901E-2</v>
      </c>
      <c r="M44" s="8">
        <v>2.0375360649347699E-2</v>
      </c>
      <c r="N44" s="8">
        <v>2.0375360649347699E-2</v>
      </c>
      <c r="O44" s="8">
        <v>2.3972022102609802E-2</v>
      </c>
      <c r="P44" s="8">
        <v>3.1203320670627699E-2</v>
      </c>
      <c r="Q44" s="8">
        <v>3.1203320670627699E-2</v>
      </c>
      <c r="R44" s="8">
        <v>3.1203320670627699E-2</v>
      </c>
      <c r="S44" s="8">
        <v>1.6141341087707799E-2</v>
      </c>
      <c r="T44" s="8">
        <v>2.0894290938334101E-2</v>
      </c>
      <c r="U44" s="8">
        <v>2.0894290938334101E-2</v>
      </c>
      <c r="V44" s="8">
        <v>1.9164689620245999E-2</v>
      </c>
      <c r="W44" s="8">
        <v>2.2622773027334699E-2</v>
      </c>
      <c r="X44" s="8">
        <v>2.2622773027334699E-2</v>
      </c>
      <c r="Y44" s="8">
        <v>1.7562475694230702E-2</v>
      </c>
      <c r="Z44" s="8">
        <v>2.2929576428757901E-2</v>
      </c>
      <c r="AA44" s="8">
        <v>2.2929576428757901E-2</v>
      </c>
      <c r="AB44" s="8">
        <v>1.5275638948905801E-3</v>
      </c>
      <c r="AC44" s="8">
        <v>5.3967947479548499E-3</v>
      </c>
      <c r="AD44" s="8">
        <v>5.3967947479548499E-3</v>
      </c>
      <c r="AE44" s="8">
        <v>5.3967947479548499E-3</v>
      </c>
      <c r="AF44" s="8">
        <v>7.1434854956401702E-3</v>
      </c>
      <c r="AG44" s="8">
        <v>2.3065830984271601E-2</v>
      </c>
      <c r="AH44" s="8">
        <v>2.3065830984271601E-2</v>
      </c>
      <c r="AI44" s="8">
        <v>2.3065830984271601E-2</v>
      </c>
      <c r="AJ44" s="8">
        <v>1.1632217385752E-2</v>
      </c>
      <c r="AK44" s="8">
        <v>1.1632217385752E-2</v>
      </c>
      <c r="AL44" s="8">
        <v>1.1632217385752E-2</v>
      </c>
      <c r="AM44" s="8">
        <v>1.1632217385752E-2</v>
      </c>
      <c r="AN44" s="8">
        <v>2.12619783513542E-2</v>
      </c>
      <c r="AO44" s="8">
        <v>1.1551683395328E-2</v>
      </c>
      <c r="AP44" s="8">
        <v>2.59409920308908E-2</v>
      </c>
      <c r="AQ44" s="8">
        <v>1.3546326952380301E-2</v>
      </c>
      <c r="AR44" s="8">
        <v>4.8152077299032604E-3</v>
      </c>
      <c r="AS44" s="8">
        <v>4.8152077299032604E-3</v>
      </c>
      <c r="AT44" s="8">
        <v>5.4665062209701002E-3</v>
      </c>
      <c r="AU44" s="8">
        <v>5.4665062209701002E-3</v>
      </c>
      <c r="AV44" s="8">
        <v>1.9746169025842602E-3</v>
      </c>
      <c r="AW44" s="8">
        <v>6.8001470578900099E-3</v>
      </c>
      <c r="AX44" s="8">
        <v>1.07413844816722E-2</v>
      </c>
      <c r="AY44" s="8">
        <v>4.1748635492942499E-3</v>
      </c>
      <c r="AZ44" s="8">
        <v>1.33197563831602E-3</v>
      </c>
      <c r="BA44" s="8">
        <v>4.9340561627047802E-3</v>
      </c>
      <c r="BB44" s="8">
        <v>1.1968643661967901E-3</v>
      </c>
      <c r="BC44" s="8">
        <v>2.6521770522393601E-2</v>
      </c>
      <c r="BD44" s="8">
        <v>2.0068076534389901E-2</v>
      </c>
      <c r="BE44" s="8">
        <v>1.7275020317338199E-2</v>
      </c>
      <c r="BF44" s="8">
        <v>1.6987689459709899E-2</v>
      </c>
      <c r="BG44" s="8">
        <v>9.4186258556845908E-3</v>
      </c>
      <c r="BH44" s="8">
        <v>1.6910295134375399</v>
      </c>
      <c r="BI44" s="8">
        <v>1.97463514371163E-2</v>
      </c>
      <c r="BJ44" s="8">
        <v>2.88454419091758E-2</v>
      </c>
      <c r="BK44" s="8">
        <v>2.4298060502723198E-3</v>
      </c>
      <c r="BL44" s="8">
        <v>0</v>
      </c>
      <c r="BM44" s="8">
        <v>7.9751493287866793E-3</v>
      </c>
      <c r="BN44" s="8">
        <v>2.8990276434308002E-3</v>
      </c>
      <c r="BO44" s="8">
        <v>1.09264708775471E-2</v>
      </c>
      <c r="BP44" s="8">
        <v>0</v>
      </c>
      <c r="BQ44" s="8">
        <v>2.7729012835723099E-2</v>
      </c>
      <c r="BR44" s="8">
        <v>1.94853013064973E-2</v>
      </c>
      <c r="BS44" s="8">
        <v>3.0799749197358901E-2</v>
      </c>
      <c r="BT44" s="8">
        <v>1.53509947594849E-2</v>
      </c>
      <c r="BU44" s="8">
        <v>1.3573042316324301E-2</v>
      </c>
      <c r="BV44" s="8">
        <v>1.9749888129077998E-2</v>
      </c>
      <c r="BW44" s="8">
        <v>6.3588561969245604E-3</v>
      </c>
      <c r="BX44" s="8">
        <v>6.3964764229255998E-3</v>
      </c>
      <c r="BY44" s="8">
        <v>5.5650796409592203E-3</v>
      </c>
      <c r="BZ44" s="8">
        <v>5.3967947479548499E-3</v>
      </c>
      <c r="CA44" s="8">
        <v>5.3967947479548499E-3</v>
      </c>
      <c r="CB44" s="8">
        <v>1.20098192937043E-2</v>
      </c>
      <c r="CC44" s="9">
        <v>1.16899167665033E-2</v>
      </c>
      <c r="CD44" s="6">
        <v>0</v>
      </c>
    </row>
    <row r="45" spans="2:82" x14ac:dyDescent="0.15">
      <c r="B45" s="7" t="s">
        <v>30</v>
      </c>
      <c r="C45" s="8">
        <v>2.5993027906374699E-3</v>
      </c>
      <c r="D45" s="8">
        <v>2.5993027906374699E-3</v>
      </c>
      <c r="E45" s="8">
        <v>2.6383060631720201E-3</v>
      </c>
      <c r="F45" s="8">
        <v>2.6383060631720201E-3</v>
      </c>
      <c r="G45" s="8">
        <v>2.4886431492271502E-3</v>
      </c>
      <c r="H45" s="8">
        <v>2.3787740883466201E-3</v>
      </c>
      <c r="I45" s="8">
        <v>2.3633943487391799E-3</v>
      </c>
      <c r="J45" s="8">
        <v>2.3633943487391799E-3</v>
      </c>
      <c r="K45" s="8">
        <v>2.3633943487391799E-3</v>
      </c>
      <c r="L45" s="8">
        <v>2.4520479177862599E-3</v>
      </c>
      <c r="M45" s="8">
        <v>2.4886534653589601E-3</v>
      </c>
      <c r="N45" s="8">
        <v>2.4886534653589601E-3</v>
      </c>
      <c r="O45" s="8">
        <v>2.19347199678392E-3</v>
      </c>
      <c r="P45" s="8">
        <v>2.1945000679010201E-3</v>
      </c>
      <c r="Q45" s="8">
        <v>2.1945000679010201E-3</v>
      </c>
      <c r="R45" s="8">
        <v>2.1945000679010201E-3</v>
      </c>
      <c r="S45" s="8">
        <v>2.3141622454196501E-3</v>
      </c>
      <c r="T45" s="8">
        <v>2.3600270263343698E-3</v>
      </c>
      <c r="U45" s="8">
        <v>2.3600270263343698E-3</v>
      </c>
      <c r="V45" s="8">
        <v>2.2957947520075499E-3</v>
      </c>
      <c r="W45" s="8">
        <v>2.3137557606640199E-3</v>
      </c>
      <c r="X45" s="8">
        <v>2.3137557606640199E-3</v>
      </c>
      <c r="Y45" s="8">
        <v>2.20380636016443E-3</v>
      </c>
      <c r="Z45" s="8">
        <v>2.24549514048107E-3</v>
      </c>
      <c r="AA45" s="8">
        <v>2.24549514048107E-3</v>
      </c>
      <c r="AB45" s="8">
        <v>3.32329697091697E-3</v>
      </c>
      <c r="AC45" s="8">
        <v>2.37398638865959E-3</v>
      </c>
      <c r="AD45" s="8">
        <v>2.37398638865959E-3</v>
      </c>
      <c r="AE45" s="8">
        <v>2.37398638865959E-3</v>
      </c>
      <c r="AF45" s="8">
        <v>2.7477496484774998E-3</v>
      </c>
      <c r="AG45" s="8">
        <v>2.5390721740632199E-3</v>
      </c>
      <c r="AH45" s="8">
        <v>2.5390721740632199E-3</v>
      </c>
      <c r="AI45" s="8">
        <v>2.5390721740632199E-3</v>
      </c>
      <c r="AJ45" s="8">
        <v>2.7793952374052999E-3</v>
      </c>
      <c r="AK45" s="8">
        <v>2.7793952374052999E-3</v>
      </c>
      <c r="AL45" s="8">
        <v>2.7793952374052999E-3</v>
      </c>
      <c r="AM45" s="8">
        <v>2.7793952374052999E-3</v>
      </c>
      <c r="AN45" s="8">
        <v>2.5342684773648999E-3</v>
      </c>
      <c r="AO45" s="8">
        <v>2.7713191192177099E-3</v>
      </c>
      <c r="AP45" s="8">
        <v>2.2273364075084999E-3</v>
      </c>
      <c r="AQ45" s="8">
        <v>5.9349294398604599E-3</v>
      </c>
      <c r="AR45" s="8">
        <v>2.9318529158099101E-3</v>
      </c>
      <c r="AS45" s="8">
        <v>2.9318529158099101E-3</v>
      </c>
      <c r="AT45" s="8">
        <v>2.7228108556950998E-3</v>
      </c>
      <c r="AU45" s="8">
        <v>2.7228108556950998E-3</v>
      </c>
      <c r="AV45" s="8">
        <v>3.08381631149945E-3</v>
      </c>
      <c r="AW45" s="8">
        <v>2.7101119953909102E-3</v>
      </c>
      <c r="AX45" s="8">
        <v>2.4476339386664101E-3</v>
      </c>
      <c r="AY45" s="8">
        <v>2.8888472452753E-3</v>
      </c>
      <c r="AZ45" s="8">
        <v>2.0306820170715202E-3</v>
      </c>
      <c r="BA45" s="8">
        <v>4.7138529145667697E-3</v>
      </c>
      <c r="BB45" s="8">
        <v>3.6379881443364399E-3</v>
      </c>
      <c r="BC45" s="8">
        <v>2.1223836351870599E-3</v>
      </c>
      <c r="BD45" s="8">
        <v>2.0966959195382199E-3</v>
      </c>
      <c r="BE45" s="8">
        <v>2.4482531490845399E-3</v>
      </c>
      <c r="BF45" s="8">
        <v>2.3786973324876701E-3</v>
      </c>
      <c r="BG45" s="8">
        <v>2.55154199795154E-3</v>
      </c>
      <c r="BH45" s="8">
        <v>2.7972207445950601E-3</v>
      </c>
      <c r="BI45" s="8">
        <v>2.1240304643163001E-3</v>
      </c>
      <c r="BJ45" s="8">
        <v>2.1225952010524101E-3</v>
      </c>
      <c r="BK45" s="8">
        <v>1.9183577963378701E-3</v>
      </c>
      <c r="BL45" s="8">
        <v>0</v>
      </c>
      <c r="BM45" s="8">
        <v>3.1650888368458001E-3</v>
      </c>
      <c r="BN45" s="8">
        <v>9.0327502119828304E-2</v>
      </c>
      <c r="BO45" s="8">
        <v>2.9852397697529599E-3</v>
      </c>
      <c r="BP45" s="8">
        <v>0</v>
      </c>
      <c r="BQ45" s="8">
        <v>2.7241658392356699E-3</v>
      </c>
      <c r="BR45" s="8">
        <v>3.0416175945136201E-3</v>
      </c>
      <c r="BS45" s="8">
        <v>1.98671976046878E-3</v>
      </c>
      <c r="BT45" s="8">
        <v>2.56411235138464E-3</v>
      </c>
      <c r="BU45" s="8">
        <v>2.4259885477642298E-3</v>
      </c>
      <c r="BV45" s="8">
        <v>2.1434274792400498E-3</v>
      </c>
      <c r="BW45" s="8">
        <v>4.7684319810117996E-3</v>
      </c>
      <c r="BX45" s="8">
        <v>2.8528349640327198E-3</v>
      </c>
      <c r="BY45" s="8">
        <v>2.96749212454521E-3</v>
      </c>
      <c r="BZ45" s="8">
        <v>2.37398638865959E-3</v>
      </c>
      <c r="CA45" s="8">
        <v>2.37398638865959E-3</v>
      </c>
      <c r="CB45" s="8">
        <v>2.7714826681027099E-3</v>
      </c>
      <c r="CC45" s="9">
        <v>2.7714831734536398E-3</v>
      </c>
      <c r="CD45" s="6">
        <v>0</v>
      </c>
    </row>
    <row r="46" spans="2:82" x14ac:dyDescent="0.15">
      <c r="B46" s="7" t="s">
        <v>48</v>
      </c>
      <c r="C46" s="8">
        <v>3.1595094265162499E-3</v>
      </c>
      <c r="D46" s="8">
        <v>3.1595094265162499E-3</v>
      </c>
      <c r="E46" s="8">
        <v>2.7891042444693199E-3</v>
      </c>
      <c r="F46" s="8">
        <v>2.7891042444693199E-3</v>
      </c>
      <c r="G46" s="8">
        <v>2.9475797720255499E-3</v>
      </c>
      <c r="H46" s="8">
        <v>3.73086646866321E-3</v>
      </c>
      <c r="I46" s="8">
        <v>3.3627045408342999E-3</v>
      </c>
      <c r="J46" s="8">
        <v>3.3627045408342999E-3</v>
      </c>
      <c r="K46" s="8">
        <v>3.3627045408342999E-3</v>
      </c>
      <c r="L46" s="8">
        <v>3.7059966659756301E-3</v>
      </c>
      <c r="M46" s="8">
        <v>4.1679061148473398E-3</v>
      </c>
      <c r="N46" s="8">
        <v>4.1679061148473398E-3</v>
      </c>
      <c r="O46" s="8">
        <v>5.2550190845332802E-3</v>
      </c>
      <c r="P46" s="8">
        <v>5.8924240086734303E-3</v>
      </c>
      <c r="Q46" s="8">
        <v>5.8924240086734303E-3</v>
      </c>
      <c r="R46" s="8">
        <v>5.8924240086734303E-3</v>
      </c>
      <c r="S46" s="8">
        <v>4.8752470844354101E-3</v>
      </c>
      <c r="T46" s="8">
        <v>5.2598234503904596E-3</v>
      </c>
      <c r="U46" s="8">
        <v>5.2598234503904596E-3</v>
      </c>
      <c r="V46" s="8">
        <v>5.2396027171605899E-3</v>
      </c>
      <c r="W46" s="8">
        <v>5.5745009148329104E-3</v>
      </c>
      <c r="X46" s="8">
        <v>5.5745009148329104E-3</v>
      </c>
      <c r="Y46" s="8">
        <v>6.48449697474576E-3</v>
      </c>
      <c r="Z46" s="8">
        <v>7.0224014245679504E-3</v>
      </c>
      <c r="AA46" s="8">
        <v>7.0224014245679504E-3</v>
      </c>
      <c r="AB46" s="8">
        <v>4.7024112228147702E-3</v>
      </c>
      <c r="AC46" s="8">
        <v>4.05977673391829E-3</v>
      </c>
      <c r="AD46" s="8">
        <v>4.05977673391829E-3</v>
      </c>
      <c r="AE46" s="8">
        <v>4.05977673391829E-3</v>
      </c>
      <c r="AF46" s="8">
        <v>3.6090469862091602E-3</v>
      </c>
      <c r="AG46" s="8">
        <v>3.9110786180200996E-3</v>
      </c>
      <c r="AH46" s="8">
        <v>3.9110786180200996E-3</v>
      </c>
      <c r="AI46" s="8">
        <v>3.9110786180200996E-3</v>
      </c>
      <c r="AJ46" s="8">
        <v>3.6017412652843898E-3</v>
      </c>
      <c r="AK46" s="8">
        <v>3.6017412652843898E-3</v>
      </c>
      <c r="AL46" s="8">
        <v>3.6017412652843898E-3</v>
      </c>
      <c r="AM46" s="8">
        <v>3.6017412652843898E-3</v>
      </c>
      <c r="AN46" s="8">
        <v>4.4223282820334102E-3</v>
      </c>
      <c r="AO46" s="8">
        <v>3.5716544521457098E-3</v>
      </c>
      <c r="AP46" s="8">
        <v>4.0972944640645997E-3</v>
      </c>
      <c r="AQ46" s="8">
        <v>3.5091655594939198E-3</v>
      </c>
      <c r="AR46" s="8">
        <v>3.5032528527171999E-3</v>
      </c>
      <c r="AS46" s="8">
        <v>3.5032528527171999E-3</v>
      </c>
      <c r="AT46" s="8">
        <v>3.2809135938159802E-3</v>
      </c>
      <c r="AU46" s="8">
        <v>3.2809135938159802E-3</v>
      </c>
      <c r="AV46" s="8">
        <v>3.4190280877539202E-3</v>
      </c>
      <c r="AW46" s="8">
        <v>3.75656786380017E-3</v>
      </c>
      <c r="AX46" s="8">
        <v>4.21330121058995E-3</v>
      </c>
      <c r="AY46" s="8">
        <v>3.48164311577834E-3</v>
      </c>
      <c r="AZ46" s="8">
        <v>1.4288629013105899E-3</v>
      </c>
      <c r="BA46" s="8">
        <v>1.00689024236107E-2</v>
      </c>
      <c r="BB46" s="8">
        <v>2.5562550590683898E-3</v>
      </c>
      <c r="BC46" s="8">
        <v>3.45724317069033E-3</v>
      </c>
      <c r="BD46" s="8">
        <v>3.3365581515014502E-3</v>
      </c>
      <c r="BE46" s="8">
        <v>3.2702966105415399E-3</v>
      </c>
      <c r="BF46" s="8">
        <v>4.6198555320638001E-3</v>
      </c>
      <c r="BG46" s="8">
        <v>3.33312333869444E-3</v>
      </c>
      <c r="BH46" s="8">
        <v>6.3013292293286199E-3</v>
      </c>
      <c r="BI46" s="8">
        <v>7.31571335824801E-3</v>
      </c>
      <c r="BJ46" s="8">
        <v>4.0575309768402599E-3</v>
      </c>
      <c r="BK46" s="8">
        <v>2.3396608957455402E-3</v>
      </c>
      <c r="BL46" s="8">
        <v>0</v>
      </c>
      <c r="BM46" s="8">
        <v>3.16948412142142E-3</v>
      </c>
      <c r="BN46" s="8">
        <v>4.9115313517877303E-3</v>
      </c>
      <c r="BO46" s="8">
        <v>4.5797035275236698E-3</v>
      </c>
      <c r="BP46" s="8">
        <v>0</v>
      </c>
      <c r="BQ46" s="8">
        <v>3.9594346876198599E-3</v>
      </c>
      <c r="BR46" s="8">
        <v>3.7012021122466402E-3</v>
      </c>
      <c r="BS46" s="8">
        <v>6.5304124927196101E-3</v>
      </c>
      <c r="BT46" s="8">
        <v>5.6868001452088004E-3</v>
      </c>
      <c r="BU46" s="8">
        <v>5.0521004966347502E-3</v>
      </c>
      <c r="BV46" s="8">
        <v>6.3259694377096999E-3</v>
      </c>
      <c r="BW46" s="8">
        <v>1.6696014153752499E-2</v>
      </c>
      <c r="BX46" s="8">
        <v>3.8327640837280798E-3</v>
      </c>
      <c r="BY46" s="8">
        <v>4.5915884439174598E-3</v>
      </c>
      <c r="BZ46" s="8">
        <v>4.05977673391829E-3</v>
      </c>
      <c r="CA46" s="8">
        <v>4.05977673391829E-3</v>
      </c>
      <c r="CB46" s="8">
        <v>3.6120578801410899E-3</v>
      </c>
      <c r="CC46" s="9">
        <v>3.6069483454777601E-3</v>
      </c>
      <c r="CD46" s="6">
        <v>0</v>
      </c>
    </row>
    <row r="47" spans="2:82" ht="12.75" thickBot="1" x14ac:dyDescent="0.2">
      <c r="B47" s="7" t="s">
        <v>19</v>
      </c>
      <c r="C47" s="10">
        <v>3.50220207408539E-3</v>
      </c>
      <c r="D47" s="10">
        <v>3.50220207408539E-3</v>
      </c>
      <c r="E47" s="10">
        <v>2.4108565997340201E-3</v>
      </c>
      <c r="F47" s="10">
        <v>2.4108565997340201E-3</v>
      </c>
      <c r="G47" s="10">
        <v>3.2529272737641902E-3</v>
      </c>
      <c r="H47" s="10">
        <v>4.2525080586249204E-3</v>
      </c>
      <c r="I47" s="10">
        <v>4.5887141891405398E-3</v>
      </c>
      <c r="J47" s="10">
        <v>4.5887141891405398E-3</v>
      </c>
      <c r="K47" s="10">
        <v>4.5887141891405398E-3</v>
      </c>
      <c r="L47" s="10">
        <v>3.1364977539861802E-3</v>
      </c>
      <c r="M47" s="10">
        <v>3.3971282770134301E-3</v>
      </c>
      <c r="N47" s="10">
        <v>3.3971282770134301E-3</v>
      </c>
      <c r="O47" s="10">
        <v>4.6892017525275902E-3</v>
      </c>
      <c r="P47" s="10">
        <v>5.1563172102058897E-3</v>
      </c>
      <c r="Q47" s="10">
        <v>5.1563172102058897E-3</v>
      </c>
      <c r="R47" s="10">
        <v>5.1563172102058897E-3</v>
      </c>
      <c r="S47" s="10">
        <v>5.3900232634169704E-3</v>
      </c>
      <c r="T47" s="10">
        <v>5.7657684326943796E-3</v>
      </c>
      <c r="U47" s="10">
        <v>5.7657684326943796E-3</v>
      </c>
      <c r="V47" s="10">
        <v>5.40990531206659E-3</v>
      </c>
      <c r="W47" s="10">
        <v>5.7556112398341004E-3</v>
      </c>
      <c r="X47" s="10">
        <v>5.6517989261650296E-3</v>
      </c>
      <c r="Y47" s="10">
        <v>6.0717324474074998E-3</v>
      </c>
      <c r="Z47" s="10">
        <v>6.7919180212463997E-3</v>
      </c>
      <c r="AA47" s="10">
        <v>6.7919180212463997E-3</v>
      </c>
      <c r="AB47" s="10">
        <v>1.4456065527826501E-3</v>
      </c>
      <c r="AC47" s="10">
        <v>3.8924612623046401E-3</v>
      </c>
      <c r="AD47" s="10">
        <v>3.8924612623046401E-3</v>
      </c>
      <c r="AE47" s="10">
        <v>3.8924612623046401E-3</v>
      </c>
      <c r="AF47" s="10">
        <v>5.6278949977610097E-3</v>
      </c>
      <c r="AG47" s="10">
        <v>4.4953862614706304E-3</v>
      </c>
      <c r="AH47" s="10">
        <v>4.4953862614706304E-3</v>
      </c>
      <c r="AI47" s="10">
        <v>4.4953862614706304E-3</v>
      </c>
      <c r="AJ47" s="10">
        <v>4.4264238986975804E-3</v>
      </c>
      <c r="AK47" s="10">
        <v>4.4264238986975804E-3</v>
      </c>
      <c r="AL47" s="10">
        <v>4.4264238986975804E-3</v>
      </c>
      <c r="AM47" s="10">
        <v>4.4264238986975804E-3</v>
      </c>
      <c r="AN47" s="10">
        <v>4.6398412362099002E-3</v>
      </c>
      <c r="AO47" s="10">
        <v>4.3876632573885098E-3</v>
      </c>
      <c r="AP47" s="10">
        <v>4.5077933575981303E-3</v>
      </c>
      <c r="AQ47" s="10">
        <v>4.9588739339737299E-3</v>
      </c>
      <c r="AR47" s="10">
        <v>5.7666134829081799E-3</v>
      </c>
      <c r="AS47" s="10">
        <v>5.7666134829081799E-3</v>
      </c>
      <c r="AT47" s="10">
        <v>4.3378271465670196E-3</v>
      </c>
      <c r="AU47" s="10">
        <v>4.3378271465670196E-3</v>
      </c>
      <c r="AV47" s="10">
        <v>6.4672138245707202E-3</v>
      </c>
      <c r="AW47" s="10">
        <v>5.1742776340556297E-3</v>
      </c>
      <c r="AX47" s="10">
        <v>6.0006261048408897E-3</v>
      </c>
      <c r="AY47" s="10">
        <v>4.9448367655230297E-3</v>
      </c>
      <c r="AZ47" s="10">
        <v>1.0050365031822801E-3</v>
      </c>
      <c r="BA47" s="10">
        <v>2.4719316444873599E-3</v>
      </c>
      <c r="BB47" s="10">
        <v>1.2313817491791501E-3</v>
      </c>
      <c r="BC47" s="10">
        <v>3.4519350574570202E-3</v>
      </c>
      <c r="BD47" s="10">
        <v>3.36698830714722E-3</v>
      </c>
      <c r="BE47" s="10">
        <v>3.3205043825497598E-3</v>
      </c>
      <c r="BF47" s="10">
        <v>4.9868580786374302E-3</v>
      </c>
      <c r="BG47" s="10">
        <v>3.2698540131649001E-3</v>
      </c>
      <c r="BH47" s="10">
        <v>5.5666353432490597E-3</v>
      </c>
      <c r="BI47" s="10">
        <v>7.3347591967268897E-3</v>
      </c>
      <c r="BJ47" s="10">
        <v>3.6490530214878399E-3</v>
      </c>
      <c r="BK47" s="10">
        <v>1.81719174654859E-3</v>
      </c>
      <c r="BL47" s="10">
        <v>0</v>
      </c>
      <c r="BM47" s="10">
        <v>3.5136755687576399E-3</v>
      </c>
      <c r="BN47" s="10">
        <v>3.05164890404773E-3</v>
      </c>
      <c r="BO47" s="10">
        <v>3.9519677651918298E-3</v>
      </c>
      <c r="BP47" s="10">
        <v>0</v>
      </c>
      <c r="BQ47" s="10">
        <v>4.2305466845316804E-3</v>
      </c>
      <c r="BR47" s="10">
        <v>5.7274226958305297E-3</v>
      </c>
      <c r="BS47" s="10">
        <v>6.2474017472826798E-3</v>
      </c>
      <c r="BT47" s="10">
        <v>6.0226471331391498E-3</v>
      </c>
      <c r="BU47" s="10">
        <v>5.5529879622928796E-3</v>
      </c>
      <c r="BV47" s="10">
        <v>6.7534125834141801E-3</v>
      </c>
      <c r="BW47" s="10">
        <v>4.5857233414801704E-3</v>
      </c>
      <c r="BX47" s="10">
        <v>5.4365766132113197E-3</v>
      </c>
      <c r="BY47" s="10">
        <v>2.1166451889200501E-2</v>
      </c>
      <c r="BZ47" s="10">
        <v>3.8924612623046401E-3</v>
      </c>
      <c r="CA47" s="10">
        <v>3.8924612623046401E-3</v>
      </c>
      <c r="CB47" s="10">
        <v>4.4290510888142101E-3</v>
      </c>
      <c r="CC47" s="11">
        <v>4.4192586439918396E-3</v>
      </c>
      <c r="CD47" s="6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6067-9901-44F8-83D7-800AF9D7FBE1}">
  <sheetPr codeName="Sheet3"/>
  <dimension ref="B1:CC47"/>
  <sheetViews>
    <sheetView workbookViewId="0"/>
  </sheetViews>
  <sheetFormatPr defaultRowHeight="12" x14ac:dyDescent="0.15"/>
  <cols>
    <col min="2" max="2" width="14.140625" bestFit="1" customWidth="1"/>
    <col min="3" max="81" width="8.7109375" customWidth="1"/>
  </cols>
  <sheetData>
    <row r="1" spans="2:81" x14ac:dyDescent="0.15">
      <c r="B1" s="3">
        <f>1.602176487*10^-13</f>
        <v>1.602176487E-13</v>
      </c>
      <c r="E1">
        <f>1.602176487*10^-13</f>
        <v>1.602176487E-13</v>
      </c>
      <c r="G1">
        <f>1.60218*10^-13</f>
        <v>1.60218E-13</v>
      </c>
    </row>
    <row r="2" spans="2:81" x14ac:dyDescent="0.15">
      <c r="C2" t="s">
        <v>104</v>
      </c>
    </row>
    <row r="4" spans="2:81" x14ac:dyDescent="0.15">
      <c r="B4" t="s">
        <v>97</v>
      </c>
      <c r="C4" t="s">
        <v>76</v>
      </c>
      <c r="D4" t="s">
        <v>21</v>
      </c>
      <c r="E4" t="s">
        <v>90</v>
      </c>
      <c r="F4" t="s">
        <v>91</v>
      </c>
      <c r="G4" t="s">
        <v>37</v>
      </c>
      <c r="H4" t="s">
        <v>38</v>
      </c>
      <c r="I4" t="s">
        <v>74</v>
      </c>
      <c r="J4" t="s">
        <v>73</v>
      </c>
      <c r="K4" t="s">
        <v>75</v>
      </c>
      <c r="L4" t="s">
        <v>87</v>
      </c>
      <c r="M4" t="s">
        <v>88</v>
      </c>
      <c r="N4" t="s">
        <v>89</v>
      </c>
      <c r="O4" t="s">
        <v>84</v>
      </c>
      <c r="P4" t="s">
        <v>85</v>
      </c>
      <c r="Q4" t="s">
        <v>86</v>
      </c>
      <c r="R4" t="s">
        <v>44</v>
      </c>
      <c r="S4" t="s">
        <v>81</v>
      </c>
      <c r="T4" t="s">
        <v>82</v>
      </c>
      <c r="U4" t="s">
        <v>83</v>
      </c>
      <c r="V4" t="s">
        <v>68</v>
      </c>
      <c r="W4" t="s">
        <v>69</v>
      </c>
      <c r="X4" t="s">
        <v>70</v>
      </c>
      <c r="Y4" t="s">
        <v>77</v>
      </c>
      <c r="Z4" t="s">
        <v>78</v>
      </c>
      <c r="AA4" t="s">
        <v>79</v>
      </c>
      <c r="AB4" t="s">
        <v>62</v>
      </c>
      <c r="AC4" t="s">
        <v>65</v>
      </c>
      <c r="AD4" t="s">
        <v>63</v>
      </c>
      <c r="AE4" t="s">
        <v>64</v>
      </c>
      <c r="AF4" t="s">
        <v>16</v>
      </c>
      <c r="AG4" t="s">
        <v>51</v>
      </c>
      <c r="AH4" t="s">
        <v>52</v>
      </c>
      <c r="AI4" t="s">
        <v>53</v>
      </c>
      <c r="AJ4" t="s">
        <v>54</v>
      </c>
      <c r="AK4" t="s">
        <v>55</v>
      </c>
      <c r="AL4" t="s">
        <v>56</v>
      </c>
      <c r="AM4" t="s">
        <v>49</v>
      </c>
      <c r="AN4" t="s">
        <v>18</v>
      </c>
      <c r="AO4" t="s">
        <v>72</v>
      </c>
      <c r="AP4" t="s">
        <v>0</v>
      </c>
      <c r="AQ4" t="s">
        <v>50</v>
      </c>
      <c r="AR4" t="s">
        <v>58</v>
      </c>
      <c r="AS4" t="s">
        <v>60</v>
      </c>
      <c r="AT4" t="s">
        <v>93</v>
      </c>
      <c r="AU4" t="s">
        <v>94</v>
      </c>
      <c r="AV4" t="s">
        <v>59</v>
      </c>
      <c r="AW4" t="s">
        <v>92</v>
      </c>
      <c r="AX4" t="s">
        <v>27</v>
      </c>
      <c r="AY4" t="s">
        <v>96</v>
      </c>
      <c r="AZ4" t="s">
        <v>2</v>
      </c>
      <c r="BA4" t="s">
        <v>3</v>
      </c>
      <c r="BB4" t="s">
        <v>10</v>
      </c>
      <c r="BC4" t="s">
        <v>11</v>
      </c>
      <c r="BD4" t="s">
        <v>67</v>
      </c>
      <c r="BE4" t="s">
        <v>12</v>
      </c>
      <c r="BF4" t="s">
        <v>13</v>
      </c>
      <c r="BG4" t="s">
        <v>15</v>
      </c>
      <c r="BH4" t="s">
        <v>17</v>
      </c>
      <c r="BI4" t="s">
        <v>22</v>
      </c>
      <c r="BJ4" t="s">
        <v>23</v>
      </c>
      <c r="BK4" t="s">
        <v>24</v>
      </c>
      <c r="BL4" t="s">
        <v>25</v>
      </c>
      <c r="BM4" t="s">
        <v>29</v>
      </c>
      <c r="BN4" t="s">
        <v>30</v>
      </c>
      <c r="BO4" t="s">
        <v>32</v>
      </c>
      <c r="BP4" t="s">
        <v>34</v>
      </c>
      <c r="BQ4" t="s">
        <v>35</v>
      </c>
      <c r="BR4" t="s">
        <v>36</v>
      </c>
      <c r="BS4" t="s">
        <v>39</v>
      </c>
      <c r="BT4" t="s">
        <v>40</v>
      </c>
      <c r="BU4" t="s">
        <v>95</v>
      </c>
      <c r="BV4" t="s">
        <v>41</v>
      </c>
      <c r="BW4" t="s">
        <v>48</v>
      </c>
      <c r="BX4" t="s">
        <v>57</v>
      </c>
      <c r="BY4" t="s">
        <v>19</v>
      </c>
      <c r="BZ4" t="s">
        <v>61</v>
      </c>
      <c r="CA4" t="s">
        <v>66</v>
      </c>
      <c r="CB4" t="s">
        <v>71</v>
      </c>
      <c r="CC4" t="s">
        <v>80</v>
      </c>
    </row>
    <row r="5" spans="2:81" x14ac:dyDescent="0.15">
      <c r="B5" t="s">
        <v>21</v>
      </c>
      <c r="C5" s="1">
        <f>$B$1*'S-coe'!C5</f>
        <v>2.6387323995962818E-13</v>
      </c>
      <c r="D5" s="1">
        <f>$B$1*'S-coe'!D5</f>
        <v>1.6437912404697045E-12</v>
      </c>
      <c r="E5" s="1">
        <f>$B$1*'S-coe'!E5</f>
        <v>1.1170524453294989E-12</v>
      </c>
      <c r="F5" s="1">
        <f>$B$1*'S-coe'!F5</f>
        <v>7.0705834051245315E-14</v>
      </c>
      <c r="G5" s="1">
        <f>$B$1*'S-coe'!G5</f>
        <v>6.0621814574826697E-13</v>
      </c>
      <c r="H5" s="1">
        <f>$B$1*'S-coe'!H5</f>
        <v>7.4387710083268164E-14</v>
      </c>
      <c r="I5" s="1">
        <f>$B$1*'S-coe'!I5</f>
        <v>2.1715224441461975E-15</v>
      </c>
      <c r="J5" s="1">
        <f>$B$1*'S-coe'!J5</f>
        <v>2.1715224441461975E-15</v>
      </c>
      <c r="K5" s="1">
        <f>$B$1*'S-coe'!K5</f>
        <v>2.1715224441461975E-15</v>
      </c>
      <c r="L5" s="1">
        <f>$B$1*'S-coe'!L5</f>
        <v>1.2254383164937589E-16</v>
      </c>
      <c r="M5" s="1">
        <f>$B$1*'S-coe'!M5</f>
        <v>1.1342666990843466E-16</v>
      </c>
      <c r="N5" s="1">
        <f>$B$1*'S-coe'!N5</f>
        <v>1.1342666990843466E-16</v>
      </c>
      <c r="O5" s="1">
        <f>$B$1*'S-coe'!O5</f>
        <v>3.4522204785171249E-17</v>
      </c>
      <c r="P5" s="1">
        <f>$B$1*'S-coe'!P5</f>
        <v>2.936441069267004E-17</v>
      </c>
      <c r="Q5" s="1">
        <f>$B$1*'S-coe'!Q5</f>
        <v>2.936441069267004E-17</v>
      </c>
      <c r="R5" s="1">
        <f>$B$1*'S-coe'!R5</f>
        <v>2.936441069267004E-17</v>
      </c>
      <c r="S5" s="1">
        <f>$B$1*'S-coe'!S5</f>
        <v>2.4643996819710665E-17</v>
      </c>
      <c r="T5" s="1">
        <f>$B$1*'S-coe'!T5</f>
        <v>2.3712470936553468E-17</v>
      </c>
      <c r="U5" s="1">
        <f>$B$1*'S-coe'!U5</f>
        <v>2.3712470936553468E-17</v>
      </c>
      <c r="V5" s="1">
        <f>$B$1*'S-coe'!V5</f>
        <v>1.7738444304574504E-17</v>
      </c>
      <c r="W5" s="1">
        <f>$B$1*'S-coe'!W5</f>
        <v>1.59239756743902E-17</v>
      </c>
      <c r="X5" s="1">
        <f>$B$1*'S-coe'!X5</f>
        <v>1.59239756743902E-17</v>
      </c>
      <c r="Y5" s="1">
        <f>$B$1*'S-coe'!Y5</f>
        <v>4.4910851166044504E-18</v>
      </c>
      <c r="Z5" s="1">
        <f>$B$1*'S-coe'!Z5</f>
        <v>3.8755555571800941E-18</v>
      </c>
      <c r="AA5" s="1">
        <f>$B$1*'S-coe'!AA5</f>
        <v>3.8755555571800941E-18</v>
      </c>
      <c r="AB5" s="1">
        <f>$B$1*'S-coe'!AB5</f>
        <v>1.6621597027789783E-14</v>
      </c>
      <c r="AC5" s="1">
        <f>$B$1*'S-coe'!AC5</f>
        <v>3.6935437187067174E-14</v>
      </c>
      <c r="AD5" s="1">
        <f>$B$1*'S-coe'!AD5</f>
        <v>3.6935437187067174E-14</v>
      </c>
      <c r="AE5" s="1">
        <f>$B$1*'S-coe'!AE5</f>
        <v>3.6935437187067174E-14</v>
      </c>
      <c r="AF5" s="1">
        <f>$B$1*'S-coe'!AF5</f>
        <v>5.8230483217332444E-14</v>
      </c>
      <c r="AG5" s="1">
        <f>$B$1*'S-coe'!AG5</f>
        <v>2.142725260011631E-15</v>
      </c>
      <c r="AH5" s="1">
        <f>$B$1*'S-coe'!AH5</f>
        <v>2.142725260011631E-15</v>
      </c>
      <c r="AI5" s="1">
        <f>$B$1*'S-coe'!AI5</f>
        <v>2.142725260011631E-15</v>
      </c>
      <c r="AJ5" s="1">
        <f>$B$1*'S-coe'!AJ5</f>
        <v>5.9751145330046609E-16</v>
      </c>
      <c r="AK5" s="1">
        <f>$B$1*'S-coe'!AK5</f>
        <v>5.9751145330046609E-16</v>
      </c>
      <c r="AL5" s="1">
        <f>$B$1*'S-coe'!AL5</f>
        <v>5.9751145330046609E-16</v>
      </c>
      <c r="AM5" s="1">
        <f>$B$1*'S-coe'!AM5</f>
        <v>5.9751145330046609E-16</v>
      </c>
      <c r="AN5" s="1">
        <f>$B$1*'S-coe'!AN5</f>
        <v>2.4411432162026495E-15</v>
      </c>
      <c r="AO5" s="1">
        <f>$B$1*'S-coe'!AO5</f>
        <v>5.9047951712155795E-16</v>
      </c>
      <c r="AP5" s="1">
        <f>$B$1*'S-coe'!AP5</f>
        <v>1.0215306457750732E-16</v>
      </c>
      <c r="AQ5" s="1">
        <f>$B$1*'S-coe'!AQ5</f>
        <v>9.6978510272287512E-16</v>
      </c>
      <c r="AR5" s="1">
        <f>$B$1*'S-coe'!AR5</f>
        <v>1.9947353367899709E-15</v>
      </c>
      <c r="AS5" s="1">
        <f>$B$1*'S-coe'!AS5</f>
        <v>1.9947353367899709E-15</v>
      </c>
      <c r="AT5" s="1">
        <f>$B$1*'S-coe'!AT5</f>
        <v>1.8042235915068735E-15</v>
      </c>
      <c r="AU5" s="1">
        <f>$B$1*'S-coe'!AU5</f>
        <v>1.8042235915068735E-15</v>
      </c>
      <c r="AV5" s="1">
        <f>$B$1*'S-coe'!AV5</f>
        <v>3.6163535037283468E-17</v>
      </c>
      <c r="AW5" s="1">
        <f>$B$1*'S-coe'!AW5</f>
        <v>9.8061699901831082E-16</v>
      </c>
      <c r="AX5" s="1">
        <f>$B$1*'S-coe'!AX5</f>
        <v>1.2981531903626792E-15</v>
      </c>
      <c r="AY5" s="1">
        <f>$B$1*'S-coe'!AY5</f>
        <v>6.8891349955150728E-16</v>
      </c>
      <c r="AZ5" s="1">
        <f>$B$1*'S-coe'!AZ5</f>
        <v>2.6832008346028588E-15</v>
      </c>
      <c r="BA5" s="1">
        <f>$B$1*'S-coe'!BA5</f>
        <v>7.4451237298052319E-16</v>
      </c>
      <c r="BB5" s="1">
        <f>$B$1*'S-coe'!BB5</f>
        <v>6.5018167255113706E-15</v>
      </c>
      <c r="BC5" s="1">
        <f>$B$1*'S-coe'!BC5</f>
        <v>1.171452618461962E-16</v>
      </c>
      <c r="BD5" s="1">
        <f>$B$1*'S-coe'!BD5</f>
        <v>1.1258740955682519E-16</v>
      </c>
      <c r="BE5" s="1">
        <f>$B$1*'S-coe'!BE5</f>
        <v>4.8931877703513507E-16</v>
      </c>
      <c r="BF5" s="1">
        <f>$B$1*'S-coe'!BF5</f>
        <v>6.2377876598421055E-17</v>
      </c>
      <c r="BG5" s="1">
        <f>$B$1*'S-coe'!BG5</f>
        <v>1.6642737211870389E-16</v>
      </c>
      <c r="BH5" s="1">
        <f>$B$1*'S-coe'!BH5</f>
        <v>6.0369360060625962E-16</v>
      </c>
      <c r="BI5" s="1">
        <f>$B$1*'S-coe'!BI5</f>
        <v>4.3387132788950959E-18</v>
      </c>
      <c r="BJ5" s="1">
        <f>$B$1*'S-coe'!BJ5</f>
        <v>7.9052006456252744E-17</v>
      </c>
      <c r="BK5" s="1">
        <f>$B$1*'S-coe'!BK5</f>
        <v>8.2117420142201952E-15</v>
      </c>
      <c r="BL5" s="1">
        <f>$B$1*'S-coe'!BL5</f>
        <v>0</v>
      </c>
      <c r="BM5" s="1">
        <f>$B$1*'S-coe'!BM5</f>
        <v>1.7502507111987869E-14</v>
      </c>
      <c r="BN5" s="1">
        <f>$B$1*'S-coe'!BN5</f>
        <v>4.3440448016086999E-16</v>
      </c>
      <c r="BO5" s="1">
        <f>$B$1*'S-coe'!BO5</f>
        <v>1.2914403076439927E-16</v>
      </c>
      <c r="BP5" s="1">
        <f>$B$1*'S-coe'!BP5</f>
        <v>0</v>
      </c>
      <c r="BQ5" s="1">
        <f>$B$1*'S-coe'!BQ5</f>
        <v>1.67654378062353E-15</v>
      </c>
      <c r="BR5" s="1">
        <f>$B$1*'S-coe'!BR5</f>
        <v>4.4421010678269792E-15</v>
      </c>
      <c r="BS5" s="1">
        <f>$B$1*'S-coe'!BS5</f>
        <v>2.5774283399868198E-17</v>
      </c>
      <c r="BT5" s="1">
        <f>$B$1*'S-coe'!BT5</f>
        <v>5.2011456807009226E-18</v>
      </c>
      <c r="BU5" s="1">
        <f>$B$1*'S-coe'!BU5</f>
        <v>4.7614895620439843E-18</v>
      </c>
      <c r="BV5" s="1">
        <f>$B$1*'S-coe'!BV5</f>
        <v>3.4083622405842085E-18</v>
      </c>
      <c r="BW5" s="1">
        <f>$B$1*'S-coe'!BW5</f>
        <v>5.0310922934086377E-16</v>
      </c>
      <c r="BX5" s="1">
        <f>$B$1*'S-coe'!BX5</f>
        <v>1.4328906419863945E-15</v>
      </c>
      <c r="BY5" s="1">
        <f>$B$1*'S-coe'!BY5</f>
        <v>5.6809909217364555E-16</v>
      </c>
      <c r="BZ5" s="1">
        <f>$B$1*'S-coe'!BZ5</f>
        <v>3.6935437187067174E-14</v>
      </c>
      <c r="CA5" s="1">
        <f>$B$1*'S-coe'!CA5</f>
        <v>3.6935437187067174E-14</v>
      </c>
      <c r="CB5" s="1">
        <f>$B$1*'S-coe'!CB5</f>
        <v>6.4891179991244827E-16</v>
      </c>
      <c r="CC5" s="1">
        <f>$B$1*'S-coe'!CC5</f>
        <v>9.3082539296984479E-16</v>
      </c>
    </row>
    <row r="6" spans="2:81" x14ac:dyDescent="0.15">
      <c r="B6" t="s">
        <v>20</v>
      </c>
      <c r="C6" s="1">
        <f>$B$1*'S-coe'!C6</f>
        <v>2.1868068097355726E-15</v>
      </c>
      <c r="D6" s="1">
        <f>$B$1*'S-coe'!D6</f>
        <v>2.1868068097355726E-15</v>
      </c>
      <c r="E6" s="1">
        <f>$B$1*'S-coe'!E6</f>
        <v>1.3331022183059154E-15</v>
      </c>
      <c r="F6" s="1">
        <f>$B$1*'S-coe'!F6</f>
        <v>1.3331022183059154E-15</v>
      </c>
      <c r="G6" s="1">
        <f>$B$1*'S-coe'!G6</f>
        <v>2.4411687897177645E-15</v>
      </c>
      <c r="H6" s="1">
        <f>$B$1*'S-coe'!H6</f>
        <v>1.7011430857468082E-15</v>
      </c>
      <c r="I6" s="1">
        <f>$B$1*'S-coe'!I6</f>
        <v>3.5470200115850393E-12</v>
      </c>
      <c r="J6" s="1">
        <f>$B$1*'S-coe'!J6</f>
        <v>4.4507389957051769E-13</v>
      </c>
      <c r="K6" s="1">
        <f>$B$1*'S-coe'!K6</f>
        <v>8.1520658532259655E-13</v>
      </c>
      <c r="L6" s="1">
        <f>$B$1*'S-coe'!L6</f>
        <v>2.6107391998265418E-15</v>
      </c>
      <c r="M6" s="1">
        <f>$B$1*'S-coe'!M6</f>
        <v>2.4272777653887225E-15</v>
      </c>
      <c r="N6" s="1">
        <f>$B$1*'S-coe'!N6</f>
        <v>2.4272777653887225E-15</v>
      </c>
      <c r="O6" s="1">
        <f>$B$1*'S-coe'!O6</f>
        <v>3.6154151411173077E-16</v>
      </c>
      <c r="P6" s="1">
        <f>$B$1*'S-coe'!P6</f>
        <v>2.8481220724531289E-16</v>
      </c>
      <c r="Q6" s="1">
        <f>$B$1*'S-coe'!Q6</f>
        <v>2.8481220724531289E-16</v>
      </c>
      <c r="R6" s="1">
        <f>$B$1*'S-coe'!R6</f>
        <v>2.8481220724531289E-16</v>
      </c>
      <c r="S6" s="1">
        <f>$B$1*'S-coe'!S6</f>
        <v>1.5672066700806095E-16</v>
      </c>
      <c r="T6" s="1">
        <f>$B$1*'S-coe'!T6</f>
        <v>1.6018083578027262E-16</v>
      </c>
      <c r="U6" s="1">
        <f>$B$1*'S-coe'!U6</f>
        <v>1.6018083578027262E-16</v>
      </c>
      <c r="V6" s="1">
        <f>$B$1*'S-coe'!V6</f>
        <v>1.3558008321167332E-16</v>
      </c>
      <c r="W6" s="1">
        <f>$B$1*'S-coe'!W6</f>
        <v>1.3217529631307189E-16</v>
      </c>
      <c r="X6" s="1">
        <f>$B$1*'S-coe'!X6</f>
        <v>1.3217529631307189E-16</v>
      </c>
      <c r="Y6" s="1">
        <f>$B$1*'S-coe'!Y6</f>
        <v>3.3602637186412031E-17</v>
      </c>
      <c r="Z6" s="1">
        <f>$B$1*'S-coe'!Z6</f>
        <v>2.7358179866076332E-17</v>
      </c>
      <c r="AA6" s="1">
        <f>$B$1*'S-coe'!AA6</f>
        <v>2.7358179866076332E-17</v>
      </c>
      <c r="AB6" s="1">
        <f>$B$1*'S-coe'!AB6</f>
        <v>5.8710935669065248E-16</v>
      </c>
      <c r="AC6" s="1">
        <f>$B$1*'S-coe'!AC6</f>
        <v>6.7785205456616589E-15</v>
      </c>
      <c r="AD6" s="1">
        <f>$B$1*'S-coe'!AD6</f>
        <v>6.7785205456616589E-15</v>
      </c>
      <c r="AE6" s="1">
        <f>$B$1*'S-coe'!AE6</f>
        <v>6.7785205456616589E-15</v>
      </c>
      <c r="AF6" s="1">
        <f>$B$1*'S-coe'!AF6</f>
        <v>7.0972879135208773E-15</v>
      </c>
      <c r="AG6" s="1">
        <f>$B$1*'S-coe'!AG6</f>
        <v>3.2011879877231922E-14</v>
      </c>
      <c r="AH6" s="1">
        <f>$B$1*'S-coe'!AH6</f>
        <v>3.2011879877231922E-14</v>
      </c>
      <c r="AI6" s="1">
        <f>$B$1*'S-coe'!AI6</f>
        <v>3.2011879877231922E-14</v>
      </c>
      <c r="AJ6" s="1">
        <f>$B$1*'S-coe'!AJ6</f>
        <v>5.470344630832591E-15</v>
      </c>
      <c r="AK6" s="1">
        <f>$B$1*'S-coe'!AK6</f>
        <v>5.470344630832591E-15</v>
      </c>
      <c r="AL6" s="1">
        <f>$B$1*'S-coe'!AL6</f>
        <v>5.470344630832591E-15</v>
      </c>
      <c r="AM6" s="1">
        <f>$B$1*'S-coe'!AM6</f>
        <v>5.470344630832591E-15</v>
      </c>
      <c r="AN6" s="1">
        <f>$B$1*'S-coe'!AN6</f>
        <v>3.180352093624094E-14</v>
      </c>
      <c r="AO6" s="1">
        <f>$B$1*'S-coe'!AO6</f>
        <v>5.5110419769443111E-15</v>
      </c>
      <c r="AP6" s="1">
        <f>$B$1*'S-coe'!AP6</f>
        <v>2.2507106216697761E-15</v>
      </c>
      <c r="AQ6" s="1">
        <f>$B$1*'S-coe'!AQ6</f>
        <v>4.215138424762371E-15</v>
      </c>
      <c r="AR6" s="1">
        <f>$B$1*'S-coe'!AR6</f>
        <v>1.3442344423129594E-15</v>
      </c>
      <c r="AS6" s="1">
        <f>$B$1*'S-coe'!AS6</f>
        <v>1.3442344423129594E-15</v>
      </c>
      <c r="AT6" s="1">
        <f>$B$1*'S-coe'!AT6</f>
        <v>1.089687836220126E-15</v>
      </c>
      <c r="AU6" s="1">
        <f>$B$1*'S-coe'!AU6</f>
        <v>1.089687836220126E-15</v>
      </c>
      <c r="AV6" s="1">
        <f>$B$1*'S-coe'!AV6</f>
        <v>1.3505911471274291E-16</v>
      </c>
      <c r="AW6" s="1">
        <f>$B$1*'S-coe'!AW6</f>
        <v>1.6416829142153391E-15</v>
      </c>
      <c r="AX6" s="1">
        <f>$B$1*'S-coe'!AX6</f>
        <v>3.0218310108906443E-15</v>
      </c>
      <c r="AY6" s="1">
        <f>$B$1*'S-coe'!AY6</f>
        <v>7.3013124973988363E-16</v>
      </c>
      <c r="AZ6" s="1">
        <f>$B$1*'S-coe'!AZ6</f>
        <v>3.4453425063185074E-16</v>
      </c>
      <c r="BA6" s="1">
        <f>$B$1*'S-coe'!BA6</f>
        <v>1.6518273127032934E-15</v>
      </c>
      <c r="BB6" s="1">
        <f>$B$1*'S-coe'!BB6</f>
        <v>3.9483939652689677E-16</v>
      </c>
      <c r="BC6" s="1">
        <f>$B$1*'S-coe'!BC6</f>
        <v>1.5921573710716106E-15</v>
      </c>
      <c r="BD6" s="1">
        <f>$B$1*'S-coe'!BD6</f>
        <v>1.6188603864424278E-15</v>
      </c>
      <c r="BE6" s="1">
        <f>$B$1*'S-coe'!BE6</f>
        <v>1.1452880372971547E-14</v>
      </c>
      <c r="BF6" s="1">
        <f>$B$1*'S-coe'!BF6</f>
        <v>8.5405514819677353E-16</v>
      </c>
      <c r="BG6" s="1">
        <f>$B$1*'S-coe'!BG6</f>
        <v>2.4729723286569825E-15</v>
      </c>
      <c r="BH6" s="1">
        <f>$B$1*'S-coe'!BH6</f>
        <v>4.5149927795154003E-15</v>
      </c>
      <c r="BI6" s="1">
        <f>$B$1*'S-coe'!BI6</f>
        <v>2.3556380173205298E-17</v>
      </c>
      <c r="BJ6" s="1">
        <f>$B$1*'S-coe'!BJ6</f>
        <v>8.9780745781792569E-16</v>
      </c>
      <c r="BK6" s="1">
        <f>$B$1*'S-coe'!BK6</f>
        <v>6.6479649785905025E-16</v>
      </c>
      <c r="BL6" s="1">
        <f>$B$1*'S-coe'!BL6</f>
        <v>0</v>
      </c>
      <c r="BM6" s="1">
        <f>$B$1*'S-coe'!BM6</f>
        <v>2.1094500739011491E-15</v>
      </c>
      <c r="BN6" s="1">
        <f>$B$1*'S-coe'!BN6</f>
        <v>3.9530423265770021E-16</v>
      </c>
      <c r="BO6" s="1">
        <f>$B$1*'S-coe'!BO6</f>
        <v>2.2196900187365536E-15</v>
      </c>
      <c r="BP6" s="1">
        <f>$B$1*'S-coe'!BP6</f>
        <v>0</v>
      </c>
      <c r="BQ6" s="1">
        <f>$B$1*'S-coe'!BQ6</f>
        <v>1.0363093977021597E-14</v>
      </c>
      <c r="BR6" s="1">
        <f>$B$1*'S-coe'!BR6</f>
        <v>2.2285409649143884E-14</v>
      </c>
      <c r="BS6" s="1">
        <f>$B$1*'S-coe'!BS6</f>
        <v>2.6941222736225756E-16</v>
      </c>
      <c r="BT6" s="1">
        <f>$B$1*'S-coe'!BT6</f>
        <v>2.4961929920295473E-17</v>
      </c>
      <c r="BU6" s="1">
        <f>$B$1*'S-coe'!BU6</f>
        <v>2.7713736914323921E-17</v>
      </c>
      <c r="BV6" s="1">
        <f>$B$1*'S-coe'!BV6</f>
        <v>2.3582947216698295E-17</v>
      </c>
      <c r="BW6" s="1">
        <f>$B$1*'S-coe'!BW6</f>
        <v>5.3583289013720189E-16</v>
      </c>
      <c r="BX6" s="1">
        <f>$B$1*'S-coe'!BX6</f>
        <v>1.2229439850356681E-15</v>
      </c>
      <c r="BY6" s="1">
        <f>$B$1*'S-coe'!BY6</f>
        <v>7.3322352413540329E-16</v>
      </c>
      <c r="BZ6" s="1">
        <f>$B$1*'S-coe'!BZ6</f>
        <v>6.7785205456616589E-15</v>
      </c>
      <c r="CA6" s="1">
        <f>$B$1*'S-coe'!CA6</f>
        <v>6.7785205456616589E-15</v>
      </c>
      <c r="CB6" s="1">
        <f>$B$1*'S-coe'!CB6</f>
        <v>6.3551450583709928E-15</v>
      </c>
      <c r="CC6" s="1">
        <f>$B$1*'S-coe'!CC6</f>
        <v>5.7469362162701743E-15</v>
      </c>
    </row>
    <row r="7" spans="2:81" x14ac:dyDescent="0.15">
      <c r="B7" t="s">
        <v>33</v>
      </c>
      <c r="C7" s="1">
        <f>$B$1*'S-coe'!C7</f>
        <v>1.1965306798370645E-16</v>
      </c>
      <c r="D7" s="1">
        <f>$B$1*'S-coe'!D7</f>
        <v>1.1965306798370645E-16</v>
      </c>
      <c r="E7" s="1">
        <f>$B$1*'S-coe'!E7</f>
        <v>1.1633999600758184E-16</v>
      </c>
      <c r="F7" s="1">
        <f>$B$1*'S-coe'!F7</f>
        <v>1.1633999600758184E-16</v>
      </c>
      <c r="G7" s="1">
        <f>$B$1*'S-coe'!G7</f>
        <v>1.1609717470909804E-16</v>
      </c>
      <c r="H7" s="1">
        <f>$B$1*'S-coe'!H7</f>
        <v>9.0984880796918809E-17</v>
      </c>
      <c r="I7" s="1">
        <f>$B$1*'S-coe'!I7</f>
        <v>2.4224704022575697E-15</v>
      </c>
      <c r="J7" s="1">
        <f>$B$1*'S-coe'!J7</f>
        <v>2.4224704022575697E-15</v>
      </c>
      <c r="K7" s="1">
        <f>$B$1*'S-coe'!K7</f>
        <v>2.4224704022575697E-15</v>
      </c>
      <c r="L7" s="1">
        <f>$B$1*'S-coe'!L7</f>
        <v>9.3171438805712314E-14</v>
      </c>
      <c r="M7" s="1">
        <f>$B$1*'S-coe'!M7</f>
        <v>3.9017960621541528E-12</v>
      </c>
      <c r="N7" s="1">
        <f>$B$1*'S-coe'!N7</f>
        <v>1.8945632778023745E-13</v>
      </c>
      <c r="O7" s="1">
        <f>$B$1*'S-coe'!O7</f>
        <v>5.3938835890261632E-15</v>
      </c>
      <c r="P7" s="1">
        <f>$B$1*'S-coe'!P7</f>
        <v>4.0335865629375326E-15</v>
      </c>
      <c r="Q7" s="1">
        <f>$B$1*'S-coe'!Q7</f>
        <v>4.0335865629375326E-15</v>
      </c>
      <c r="R7" s="1">
        <f>$B$1*'S-coe'!R7</f>
        <v>4.0335865629375326E-15</v>
      </c>
      <c r="S7" s="1">
        <f>$B$1*'S-coe'!S7</f>
        <v>8.6047541826182069E-16</v>
      </c>
      <c r="T7" s="1">
        <f>$B$1*'S-coe'!T7</f>
        <v>8.6587103014321979E-16</v>
      </c>
      <c r="U7" s="1">
        <f>$B$1*'S-coe'!U7</f>
        <v>8.6587103014321979E-16</v>
      </c>
      <c r="V7" s="1">
        <f>$B$1*'S-coe'!V7</f>
        <v>1.472237372149153E-15</v>
      </c>
      <c r="W7" s="1">
        <f>$B$1*'S-coe'!W7</f>
        <v>1.4410950501490969E-15</v>
      </c>
      <c r="X7" s="1">
        <f>$B$1*'S-coe'!X7</f>
        <v>1.4410950501490969E-15</v>
      </c>
      <c r="Y7" s="1">
        <f>$B$1*'S-coe'!Y7</f>
        <v>1.966052236617596E-16</v>
      </c>
      <c r="Z7" s="1">
        <f>$B$1*'S-coe'!Z7</f>
        <v>1.7032135072055435E-16</v>
      </c>
      <c r="AA7" s="1">
        <f>$B$1*'S-coe'!AA7</f>
        <v>1.7032135072055435E-16</v>
      </c>
      <c r="AB7" s="1">
        <f>$B$1*'S-coe'!AB7</f>
        <v>1.017214890698968E-16</v>
      </c>
      <c r="AC7" s="1">
        <f>$B$1*'S-coe'!AC7</f>
        <v>9.577349137410509E-17</v>
      </c>
      <c r="AD7" s="1">
        <f>$B$1*'S-coe'!AD7</f>
        <v>9.577349137410509E-17</v>
      </c>
      <c r="AE7" s="1">
        <f>$B$1*'S-coe'!AE7</f>
        <v>9.577349137410509E-17</v>
      </c>
      <c r="AF7" s="1">
        <f>$B$1*'S-coe'!AF7</f>
        <v>1.3269194299922366E-16</v>
      </c>
      <c r="AG7" s="1">
        <f>$B$1*'S-coe'!AG7</f>
        <v>7.1052318280049435E-16</v>
      </c>
      <c r="AH7" s="1">
        <f>$B$1*'S-coe'!AH7</f>
        <v>7.1052318280049435E-16</v>
      </c>
      <c r="AI7" s="1">
        <f>$B$1*'S-coe'!AI7</f>
        <v>7.1052318280049435E-16</v>
      </c>
      <c r="AJ7" s="1">
        <f>$B$1*'S-coe'!AJ7</f>
        <v>1.6197218489241177E-15</v>
      </c>
      <c r="AK7" s="1">
        <f>$B$1*'S-coe'!AK7</f>
        <v>1.6197218489241177E-15</v>
      </c>
      <c r="AL7" s="1">
        <f>$B$1*'S-coe'!AL7</f>
        <v>1.6197218489241177E-15</v>
      </c>
      <c r="AM7" s="1">
        <f>$B$1*'S-coe'!AM7</f>
        <v>1.6197218489241177E-15</v>
      </c>
      <c r="AN7" s="1">
        <f>$B$1*'S-coe'!AN7</f>
        <v>5.8623809479865833E-16</v>
      </c>
      <c r="AO7" s="1">
        <f>$B$1*'S-coe'!AO7</f>
        <v>1.6376010625126419E-15</v>
      </c>
      <c r="AP7" s="1">
        <f>$B$1*'S-coe'!AP7</f>
        <v>6.2618156725299965E-15</v>
      </c>
      <c r="AQ7" s="1">
        <f>$B$1*'S-coe'!AQ7</f>
        <v>3.7241297632161379E-15</v>
      </c>
      <c r="AR7" s="1">
        <f>$B$1*'S-coe'!AR7</f>
        <v>4.1417096418398222E-16</v>
      </c>
      <c r="AS7" s="1">
        <f>$B$1*'S-coe'!AS7</f>
        <v>4.1417096418398222E-16</v>
      </c>
      <c r="AT7" s="1">
        <f>$B$1*'S-coe'!AT7</f>
        <v>5.1210368018711062E-16</v>
      </c>
      <c r="AU7" s="1">
        <f>$B$1*'S-coe'!AU7</f>
        <v>5.1210368018711062E-16</v>
      </c>
      <c r="AV7" s="1">
        <f>$B$1*'S-coe'!AV7</f>
        <v>1.2911969542341248E-16</v>
      </c>
      <c r="AW7" s="1">
        <f>$B$1*'S-coe'!AW7</f>
        <v>6.5074806605475202E-16</v>
      </c>
      <c r="AX7" s="1">
        <f>$B$1*'S-coe'!AX7</f>
        <v>1.1798161358286625E-15</v>
      </c>
      <c r="AY7" s="1">
        <f>$B$1*'S-coe'!AY7</f>
        <v>3.1895591432701858E-16</v>
      </c>
      <c r="AZ7" s="1">
        <f>$B$1*'S-coe'!AZ7</f>
        <v>3.3176452890416878E-17</v>
      </c>
      <c r="BA7" s="1">
        <f>$B$1*'S-coe'!BA7</f>
        <v>1.0648256855397674E-15</v>
      </c>
      <c r="BB7" s="1">
        <f>$B$1*'S-coe'!BB7</f>
        <v>8.0504019033409638E-17</v>
      </c>
      <c r="BC7" s="1">
        <f>$B$1*'S-coe'!BC7</f>
        <v>6.4639987256355233E-15</v>
      </c>
      <c r="BD7" s="1">
        <f>$B$1*'S-coe'!BD7</f>
        <v>5.6470154813062645E-15</v>
      </c>
      <c r="BE7" s="1">
        <f>$B$1*'S-coe'!BE7</f>
        <v>3.4974928057429376E-15</v>
      </c>
      <c r="BF7" s="1">
        <f>$B$1*'S-coe'!BF7</f>
        <v>4.7300123819733838E-15</v>
      </c>
      <c r="BG7" s="1">
        <f>$B$1*'S-coe'!BG7</f>
        <v>4.5573364835305713E-15</v>
      </c>
      <c r="BH7" s="1">
        <f>$B$1*'S-coe'!BH7</f>
        <v>3.2445219296791874E-15</v>
      </c>
      <c r="BI7" s="1">
        <f>$B$1*'S-coe'!BI7</f>
        <v>1.4649546084007493E-16</v>
      </c>
      <c r="BJ7" s="1">
        <f>$B$1*'S-coe'!BJ7</f>
        <v>1.4987361302051379E-14</v>
      </c>
      <c r="BK7" s="1">
        <f>$B$1*'S-coe'!BK7</f>
        <v>4.7329566693593017E-17</v>
      </c>
      <c r="BL7" s="1">
        <f>$B$1*'S-coe'!BL7</f>
        <v>0</v>
      </c>
      <c r="BM7" s="1">
        <f>$B$1*'S-coe'!BM7</f>
        <v>9.7999857053803759E-17</v>
      </c>
      <c r="BN7" s="1">
        <f>$B$1*'S-coe'!BN7</f>
        <v>4.1611394033408639E-16</v>
      </c>
      <c r="BO7" s="1">
        <f>$B$1*'S-coe'!BO7</f>
        <v>1.2566056376644214E-14</v>
      </c>
      <c r="BP7" s="1">
        <f>$B$1*'S-coe'!BP7</f>
        <v>0</v>
      </c>
      <c r="BQ7" s="1">
        <f>$B$1*'S-coe'!BQ7</f>
        <v>4.5643168697864665E-16</v>
      </c>
      <c r="BR7" s="1">
        <f>$B$1*'S-coe'!BR7</f>
        <v>2.2817281835543944E-16</v>
      </c>
      <c r="BS7" s="1">
        <f>$B$1*'S-coe'!BS7</f>
        <v>2.0516115279065516E-15</v>
      </c>
      <c r="BT7" s="1">
        <f>$B$1*'S-coe'!BT7</f>
        <v>1.5954407695572116E-16</v>
      </c>
      <c r="BU7" s="1">
        <f>$B$1*'S-coe'!BU7</f>
        <v>1.724400472719954E-16</v>
      </c>
      <c r="BV7" s="1">
        <f>$B$1*'S-coe'!BV7</f>
        <v>1.5706338720488863E-16</v>
      </c>
      <c r="BW7" s="1">
        <f>$B$1*'S-coe'!BW7</f>
        <v>6.7531530647378017E-16</v>
      </c>
      <c r="BX7" s="1">
        <f>$B$1*'S-coe'!BX7</f>
        <v>8.0317024176325593E-16</v>
      </c>
      <c r="BY7" s="1">
        <f>$B$1*'S-coe'!BY7</f>
        <v>5.5061850030024089E-16</v>
      </c>
      <c r="BZ7" s="1">
        <f>$B$1*'S-coe'!BZ7</f>
        <v>9.577349137410509E-17</v>
      </c>
      <c r="CA7" s="1">
        <f>$B$1*'S-coe'!CA7</f>
        <v>9.577349137410509E-17</v>
      </c>
      <c r="CB7" s="1">
        <f>$B$1*'S-coe'!CB7</f>
        <v>1.589376737672278E-15</v>
      </c>
      <c r="CC7" s="1">
        <f>$B$1*'S-coe'!CC7</f>
        <v>1.5961552830767202E-15</v>
      </c>
    </row>
    <row r="8" spans="2:81" x14ac:dyDescent="0.15">
      <c r="B8" t="s">
        <v>31</v>
      </c>
      <c r="C8" s="1">
        <f>$B$1*'S-coe'!C8</f>
        <v>3.1416996212310881E-17</v>
      </c>
      <c r="D8" s="1">
        <f>$B$1*'S-coe'!D8</f>
        <v>3.1416996212310881E-17</v>
      </c>
      <c r="E8" s="1">
        <f>$B$1*'S-coe'!E8</f>
        <v>3.0567945145928744E-17</v>
      </c>
      <c r="F8" s="1">
        <f>$B$1*'S-coe'!F8</f>
        <v>3.0567945145928744E-17</v>
      </c>
      <c r="G8" s="1">
        <f>$B$1*'S-coe'!G8</f>
        <v>3.0625626186551359E-17</v>
      </c>
      <c r="H8" s="1">
        <f>$B$1*'S-coe'!H8</f>
        <v>2.3421022831103332E-17</v>
      </c>
      <c r="I8" s="1">
        <f>$B$1*'S-coe'!I8</f>
        <v>2.8765646038524838E-16</v>
      </c>
      <c r="J8" s="1">
        <f>$B$1*'S-coe'!J8</f>
        <v>2.8765646038524838E-16</v>
      </c>
      <c r="K8" s="1">
        <f>$B$1*'S-coe'!K8</f>
        <v>2.8765646038524838E-16</v>
      </c>
      <c r="L8" s="1">
        <f>$B$1*'S-coe'!L8</f>
        <v>2.8775253711453401E-15</v>
      </c>
      <c r="M8" s="1">
        <f>$B$1*'S-coe'!M8</f>
        <v>4.0247923994033916E-15</v>
      </c>
      <c r="N8" s="1">
        <f>$B$1*'S-coe'!N8</f>
        <v>4.0247923994033916E-15</v>
      </c>
      <c r="O8" s="1">
        <f>$B$1*'S-coe'!O8</f>
        <v>2.3279156782172125E-14</v>
      </c>
      <c r="P8" s="1">
        <f>$B$1*'S-coe'!P8</f>
        <v>4.477109809951973E-13</v>
      </c>
      <c r="Q8" s="1">
        <f>$B$1*'S-coe'!Q8</f>
        <v>5.0407050474875778E-14</v>
      </c>
      <c r="R8" s="1">
        <f>$B$1*'S-coe'!R8</f>
        <v>1.0598130572706123E-13</v>
      </c>
      <c r="S8" s="1">
        <f>$B$1*'S-coe'!S8</f>
        <v>5.1187940573202014E-15</v>
      </c>
      <c r="T8" s="1">
        <f>$B$1*'S-coe'!T8</f>
        <v>5.5207979864669591E-15</v>
      </c>
      <c r="U8" s="1">
        <f>$B$1*'S-coe'!U8</f>
        <v>5.5207979864669591E-15</v>
      </c>
      <c r="V8" s="1">
        <f>$B$1*'S-coe'!V8</f>
        <v>6.8793522584483E-15</v>
      </c>
      <c r="W8" s="1">
        <f>$B$1*'S-coe'!W8</f>
        <v>7.2538544092333291E-15</v>
      </c>
      <c r="X8" s="1">
        <f>$B$1*'S-coe'!X8</f>
        <v>7.2538544092333291E-15</v>
      </c>
      <c r="Y8" s="1">
        <f>$B$1*'S-coe'!Y8</f>
        <v>5.4095026255330723E-15</v>
      </c>
      <c r="Z8" s="1">
        <f>$B$1*'S-coe'!Z8</f>
        <v>4.3403077844781308E-15</v>
      </c>
      <c r="AA8" s="1">
        <f>$B$1*'S-coe'!AA8</f>
        <v>4.3403077844781308E-15</v>
      </c>
      <c r="AB8" s="1">
        <f>$B$1*'S-coe'!AB8</f>
        <v>2.9734130060301816E-17</v>
      </c>
      <c r="AC8" s="1">
        <f>$B$1*'S-coe'!AC8</f>
        <v>2.4279604349457205E-17</v>
      </c>
      <c r="AD8" s="1">
        <f>$B$1*'S-coe'!AD8</f>
        <v>2.4279604349457205E-17</v>
      </c>
      <c r="AE8" s="1">
        <f>$B$1*'S-coe'!AE8</f>
        <v>2.4279604349457205E-17</v>
      </c>
      <c r="AF8" s="1">
        <f>$B$1*'S-coe'!AF8</f>
        <v>3.2794000454161447E-17</v>
      </c>
      <c r="AG8" s="1">
        <f>$B$1*'S-coe'!AG8</f>
        <v>1.4881260485119112E-16</v>
      </c>
      <c r="AH8" s="1">
        <f>$B$1*'S-coe'!AH8</f>
        <v>1.4881260485119112E-16</v>
      </c>
      <c r="AI8" s="1">
        <f>$B$1*'S-coe'!AI8</f>
        <v>1.4881260485119112E-16</v>
      </c>
      <c r="AJ8" s="1">
        <f>$B$1*'S-coe'!AJ8</f>
        <v>2.720201651772812E-16</v>
      </c>
      <c r="AK8" s="1">
        <f>$B$1*'S-coe'!AK8</f>
        <v>2.720201651772812E-16</v>
      </c>
      <c r="AL8" s="1">
        <f>$B$1*'S-coe'!AL8</f>
        <v>2.720201651772812E-16</v>
      </c>
      <c r="AM8" s="1">
        <f>$B$1*'S-coe'!AM8</f>
        <v>2.720201651772812E-16</v>
      </c>
      <c r="AN8" s="1">
        <f>$B$1*'S-coe'!AN8</f>
        <v>1.2584905405823952E-16</v>
      </c>
      <c r="AO8" s="1">
        <f>$B$1*'S-coe'!AO8</f>
        <v>2.7667090758854579E-16</v>
      </c>
      <c r="AP8" s="1">
        <f>$B$1*'S-coe'!AP8</f>
        <v>2.3779820905244289E-15</v>
      </c>
      <c r="AQ8" s="1">
        <f>$B$1*'S-coe'!AQ8</f>
        <v>3.3003271244359548E-15</v>
      </c>
      <c r="AR8" s="1">
        <f>$B$1*'S-coe'!AR8</f>
        <v>5.4988183306577926E-16</v>
      </c>
      <c r="AS8" s="1">
        <f>$B$1*'S-coe'!AS8</f>
        <v>5.4988183306577926E-16</v>
      </c>
      <c r="AT8" s="1">
        <f>$B$1*'S-coe'!AT8</f>
        <v>8.7991642991896708E-16</v>
      </c>
      <c r="AU8" s="1">
        <f>$B$1*'S-coe'!AU8</f>
        <v>8.7991642991896708E-16</v>
      </c>
      <c r="AV8" s="1">
        <f>$B$1*'S-coe'!AV8</f>
        <v>1.3394772332510428E-16</v>
      </c>
      <c r="AW8" s="1">
        <f>$B$1*'S-coe'!AW8</f>
        <v>1.1608255623806579E-15</v>
      </c>
      <c r="AX8" s="1">
        <f>$B$1*'S-coe'!AX8</f>
        <v>1.8904839433215655E-15</v>
      </c>
      <c r="AY8" s="1">
        <f>$B$1*'S-coe'!AY8</f>
        <v>6.5213519106805156E-16</v>
      </c>
      <c r="AZ8" s="1">
        <f>$B$1*'S-coe'!AZ8</f>
        <v>8.4999804522750513E-18</v>
      </c>
      <c r="BA8" s="1">
        <f>$B$1*'S-coe'!BA8</f>
        <v>2.1951778329932238E-16</v>
      </c>
      <c r="BB8" s="1">
        <f>$B$1*'S-coe'!BB8</f>
        <v>2.4579995067445122E-17</v>
      </c>
      <c r="BC8" s="1">
        <f>$B$1*'S-coe'!BC8</f>
        <v>3.7225572559307683E-15</v>
      </c>
      <c r="BD8" s="1">
        <f>$B$1*'S-coe'!BD8</f>
        <v>3.3834799289552026E-15</v>
      </c>
      <c r="BE8" s="1">
        <f>$B$1*'S-coe'!BE8</f>
        <v>3.9692723259318279E-16</v>
      </c>
      <c r="BF8" s="1">
        <f>$B$1*'S-coe'!BF8</f>
        <v>3.9202588863715701E-15</v>
      </c>
      <c r="BG8" s="1">
        <f>$B$1*'S-coe'!BG8</f>
        <v>1.4962282605838994E-15</v>
      </c>
      <c r="BH8" s="1">
        <f>$B$1*'S-coe'!BH8</f>
        <v>4.9874125187316922E-15</v>
      </c>
      <c r="BI8" s="1">
        <f>$B$1*'S-coe'!BI8</f>
        <v>4.4893813774500286E-15</v>
      </c>
      <c r="BJ8" s="1">
        <f>$B$1*'S-coe'!BJ8</f>
        <v>7.5284063070252831E-15</v>
      </c>
      <c r="BK8" s="1">
        <f>$B$1*'S-coe'!BK8</f>
        <v>1.2019657624195518E-17</v>
      </c>
      <c r="BL8" s="1">
        <f>$B$1*'S-coe'!BL8</f>
        <v>0</v>
      </c>
      <c r="BM8" s="1">
        <f>$B$1*'S-coe'!BM8</f>
        <v>2.4034890735360864E-17</v>
      </c>
      <c r="BN8" s="1">
        <f>$B$1*'S-coe'!BN8</f>
        <v>3.7035536443727501E-16</v>
      </c>
      <c r="BO8" s="1">
        <f>$B$1*'S-coe'!BO8</f>
        <v>1.5691904208808254E-15</v>
      </c>
      <c r="BP8" s="1">
        <f>$B$1*'S-coe'!BP8</f>
        <v>0</v>
      </c>
      <c r="BQ8" s="1">
        <f>$B$1*'S-coe'!BQ8</f>
        <v>1.0561872843825145E-16</v>
      </c>
      <c r="BR8" s="1">
        <f>$B$1*'S-coe'!BR8</f>
        <v>5.6204953250707193E-17</v>
      </c>
      <c r="BS8" s="1">
        <f>$B$1*'S-coe'!BS8</f>
        <v>8.8941212237596322E-15</v>
      </c>
      <c r="BT8" s="1">
        <f>$B$1*'S-coe'!BT8</f>
        <v>4.1371153233528952E-15</v>
      </c>
      <c r="BU8" s="1">
        <f>$B$1*'S-coe'!BU8</f>
        <v>4.7184177156652916E-15</v>
      </c>
      <c r="BV8" s="1">
        <f>$B$1*'S-coe'!BV8</f>
        <v>4.1635524691878976E-15</v>
      </c>
      <c r="BW8" s="1">
        <f>$B$1*'S-coe'!BW8</f>
        <v>9.5055962902201785E-16</v>
      </c>
      <c r="BX8" s="1">
        <f>$B$1*'S-coe'!BX8</f>
        <v>1.1778870689347302E-15</v>
      </c>
      <c r="BY8" s="1">
        <f>$B$1*'S-coe'!BY8</f>
        <v>8.3429338383812432E-16</v>
      </c>
      <c r="BZ8" s="1">
        <f>$B$1*'S-coe'!BZ8</f>
        <v>2.4279604349457205E-17</v>
      </c>
      <c r="CA8" s="1">
        <f>$B$1*'S-coe'!CA8</f>
        <v>2.4279604349457205E-17</v>
      </c>
      <c r="CB8" s="1">
        <f>$B$1*'S-coe'!CB8</f>
        <v>2.6790111405213853E-16</v>
      </c>
      <c r="CC8" s="1">
        <f>$B$1*'S-coe'!CC8</f>
        <v>2.683713054575358E-16</v>
      </c>
    </row>
    <row r="9" spans="2:81" x14ac:dyDescent="0.15">
      <c r="B9" t="s">
        <v>28</v>
      </c>
      <c r="C9" s="1">
        <f>$B$1*'S-coe'!C9</f>
        <v>2.5770456368246446E-17</v>
      </c>
      <c r="D9" s="1">
        <f>$B$1*'S-coe'!D9</f>
        <v>2.5770456368246446E-17</v>
      </c>
      <c r="E9" s="1">
        <f>$B$1*'S-coe'!E9</f>
        <v>2.5059345475455196E-17</v>
      </c>
      <c r="F9" s="1">
        <f>$B$1*'S-coe'!F9</f>
        <v>2.5059345475455196E-17</v>
      </c>
      <c r="G9" s="1">
        <f>$B$1*'S-coe'!G9</f>
        <v>2.5531646122691564E-17</v>
      </c>
      <c r="H9" s="1">
        <f>$B$1*'S-coe'!H9</f>
        <v>1.9545523325303993E-17</v>
      </c>
      <c r="I9" s="1">
        <f>$B$1*'S-coe'!I9</f>
        <v>1.5956058560844459E-16</v>
      </c>
      <c r="J9" s="1">
        <f>$B$1*'S-coe'!J9</f>
        <v>1.5956058560844459E-16</v>
      </c>
      <c r="K9" s="1">
        <f>$B$1*'S-coe'!K9</f>
        <v>1.5956058560844459E-16</v>
      </c>
      <c r="L9" s="1">
        <f>$B$1*'S-coe'!L9</f>
        <v>6.2144898179468228E-16</v>
      </c>
      <c r="M9" s="1">
        <f>$B$1*'S-coe'!M9</f>
        <v>8.598158703229484E-16</v>
      </c>
      <c r="N9" s="1">
        <f>$B$1*'S-coe'!N9</f>
        <v>8.598158703229484E-16</v>
      </c>
      <c r="O9" s="1">
        <f>$B$1*'S-coe'!O9</f>
        <v>3.9929813971333073E-15</v>
      </c>
      <c r="P9" s="1">
        <f>$B$1*'S-coe'!P9</f>
        <v>5.5056333873531749E-15</v>
      </c>
      <c r="Q9" s="1">
        <f>$B$1*'S-coe'!Q9</f>
        <v>5.5056333873531749E-15</v>
      </c>
      <c r="R9" s="1">
        <f>$B$1*'S-coe'!R9</f>
        <v>5.5056333873531749E-15</v>
      </c>
      <c r="S9" s="1">
        <f>$B$1*'S-coe'!S9</f>
        <v>4.0229207696868383E-14</v>
      </c>
      <c r="T9" s="1">
        <f>$B$1*'S-coe'!T9</f>
        <v>8.9249925178270372E-13</v>
      </c>
      <c r="U9" s="1">
        <f>$B$1*'S-coe'!U9</f>
        <v>2.1774465473982783E-13</v>
      </c>
      <c r="V9" s="1">
        <f>$B$1*'S-coe'!V9</f>
        <v>2.5593907587702722E-15</v>
      </c>
      <c r="W9" s="1">
        <f>$B$1*'S-coe'!W9</f>
        <v>2.8357182050111681E-15</v>
      </c>
      <c r="X9" s="1">
        <f>$B$1*'S-coe'!X9</f>
        <v>2.8357182050111681E-15</v>
      </c>
      <c r="Y9" s="1">
        <f>$B$1*'S-coe'!Y9</f>
        <v>1.1769673020856908E-15</v>
      </c>
      <c r="Z9" s="1">
        <f>$B$1*'S-coe'!Z9</f>
        <v>1.0778596838235692E-15</v>
      </c>
      <c r="AA9" s="1">
        <f>$B$1*'S-coe'!AA9</f>
        <v>1.0778596838235692E-15</v>
      </c>
      <c r="AB9" s="1">
        <f>$B$1*'S-coe'!AB9</f>
        <v>2.4811141180895668E-17</v>
      </c>
      <c r="AC9" s="1">
        <f>$B$1*'S-coe'!AC9</f>
        <v>2.0406257031068516E-17</v>
      </c>
      <c r="AD9" s="1">
        <f>$B$1*'S-coe'!AD9</f>
        <v>2.0406257031068516E-17</v>
      </c>
      <c r="AE9" s="1">
        <f>$B$1*'S-coe'!AE9</f>
        <v>2.0406257031068516E-17</v>
      </c>
      <c r="AF9" s="1">
        <f>$B$1*'S-coe'!AF9</f>
        <v>2.7537897643977148E-17</v>
      </c>
      <c r="AG9" s="1">
        <f>$B$1*'S-coe'!AG9</f>
        <v>1.0345421226083611E-16</v>
      </c>
      <c r="AH9" s="1">
        <f>$B$1*'S-coe'!AH9</f>
        <v>1.0345421226083611E-16</v>
      </c>
      <c r="AI9" s="1">
        <f>$B$1*'S-coe'!AI9</f>
        <v>1.0345421226083611E-16</v>
      </c>
      <c r="AJ9" s="1">
        <f>$B$1*'S-coe'!AJ9</f>
        <v>1.809351765479795E-16</v>
      </c>
      <c r="AK9" s="1">
        <f>$B$1*'S-coe'!AK9</f>
        <v>1.809351765479795E-16</v>
      </c>
      <c r="AL9" s="1">
        <f>$B$1*'S-coe'!AL9</f>
        <v>1.809351765479795E-16</v>
      </c>
      <c r="AM9" s="1">
        <f>$B$1*'S-coe'!AM9</f>
        <v>1.809351765479795E-16</v>
      </c>
      <c r="AN9" s="1">
        <f>$B$1*'S-coe'!AN9</f>
        <v>9.0842024082397925E-17</v>
      </c>
      <c r="AO9" s="1">
        <f>$B$1*'S-coe'!AO9</f>
        <v>1.7708451213375107E-16</v>
      </c>
      <c r="AP9" s="1">
        <f>$B$1*'S-coe'!AP9</f>
        <v>1.2078682355989783E-15</v>
      </c>
      <c r="AQ9" s="1">
        <f>$B$1*'S-coe'!AQ9</f>
        <v>3.0330892159954808E-15</v>
      </c>
      <c r="AR9" s="1">
        <f>$B$1*'S-coe'!AR9</f>
        <v>5.0755266700422542E-16</v>
      </c>
      <c r="AS9" s="1">
        <f>$B$1*'S-coe'!AS9</f>
        <v>5.0755266700422542E-16</v>
      </c>
      <c r="AT9" s="1">
        <f>$B$1*'S-coe'!AT9</f>
        <v>7.5412703390163971E-16</v>
      </c>
      <c r="AU9" s="1">
        <f>$B$1*'S-coe'!AU9</f>
        <v>7.5412703390163971E-16</v>
      </c>
      <c r="AV9" s="1">
        <f>$B$1*'S-coe'!AV9</f>
        <v>1.2127759268815354E-16</v>
      </c>
      <c r="AW9" s="1">
        <f>$B$1*'S-coe'!AW9</f>
        <v>9.0676132118089157E-16</v>
      </c>
      <c r="AX9" s="1">
        <f>$B$1*'S-coe'!AX9</f>
        <v>1.4428266248931394E-15</v>
      </c>
      <c r="AY9" s="1">
        <f>$B$1*'S-coe'!AY9</f>
        <v>5.3232510219712692E-16</v>
      </c>
      <c r="AZ9" s="1">
        <f>$B$1*'S-coe'!AZ9</f>
        <v>7.2354753710348176E-18</v>
      </c>
      <c r="BA9" s="1">
        <f>$B$1*'S-coe'!BA9</f>
        <v>1.4790935176902148E-16</v>
      </c>
      <c r="BB9" s="1">
        <f>$B$1*'S-coe'!BB9</f>
        <v>2.0988996942257478E-17</v>
      </c>
      <c r="BC9" s="1">
        <f>$B$1*'S-coe'!BC9</f>
        <v>1.7471901435109657E-15</v>
      </c>
      <c r="BD9" s="1">
        <f>$B$1*'S-coe'!BD9</f>
        <v>1.7705898228064838E-15</v>
      </c>
      <c r="BE9" s="1">
        <f>$B$1*'S-coe'!BE9</f>
        <v>2.0375024353704484E-16</v>
      </c>
      <c r="BF9" s="1">
        <f>$B$1*'S-coe'!BF9</f>
        <v>3.4885998368752998E-15</v>
      </c>
      <c r="BG9" s="1">
        <f>$B$1*'S-coe'!BG9</f>
        <v>1.2945227715772346E-15</v>
      </c>
      <c r="BH9" s="1">
        <f>$B$1*'S-coe'!BH9</f>
        <v>3.3421664597238658E-15</v>
      </c>
      <c r="BI9" s="1">
        <f>$B$1*'S-coe'!BI9</f>
        <v>1.1917726283196193E-15</v>
      </c>
      <c r="BJ9" s="1">
        <f>$B$1*'S-coe'!BJ9</f>
        <v>3.2769114524061235E-15</v>
      </c>
      <c r="BK9" s="1">
        <f>$B$1*'S-coe'!BK9</f>
        <v>9.5497947644396941E-18</v>
      </c>
      <c r="BL9" s="1">
        <f>$B$1*'S-coe'!BL9</f>
        <v>0</v>
      </c>
      <c r="BM9" s="1">
        <f>$B$1*'S-coe'!BM9</f>
        <v>1.9885979454545154E-17</v>
      </c>
      <c r="BN9" s="1">
        <f>$B$1*'S-coe'!BN9</f>
        <v>3.9380386266663075E-16</v>
      </c>
      <c r="BO9" s="1">
        <f>$B$1*'S-coe'!BO9</f>
        <v>3.5588109492944692E-16</v>
      </c>
      <c r="BP9" s="1">
        <f>$B$1*'S-coe'!BP9</f>
        <v>0</v>
      </c>
      <c r="BQ9" s="1">
        <f>$B$1*'S-coe'!BQ9</f>
        <v>8.2812193811555268E-17</v>
      </c>
      <c r="BR9" s="1">
        <f>$B$1*'S-coe'!BR9</f>
        <v>4.4783610088315752E-17</v>
      </c>
      <c r="BS9" s="1">
        <f>$B$1*'S-coe'!BS9</f>
        <v>5.0590279652764919E-15</v>
      </c>
      <c r="BT9" s="1">
        <f>$B$1*'S-coe'!BT9</f>
        <v>1.5871535792662644E-15</v>
      </c>
      <c r="BU9" s="1">
        <f>$B$1*'S-coe'!BU9</f>
        <v>1.8187953638622302E-15</v>
      </c>
      <c r="BV9" s="1">
        <f>$B$1*'S-coe'!BV9</f>
        <v>1.1795315527732427E-15</v>
      </c>
      <c r="BW9" s="1">
        <f>$B$1*'S-coe'!BW9</f>
        <v>8.3951479156880456E-16</v>
      </c>
      <c r="BX9" s="1">
        <f>$B$1*'S-coe'!BX9</f>
        <v>8.6425160968706243E-16</v>
      </c>
      <c r="BY9" s="1">
        <f>$B$1*'S-coe'!BY9</f>
        <v>9.2958941726233306E-16</v>
      </c>
      <c r="BZ9" s="1">
        <f>$B$1*'S-coe'!BZ9</f>
        <v>2.0406257031068516E-17</v>
      </c>
      <c r="CA9" s="1">
        <f>$B$1*'S-coe'!CA9</f>
        <v>2.0406257031068516E-17</v>
      </c>
      <c r="CB9" s="1">
        <f>$B$1*'S-coe'!CB9</f>
        <v>1.7840078433016759E-16</v>
      </c>
      <c r="CC9" s="1">
        <f>$B$1*'S-coe'!CC9</f>
        <v>1.7855376994686058E-16</v>
      </c>
    </row>
    <row r="10" spans="2:81" x14ac:dyDescent="0.15">
      <c r="B10" t="s">
        <v>14</v>
      </c>
      <c r="C10" s="1">
        <f>$B$1*'S-coe'!C10</f>
        <v>1.8791993022056306E-17</v>
      </c>
      <c r="D10" s="1">
        <f>$B$1*'S-coe'!D10</f>
        <v>1.8791993022056306E-17</v>
      </c>
      <c r="E10" s="1">
        <f>$B$1*'S-coe'!E10</f>
        <v>1.9107871014912503E-17</v>
      </c>
      <c r="F10" s="1">
        <f>$B$1*'S-coe'!F10</f>
        <v>1.9107871014912503E-17</v>
      </c>
      <c r="G10" s="1">
        <f>$B$1*'S-coe'!G10</f>
        <v>1.769709854748975E-17</v>
      </c>
      <c r="H10" s="1">
        <f>$B$1*'S-coe'!H10</f>
        <v>1.4002307775344577E-17</v>
      </c>
      <c r="I10" s="1">
        <f>$B$1*'S-coe'!I10</f>
        <v>1.3144724253897759E-16</v>
      </c>
      <c r="J10" s="1">
        <f>$B$1*'S-coe'!J10</f>
        <v>1.3144724253897759E-16</v>
      </c>
      <c r="K10" s="1">
        <f>$B$1*'S-coe'!K10</f>
        <v>1.3144724253897759E-16</v>
      </c>
      <c r="L10" s="1">
        <f>$B$1*'S-coe'!L10</f>
        <v>1.1003912945966571E-15</v>
      </c>
      <c r="M10" s="1">
        <f>$B$1*'S-coe'!M10</f>
        <v>1.4485953462150394E-15</v>
      </c>
      <c r="N10" s="1">
        <f>$B$1*'S-coe'!N10</f>
        <v>1.4485953462150394E-15</v>
      </c>
      <c r="O10" s="1">
        <f>$B$1*'S-coe'!O10</f>
        <v>5.1708755185578961E-15</v>
      </c>
      <c r="P10" s="1">
        <f>$B$1*'S-coe'!P10</f>
        <v>7.2257548875925971E-15</v>
      </c>
      <c r="Q10" s="1">
        <f>$B$1*'S-coe'!Q10</f>
        <v>7.2257548875925971E-15</v>
      </c>
      <c r="R10" s="1">
        <f>$B$1*'S-coe'!R10</f>
        <v>7.2257548875925971E-15</v>
      </c>
      <c r="S10" s="1">
        <f>$B$1*'S-coe'!S10</f>
        <v>2.5421984545977701E-15</v>
      </c>
      <c r="T10" s="1">
        <f>$B$1*'S-coe'!T10</f>
        <v>2.8259334642739852E-15</v>
      </c>
      <c r="U10" s="1">
        <f>$B$1*'S-coe'!U10</f>
        <v>2.8259334642739852E-15</v>
      </c>
      <c r="V10" s="1">
        <f>$B$1*'S-coe'!V10</f>
        <v>4.8552527869950819E-14</v>
      </c>
      <c r="W10" s="1">
        <f>$B$1*'S-coe'!W10</f>
        <v>9.2163522657870527E-13</v>
      </c>
      <c r="X10" s="1">
        <f>$B$1*'S-coe'!X10</f>
        <v>2.2232722045852314E-13</v>
      </c>
      <c r="Y10" s="1">
        <f>$B$1*'S-coe'!Y10</f>
        <v>2.8030136849328765E-15</v>
      </c>
      <c r="Z10" s="1">
        <f>$B$1*'S-coe'!Z10</f>
        <v>2.2187203397172011E-15</v>
      </c>
      <c r="AA10" s="1">
        <f>$B$1*'S-coe'!AA10</f>
        <v>2.2187203397172011E-15</v>
      </c>
      <c r="AB10" s="1">
        <f>$B$1*'S-coe'!AB10</f>
        <v>1.9987729271278357E-17</v>
      </c>
      <c r="AC10" s="1">
        <f>$B$1*'S-coe'!AC10</f>
        <v>1.3305639941191213E-17</v>
      </c>
      <c r="AD10" s="1">
        <f>$B$1*'S-coe'!AD10</f>
        <v>1.3305639941191213E-17</v>
      </c>
      <c r="AE10" s="1">
        <f>$B$1*'S-coe'!AE10</f>
        <v>1.3305639941191213E-17</v>
      </c>
      <c r="AF10" s="1">
        <f>$B$1*'S-coe'!AF10</f>
        <v>1.8683619978773248E-17</v>
      </c>
      <c r="AG10" s="1">
        <f>$B$1*'S-coe'!AG10</f>
        <v>7.7601131047358853E-17</v>
      </c>
      <c r="AH10" s="1">
        <f>$B$1*'S-coe'!AH10</f>
        <v>7.7601131047358853E-17</v>
      </c>
      <c r="AI10" s="1">
        <f>$B$1*'S-coe'!AI10</f>
        <v>7.7601131047358853E-17</v>
      </c>
      <c r="AJ10" s="1">
        <f>$B$1*'S-coe'!AJ10</f>
        <v>1.3881312115203793E-16</v>
      </c>
      <c r="AK10" s="1">
        <f>$B$1*'S-coe'!AK10</f>
        <v>1.3881312115203793E-16</v>
      </c>
      <c r="AL10" s="1">
        <f>$B$1*'S-coe'!AL10</f>
        <v>1.3881312115203793E-16</v>
      </c>
      <c r="AM10" s="1">
        <f>$B$1*'S-coe'!AM10</f>
        <v>1.3881312115203793E-16</v>
      </c>
      <c r="AN10" s="1">
        <f>$B$1*'S-coe'!AN10</f>
        <v>6.6011417665532295E-17</v>
      </c>
      <c r="AO10" s="1">
        <f>$B$1*'S-coe'!AO10</f>
        <v>1.4230244435342635E-16</v>
      </c>
      <c r="AP10" s="1">
        <f>$B$1*'S-coe'!AP10</f>
        <v>7.0750095280687053E-16</v>
      </c>
      <c r="AQ10" s="1">
        <f>$B$1*'S-coe'!AQ10</f>
        <v>2.9987889984437275E-15</v>
      </c>
      <c r="AR10" s="1">
        <f>$B$1*'S-coe'!AR10</f>
        <v>5.1809735679684544E-16</v>
      </c>
      <c r="AS10" s="1">
        <f>$B$1*'S-coe'!AS10</f>
        <v>5.1809735679684544E-16</v>
      </c>
      <c r="AT10" s="1">
        <f>$B$1*'S-coe'!AT10</f>
        <v>7.3565445841520055E-16</v>
      </c>
      <c r="AU10" s="1">
        <f>$B$1*'S-coe'!AU10</f>
        <v>7.3565445841520055E-16</v>
      </c>
      <c r="AV10" s="1">
        <f>$B$1*'S-coe'!AV10</f>
        <v>1.2194964650474826E-16</v>
      </c>
      <c r="AW10" s="1">
        <f>$B$1*'S-coe'!AW10</f>
        <v>9.2525398658610175E-16</v>
      </c>
      <c r="AX10" s="1">
        <f>$B$1*'S-coe'!AX10</f>
        <v>1.41739127438446E-15</v>
      </c>
      <c r="AY10" s="1">
        <f>$B$1*'S-coe'!AY10</f>
        <v>5.651405314605415E-16</v>
      </c>
      <c r="AZ10" s="1">
        <f>$B$1*'S-coe'!AZ10</f>
        <v>5.2408954441546509E-18</v>
      </c>
      <c r="BA10" s="1">
        <f>$B$1*'S-coe'!BA10</f>
        <v>1.1689763524694563E-16</v>
      </c>
      <c r="BB10" s="1">
        <f>$B$1*'S-coe'!BB10</f>
        <v>1.7175212991035341E-17</v>
      </c>
      <c r="BC10" s="1">
        <f>$B$1*'S-coe'!BC10</f>
        <v>8.7808819986572913E-16</v>
      </c>
      <c r="BD10" s="1">
        <f>$B$1*'S-coe'!BD10</f>
        <v>8.9765963878419312E-16</v>
      </c>
      <c r="BE10" s="1">
        <f>$B$1*'S-coe'!BE10</f>
        <v>1.9729919885591611E-16</v>
      </c>
      <c r="BF10" s="1">
        <f>$B$1*'S-coe'!BF10</f>
        <v>1.5182008149360123E-15</v>
      </c>
      <c r="BG10" s="1">
        <f>$B$1*'S-coe'!BG10</f>
        <v>4.9492284684128955E-16</v>
      </c>
      <c r="BH10" s="1">
        <f>$B$1*'S-coe'!BH10</f>
        <v>3.6263058314565365E-15</v>
      </c>
      <c r="BI10" s="1">
        <f>$B$1*'S-coe'!BI10</f>
        <v>1.3018601042654967E-15</v>
      </c>
      <c r="BJ10" s="1">
        <f>$B$1*'S-coe'!BJ10</f>
        <v>1.7314327837707026E-15</v>
      </c>
      <c r="BK10" s="1">
        <f>$B$1*'S-coe'!BK10</f>
        <v>6.8785266385266083E-18</v>
      </c>
      <c r="BL10" s="1">
        <f>$B$1*'S-coe'!BL10</f>
        <v>0</v>
      </c>
      <c r="BM10" s="1">
        <f>$B$1*'S-coe'!BM10</f>
        <v>1.4284941483117881E-17</v>
      </c>
      <c r="BN10" s="1">
        <f>$B$1*'S-coe'!BN10</f>
        <v>3.8304001657523597E-16</v>
      </c>
      <c r="BO10" s="1">
        <f>$B$1*'S-coe'!BO10</f>
        <v>6.3589273062341495E-16</v>
      </c>
      <c r="BP10" s="1">
        <f>$B$1*'S-coe'!BP10</f>
        <v>0</v>
      </c>
      <c r="BQ10" s="1">
        <f>$B$1*'S-coe'!BQ10</f>
        <v>5.5509857109181941E-17</v>
      </c>
      <c r="BR10" s="1">
        <f>$B$1*'S-coe'!BR10</f>
        <v>2.9907848017242933E-17</v>
      </c>
      <c r="BS10" s="1">
        <f>$B$1*'S-coe'!BS10</f>
        <v>5.1551482620375943E-15</v>
      </c>
      <c r="BT10" s="1">
        <f>$B$1*'S-coe'!BT10</f>
        <v>2.1612115832933925E-15</v>
      </c>
      <c r="BU10" s="1">
        <f>$B$1*'S-coe'!BU10</f>
        <v>2.4133446734653569E-15</v>
      </c>
      <c r="BV10" s="1">
        <f>$B$1*'S-coe'!BV10</f>
        <v>1.5970026165774927E-15</v>
      </c>
      <c r="BW10" s="1">
        <f>$B$1*'S-coe'!BW10</f>
        <v>9.0541608717781594E-16</v>
      </c>
      <c r="BX10" s="1">
        <f>$B$1*'S-coe'!BX10</f>
        <v>8.468899757779016E-16</v>
      </c>
      <c r="BY10" s="1">
        <f>$B$1*'S-coe'!BY10</f>
        <v>9.2872063106252298E-16</v>
      </c>
      <c r="BZ10" s="1">
        <f>$B$1*'S-coe'!BZ10</f>
        <v>1.3305639941191213E-17</v>
      </c>
      <c r="CA10" s="1">
        <f>$B$1*'S-coe'!CA10</f>
        <v>1.3305639941191213E-17</v>
      </c>
      <c r="CB10" s="1">
        <f>$B$1*'S-coe'!CB10</f>
        <v>1.3676476732956545E-16</v>
      </c>
      <c r="CC10" s="1">
        <f>$B$1*'S-coe'!CC10</f>
        <v>1.3700259825267549E-16</v>
      </c>
    </row>
    <row r="11" spans="2:81" x14ac:dyDescent="0.15">
      <c r="B11" t="s">
        <v>26</v>
      </c>
      <c r="C11" s="1">
        <f>$B$1*'S-coe'!C11</f>
        <v>4.7174924365431701E-18</v>
      </c>
      <c r="D11" s="1">
        <f>$B$1*'S-coe'!D11</f>
        <v>4.7174924365431701E-18</v>
      </c>
      <c r="E11" s="1">
        <f>$B$1*'S-coe'!E11</f>
        <v>4.9364465642257883E-18</v>
      </c>
      <c r="F11" s="1">
        <f>$B$1*'S-coe'!F11</f>
        <v>4.9364465642257883E-18</v>
      </c>
      <c r="G11" s="1">
        <f>$B$1*'S-coe'!G11</f>
        <v>3.8216057276027972E-18</v>
      </c>
      <c r="H11" s="1">
        <f>$B$1*'S-coe'!H11</f>
        <v>3.4280921090838612E-18</v>
      </c>
      <c r="I11" s="1">
        <f>$B$1*'S-coe'!I11</f>
        <v>2.7183281402678194E-17</v>
      </c>
      <c r="J11" s="1">
        <f>$B$1*'S-coe'!J11</f>
        <v>2.7183281402678194E-17</v>
      </c>
      <c r="K11" s="1">
        <f>$B$1*'S-coe'!K11</f>
        <v>2.7183281402678194E-17</v>
      </c>
      <c r="L11" s="1">
        <f>$B$1*'S-coe'!L11</f>
        <v>1.3516507725260443E-16</v>
      </c>
      <c r="M11" s="1">
        <f>$B$1*'S-coe'!M11</f>
        <v>1.7069083765646641E-16</v>
      </c>
      <c r="N11" s="1">
        <f>$B$1*'S-coe'!N11</f>
        <v>1.7069083765646641E-16</v>
      </c>
      <c r="O11" s="1">
        <f>$B$1*'S-coe'!O11</f>
        <v>4.9484245216996008E-15</v>
      </c>
      <c r="P11" s="1">
        <f>$B$1*'S-coe'!P11</f>
        <v>4.3561142911665436E-15</v>
      </c>
      <c r="Q11" s="1">
        <f>$B$1*'S-coe'!Q11</f>
        <v>4.3561142911665436E-15</v>
      </c>
      <c r="R11" s="1">
        <f>$B$1*'S-coe'!R11</f>
        <v>4.3561142911665436E-15</v>
      </c>
      <c r="S11" s="1">
        <f>$B$1*'S-coe'!S11</f>
        <v>1.0721442750194655E-15</v>
      </c>
      <c r="T11" s="1">
        <f>$B$1*'S-coe'!T11</f>
        <v>1.0913628286430142E-15</v>
      </c>
      <c r="U11" s="1">
        <f>$B$1*'S-coe'!U11</f>
        <v>1.0913628286430142E-15</v>
      </c>
      <c r="V11" s="1">
        <f>$B$1*'S-coe'!V11</f>
        <v>1.7988034594172907E-15</v>
      </c>
      <c r="W11" s="1">
        <f>$B$1*'S-coe'!W11</f>
        <v>2.2449294666845159E-15</v>
      </c>
      <c r="X11" s="1">
        <f>$B$1*'S-coe'!X11</f>
        <v>2.2449294666845159E-15</v>
      </c>
      <c r="Y11" s="1">
        <f>$B$1*'S-coe'!Y11</f>
        <v>5.817054031088854E-14</v>
      </c>
      <c r="Z11" s="1">
        <f>$B$1*'S-coe'!Z11</f>
        <v>1.5202795002973217E-12</v>
      </c>
      <c r="AA11" s="1">
        <f>$B$1*'S-coe'!AA11</f>
        <v>4.4123834285594382E-13</v>
      </c>
      <c r="AB11" s="1">
        <f>$B$1*'S-coe'!AB11</f>
        <v>4.9171185097070136E-18</v>
      </c>
      <c r="AC11" s="1">
        <f>$B$1*'S-coe'!AC11</f>
        <v>3.5896857958849095E-18</v>
      </c>
      <c r="AD11" s="1">
        <f>$B$1*'S-coe'!AD11</f>
        <v>3.5896857958849095E-18</v>
      </c>
      <c r="AE11" s="1">
        <f>$B$1*'S-coe'!AE11</f>
        <v>3.5896857958849095E-18</v>
      </c>
      <c r="AF11" s="1">
        <f>$B$1*'S-coe'!AF11</f>
        <v>3.9019639120915443E-18</v>
      </c>
      <c r="AG11" s="1">
        <f>$B$1*'S-coe'!AG11</f>
        <v>1.9293069024446672E-17</v>
      </c>
      <c r="AH11" s="1">
        <f>$B$1*'S-coe'!AH11</f>
        <v>1.9293069024446672E-17</v>
      </c>
      <c r="AI11" s="1">
        <f>$B$1*'S-coe'!AI11</f>
        <v>1.9293069024446672E-17</v>
      </c>
      <c r="AJ11" s="1">
        <f>$B$1*'S-coe'!AJ11</f>
        <v>3.4270333945842931E-17</v>
      </c>
      <c r="AK11" s="1">
        <f>$B$1*'S-coe'!AK11</f>
        <v>3.4270333945842931E-17</v>
      </c>
      <c r="AL11" s="1">
        <f>$B$1*'S-coe'!AL11</f>
        <v>3.4270333945842931E-17</v>
      </c>
      <c r="AM11" s="1">
        <f>$B$1*'S-coe'!AM11</f>
        <v>3.4268554803233243E-17</v>
      </c>
      <c r="AN11" s="1">
        <f>$B$1*'S-coe'!AN11</f>
        <v>1.6751926040986505E-17</v>
      </c>
      <c r="AO11" s="1">
        <f>$B$1*'S-coe'!AO11</f>
        <v>3.4382307064712408E-17</v>
      </c>
      <c r="AP11" s="1">
        <f>$B$1*'S-coe'!AP11</f>
        <v>1.6718668310517917E-16</v>
      </c>
      <c r="AQ11" s="1">
        <f>$B$1*'S-coe'!AQ11</f>
        <v>2.8097615258449436E-15</v>
      </c>
      <c r="AR11" s="1">
        <f>$B$1*'S-coe'!AR11</f>
        <v>6.2017326798600723E-16</v>
      </c>
      <c r="AS11" s="1">
        <f>$B$1*'S-coe'!AS11</f>
        <v>6.2017326798600723E-16</v>
      </c>
      <c r="AT11" s="1">
        <f>$B$1*'S-coe'!AT11</f>
        <v>7.5742470610445618E-16</v>
      </c>
      <c r="AU11" s="1">
        <f>$B$1*'S-coe'!AU11</f>
        <v>7.5742470610445618E-16</v>
      </c>
      <c r="AV11" s="1">
        <f>$B$1*'S-coe'!AV11</f>
        <v>2.4553261472252334E-16</v>
      </c>
      <c r="AW11" s="1">
        <f>$B$1*'S-coe'!AW11</f>
        <v>1.2552646084654563E-15</v>
      </c>
      <c r="AX11" s="1">
        <f>$B$1*'S-coe'!AX11</f>
        <v>1.7507587423267307E-15</v>
      </c>
      <c r="AY11" s="1">
        <f>$B$1*'S-coe'!AY11</f>
        <v>8.6000701509948659E-16</v>
      </c>
      <c r="AZ11" s="1">
        <f>$B$1*'S-coe'!AZ11</f>
        <v>1.3093956043653464E-18</v>
      </c>
      <c r="BA11" s="1">
        <f>$B$1*'S-coe'!BA11</f>
        <v>2.518774550519299E-17</v>
      </c>
      <c r="BB11" s="1">
        <f>$B$1*'S-coe'!BB11</f>
        <v>4.3639524559666688E-18</v>
      </c>
      <c r="BC11" s="1">
        <f>$B$1*'S-coe'!BC11</f>
        <v>1.7521382106796913E-16</v>
      </c>
      <c r="BD11" s="1">
        <f>$B$1*'S-coe'!BD11</f>
        <v>1.7662530732593471E-16</v>
      </c>
      <c r="BE11" s="1">
        <f>$B$1*'S-coe'!BE11</f>
        <v>3.9315451467580142E-17</v>
      </c>
      <c r="BF11" s="1">
        <f>$B$1*'S-coe'!BF11</f>
        <v>3.034703633965603E-16</v>
      </c>
      <c r="BG11" s="1">
        <f>$B$1*'S-coe'!BG11</f>
        <v>1.2202929995122356E-16</v>
      </c>
      <c r="BH11" s="1">
        <f>$B$1*'S-coe'!BH11</f>
        <v>3.6643943074820573E-15</v>
      </c>
      <c r="BI11" s="1">
        <f>$B$1*'S-coe'!BI11</f>
        <v>2.4945344611826274E-14</v>
      </c>
      <c r="BJ11" s="1">
        <f>$B$1*'S-coe'!BJ11</f>
        <v>2.736797651452631E-16</v>
      </c>
      <c r="BK11" s="1">
        <f>$B$1*'S-coe'!BK11</f>
        <v>1.9671651632253126E-18</v>
      </c>
      <c r="BL11" s="1">
        <f>$B$1*'S-coe'!BL11</f>
        <v>0</v>
      </c>
      <c r="BM11" s="1">
        <f>$B$1*'S-coe'!BM11</f>
        <v>3.6944759958209223E-18</v>
      </c>
      <c r="BN11" s="1">
        <f>$B$1*'S-coe'!BN11</f>
        <v>3.7876608031935802E-16</v>
      </c>
      <c r="BO11" s="1">
        <f>$B$1*'S-coe'!BO11</f>
        <v>1.0849664338819247E-16</v>
      </c>
      <c r="BP11" s="1">
        <f>$B$1*'S-coe'!BP11</f>
        <v>0</v>
      </c>
      <c r="BQ11" s="1">
        <f>$B$1*'S-coe'!BQ11</f>
        <v>1.3189314611552305E-17</v>
      </c>
      <c r="BR11" s="1">
        <f>$B$1*'S-coe'!BR11</f>
        <v>7.4279495664375188E-18</v>
      </c>
      <c r="BS11" s="1">
        <f>$B$1*'S-coe'!BS11</f>
        <v>5.0153306991212705E-15</v>
      </c>
      <c r="BT11" s="1">
        <f>$B$1*'S-coe'!BT11</f>
        <v>1.24308427625519E-14</v>
      </c>
      <c r="BU11" s="1">
        <f>$B$1*'S-coe'!BU11</f>
        <v>1.0514941180591547E-14</v>
      </c>
      <c r="BV11" s="1">
        <f>$B$1*'S-coe'!BV11</f>
        <v>3.0177036939593974E-14</v>
      </c>
      <c r="BW11" s="1">
        <f>$B$1*'S-coe'!BW11</f>
        <v>1.1384819717591117E-15</v>
      </c>
      <c r="BX11" s="1">
        <f>$B$1*'S-coe'!BX11</f>
        <v>9.5374884036836311E-16</v>
      </c>
      <c r="BY11" s="1">
        <f>$B$1*'S-coe'!BY11</f>
        <v>1.0904054399564795E-15</v>
      </c>
      <c r="BZ11" s="1">
        <f>$B$1*'S-coe'!BZ11</f>
        <v>3.5896857958849095E-18</v>
      </c>
      <c r="CA11" s="1">
        <f>$B$1*'S-coe'!CA11</f>
        <v>3.5896857958849095E-18</v>
      </c>
      <c r="CB11" s="1">
        <f>$B$1*'S-coe'!CB11</f>
        <v>3.3774333826979981E-17</v>
      </c>
      <c r="CC11" s="1">
        <f>$B$1*'S-coe'!CC11</f>
        <v>3.3820743573443909E-17</v>
      </c>
    </row>
    <row r="12" spans="2:81" x14ac:dyDescent="0.15">
      <c r="B12" t="s">
        <v>8</v>
      </c>
      <c r="C12" s="1">
        <f>$B$1*'S-coe'!C12</f>
        <v>1.6673593409157507E-14</v>
      </c>
      <c r="D12" s="1">
        <f>$B$1*'S-coe'!D12</f>
        <v>1.6673593409157507E-14</v>
      </c>
      <c r="E12" s="1">
        <f>$B$1*'S-coe'!E12</f>
        <v>2.2520058969748027E-14</v>
      </c>
      <c r="F12" s="1">
        <f>$B$1*'S-coe'!F12</f>
        <v>2.2520058969748027E-14</v>
      </c>
      <c r="G12" s="1">
        <f>$B$1*'S-coe'!G12</f>
        <v>1.2367412577431997E-14</v>
      </c>
      <c r="H12" s="1">
        <f>$B$1*'S-coe'!H12</f>
        <v>8.590976081865005E-15</v>
      </c>
      <c r="I12" s="1">
        <f>$B$1*'S-coe'!I12</f>
        <v>5.8140093675885795E-16</v>
      </c>
      <c r="J12" s="1">
        <f>$B$1*'S-coe'!J12</f>
        <v>5.8140093675885795E-16</v>
      </c>
      <c r="K12" s="1">
        <f>$B$1*'S-coe'!K12</f>
        <v>5.8140093675885795E-16</v>
      </c>
      <c r="L12" s="1">
        <f>$B$1*'S-coe'!L12</f>
        <v>9.9804183555223908E-17</v>
      </c>
      <c r="M12" s="1">
        <f>$B$1*'S-coe'!M12</f>
        <v>9.3966559321537447E-17</v>
      </c>
      <c r="N12" s="1">
        <f>$B$1*'S-coe'!N12</f>
        <v>9.3966559321537447E-17</v>
      </c>
      <c r="O12" s="1">
        <f>$B$1*'S-coe'!O12</f>
        <v>2.3361890908627448E-17</v>
      </c>
      <c r="P12" s="1">
        <f>$B$1*'S-coe'!P12</f>
        <v>2.4475897523660861E-17</v>
      </c>
      <c r="Q12" s="1">
        <f>$B$1*'S-coe'!Q12</f>
        <v>2.4475897523660861E-17</v>
      </c>
      <c r="R12" s="1">
        <f>$B$1*'S-coe'!R12</f>
        <v>2.4475897523660861E-17</v>
      </c>
      <c r="S12" s="1">
        <f>$B$1*'S-coe'!S12</f>
        <v>2.1047164843968647E-17</v>
      </c>
      <c r="T12" s="1">
        <f>$B$1*'S-coe'!T12</f>
        <v>2.177726001742806E-17</v>
      </c>
      <c r="U12" s="1">
        <f>$B$1*'S-coe'!U12</f>
        <v>2.177726001742806E-17</v>
      </c>
      <c r="V12" s="1">
        <f>$B$1*'S-coe'!V12</f>
        <v>1.6593288188153605E-17</v>
      </c>
      <c r="W12" s="1">
        <f>$B$1*'S-coe'!W12</f>
        <v>2.040526774039493E-17</v>
      </c>
      <c r="X12" s="1">
        <f>$B$1*'S-coe'!X12</f>
        <v>2.040526774039493E-17</v>
      </c>
      <c r="Y12" s="1">
        <f>$B$1*'S-coe'!Y12</f>
        <v>2.2107191323506562E-18</v>
      </c>
      <c r="Z12" s="1">
        <f>$B$1*'S-coe'!Z12</f>
        <v>4.2948164553259766E-18</v>
      </c>
      <c r="AA12" s="1">
        <f>$B$1*'S-coe'!AA12</f>
        <v>4.2948164553259766E-18</v>
      </c>
      <c r="AB12" s="1">
        <f>$B$1*'S-coe'!AB12</f>
        <v>7.7072069823293856E-11</v>
      </c>
      <c r="AC12" s="1">
        <f>$B$1*'S-coe'!AC12</f>
        <v>1.1172014727374896E-14</v>
      </c>
      <c r="AD12" s="1">
        <f>$B$1*'S-coe'!AD12</f>
        <v>1.1172014727374896E-14</v>
      </c>
      <c r="AE12" s="1">
        <f>$B$1*'S-coe'!AE12</f>
        <v>1.1172014727374896E-14</v>
      </c>
      <c r="AF12" s="1">
        <f>$B$1*'S-coe'!AF12</f>
        <v>3.9094887274607023E-15</v>
      </c>
      <c r="AG12" s="1">
        <f>$B$1*'S-coe'!AG12</f>
        <v>5.8695765483211305E-16</v>
      </c>
      <c r="AH12" s="1">
        <f>$B$1*'S-coe'!AH12</f>
        <v>5.8695765483211305E-16</v>
      </c>
      <c r="AI12" s="1">
        <f>$B$1*'S-coe'!AI12</f>
        <v>5.8695765483211305E-16</v>
      </c>
      <c r="AJ12" s="1">
        <f>$B$1*'S-coe'!AJ12</f>
        <v>3.4120015658087846E-16</v>
      </c>
      <c r="AK12" s="1">
        <f>$B$1*'S-coe'!AK12</f>
        <v>3.4120015658087846E-16</v>
      </c>
      <c r="AL12" s="1">
        <f>$B$1*'S-coe'!AL12</f>
        <v>3.4120015658087846E-16</v>
      </c>
      <c r="AM12" s="1">
        <f>$B$1*'S-coe'!AM12</f>
        <v>3.4120015658087846E-16</v>
      </c>
      <c r="AN12" s="1">
        <f>$B$1*'S-coe'!AN12</f>
        <v>6.6227990027411231E-16</v>
      </c>
      <c r="AO12" s="1">
        <f>$B$1*'S-coe'!AO12</f>
        <v>3.0796086217738022E-16</v>
      </c>
      <c r="AP12" s="1">
        <f>$B$1*'S-coe'!AP12</f>
        <v>6.4651729723747194E-17</v>
      </c>
      <c r="AQ12" s="1">
        <f>$B$1*'S-coe'!AQ12</f>
        <v>3.7625236356631282E-16</v>
      </c>
      <c r="AR12" s="1">
        <f>$B$1*'S-coe'!AR12</f>
        <v>1.5705698183155136E-15</v>
      </c>
      <c r="AS12" s="1">
        <f>$B$1*'S-coe'!AS12</f>
        <v>1.5705698183155136E-15</v>
      </c>
      <c r="AT12" s="1">
        <f>$B$1*'S-coe'!AT12</f>
        <v>1.1296751283593101E-15</v>
      </c>
      <c r="AU12" s="1">
        <f>$B$1*'S-coe'!AU12</f>
        <v>1.1296751283593101E-15</v>
      </c>
      <c r="AV12" s="1">
        <f>$B$1*'S-coe'!AV12</f>
        <v>2.7550649171614651E-17</v>
      </c>
      <c r="AW12" s="1">
        <f>$B$1*'S-coe'!AW12</f>
        <v>4.7673174402268026E-16</v>
      </c>
      <c r="AX12" s="1">
        <f>$B$1*'S-coe'!AX12</f>
        <v>6.1762799036519005E-16</v>
      </c>
      <c r="AY12" s="1">
        <f>$B$1*'S-coe'!AY12</f>
        <v>3.91205173141121E-16</v>
      </c>
      <c r="AZ12" s="1">
        <f>$B$1*'S-coe'!AZ12</f>
        <v>2.9494187122428135E-15</v>
      </c>
      <c r="BA12" s="1">
        <f>$B$1*'S-coe'!BA12</f>
        <v>6.1476127322275882E-16</v>
      </c>
      <c r="BB12" s="1">
        <f>$B$1*'S-coe'!BB12</f>
        <v>2.617545148789546E-14</v>
      </c>
      <c r="BC12" s="1">
        <f>$B$1*'S-coe'!BC12</f>
        <v>1.013995714428317E-16</v>
      </c>
      <c r="BD12" s="1">
        <f>$B$1*'S-coe'!BD12</f>
        <v>8.9391299104131268E-17</v>
      </c>
      <c r="BE12" s="1">
        <f>$B$1*'S-coe'!BE12</f>
        <v>2.9190930395866596E-16</v>
      </c>
      <c r="BF12" s="1">
        <f>$B$1*'S-coe'!BF12</f>
        <v>4.8559846346852494E-17</v>
      </c>
      <c r="BG12" s="1">
        <f>$B$1*'S-coe'!BG12</f>
        <v>1.1358918543779075E-16</v>
      </c>
      <c r="BH12" s="1">
        <f>$B$1*'S-coe'!BH12</f>
        <v>2.4597459792391156E-16</v>
      </c>
      <c r="BI12" s="1">
        <f>$B$1*'S-coe'!BI12</f>
        <v>2.5466582151331951E-18</v>
      </c>
      <c r="BJ12" s="1">
        <f>$B$1*'S-coe'!BJ12</f>
        <v>6.2412810954625035E-17</v>
      </c>
      <c r="BK12" s="1">
        <f>$B$1*'S-coe'!BK12</f>
        <v>4.8982148886685466E-15</v>
      </c>
      <c r="BL12" s="1">
        <f>$B$1*'S-coe'!BL12</f>
        <v>0</v>
      </c>
      <c r="BM12" s="1">
        <f>$B$1*'S-coe'!BM12</f>
        <v>3.550976480815155E-15</v>
      </c>
      <c r="BN12" s="1">
        <f>$B$1*'S-coe'!BN12</f>
        <v>5.4793856729980608E-16</v>
      </c>
      <c r="BO12" s="1">
        <f>$B$1*'S-coe'!BO12</f>
        <v>8.8737763713794264E-17</v>
      </c>
      <c r="BP12" s="1">
        <f>$B$1*'S-coe'!BP12</f>
        <v>0</v>
      </c>
      <c r="BQ12" s="1">
        <f>$B$1*'S-coe'!BQ12</f>
        <v>7.1331135808459721E-16</v>
      </c>
      <c r="BR12" s="1">
        <f>$B$1*'S-coe'!BR12</f>
        <v>1.1410257304626177E-15</v>
      </c>
      <c r="BS12" s="1">
        <f>$B$1*'S-coe'!BS12</f>
        <v>1.6291924739480927E-17</v>
      </c>
      <c r="BT12" s="1">
        <f>$B$1*'S-coe'!BT12</f>
        <v>7.6534916305693855E-18</v>
      </c>
      <c r="BU12" s="1">
        <f>$B$1*'S-coe'!BU12</f>
        <v>7.3796870889544358E-18</v>
      </c>
      <c r="BV12" s="1">
        <f>$B$1*'S-coe'!BV12</f>
        <v>4.9632082175229302E-18</v>
      </c>
      <c r="BW12" s="1">
        <f>$B$1*'S-coe'!BW12</f>
        <v>7.5847218221163099E-16</v>
      </c>
      <c r="BX12" s="1">
        <f>$B$1*'S-coe'!BX12</f>
        <v>6.5487185882182006E-16</v>
      </c>
      <c r="BY12" s="1">
        <f>$B$1*'S-coe'!BY12</f>
        <v>2.1495673175131686E-16</v>
      </c>
      <c r="BZ12" s="1">
        <f>$B$1*'S-coe'!BZ12</f>
        <v>3.9773671106541436E-12</v>
      </c>
      <c r="CA12" s="1">
        <f>$B$1*'S-coe'!CA12</f>
        <v>1.1172014727374896E-14</v>
      </c>
      <c r="CB12" s="1">
        <f>$B$1*'S-coe'!CB12</f>
        <v>3.4942179352861189E-16</v>
      </c>
      <c r="CC12" s="1">
        <f>$B$1*'S-coe'!CC12</f>
        <v>4.3801089940563312E-16</v>
      </c>
    </row>
    <row r="13" spans="2:81" x14ac:dyDescent="0.15">
      <c r="B13" t="s">
        <v>9</v>
      </c>
      <c r="C13" s="1">
        <f>$B$1*'S-coe'!C13</f>
        <v>3.6906066060883375E-14</v>
      </c>
      <c r="D13" s="1">
        <f>$B$1*'S-coe'!D13</f>
        <v>3.6906066060883375E-14</v>
      </c>
      <c r="E13" s="1">
        <f>$B$1*'S-coe'!E13</f>
        <v>1.3990513116704566E-14</v>
      </c>
      <c r="F13" s="1">
        <f>$B$1*'S-coe'!F13</f>
        <v>1.3990513116704566E-14</v>
      </c>
      <c r="G13" s="1">
        <f>$B$1*'S-coe'!G13</f>
        <v>3.873463856984193E-14</v>
      </c>
      <c r="H13" s="1">
        <f>$B$1*'S-coe'!H13</f>
        <v>4.4383349476424591E-14</v>
      </c>
      <c r="I13" s="1">
        <f>$B$1*'S-coe'!I13</f>
        <v>6.792200893412382E-15</v>
      </c>
      <c r="J13" s="1">
        <f>$B$1*'S-coe'!J13</f>
        <v>6.792200893412382E-15</v>
      </c>
      <c r="K13" s="1">
        <f>$B$1*'S-coe'!K13</f>
        <v>6.792200893412382E-15</v>
      </c>
      <c r="L13" s="1">
        <f>$B$1*'S-coe'!L13</f>
        <v>1.0358191354754433E-16</v>
      </c>
      <c r="M13" s="1">
        <f>$B$1*'S-coe'!M13</f>
        <v>9.063542042898069E-17</v>
      </c>
      <c r="N13" s="1">
        <f>$B$1*'S-coe'!N13</f>
        <v>9.063542042898069E-17</v>
      </c>
      <c r="O13" s="1">
        <f>$B$1*'S-coe'!O13</f>
        <v>2.5129516445485352E-17</v>
      </c>
      <c r="P13" s="1">
        <f>$B$1*'S-coe'!P13</f>
        <v>2.5185693672593499E-17</v>
      </c>
      <c r="Q13" s="1">
        <f>$B$1*'S-coe'!Q13</f>
        <v>2.5185693672593499E-17</v>
      </c>
      <c r="R13" s="1">
        <f>$B$1*'S-coe'!R13</f>
        <v>2.5185693672593499E-17</v>
      </c>
      <c r="S13" s="1">
        <f>$B$1*'S-coe'!S13</f>
        <v>2.1351490058285559E-17</v>
      </c>
      <c r="T13" s="1">
        <f>$B$1*'S-coe'!T13</f>
        <v>1.8071126494254528E-17</v>
      </c>
      <c r="U13" s="1">
        <f>$B$1*'S-coe'!U13</f>
        <v>1.8071126494254528E-17</v>
      </c>
      <c r="V13" s="1">
        <f>$B$1*'S-coe'!V13</f>
        <v>1.2277554759409484E-17</v>
      </c>
      <c r="W13" s="1">
        <f>$B$1*'S-coe'!W13</f>
        <v>1.3289689854641745E-17</v>
      </c>
      <c r="X13" s="1">
        <f>$B$1*'S-coe'!X13</f>
        <v>1.3289689854641745E-17</v>
      </c>
      <c r="Y13" s="1">
        <f>$B$1*'S-coe'!Y13</f>
        <v>2.6480819765932383E-18</v>
      </c>
      <c r="Z13" s="1">
        <f>$B$1*'S-coe'!Z13</f>
        <v>2.7509796222800157E-18</v>
      </c>
      <c r="AA13" s="1">
        <f>$B$1*'S-coe'!AA13</f>
        <v>2.7509796222800157E-18</v>
      </c>
      <c r="AB13" s="1">
        <f>$B$1*'S-coe'!AB13</f>
        <v>1.1094322976384778E-14</v>
      </c>
      <c r="AC13" s="1">
        <f>$B$1*'S-coe'!AC13</f>
        <v>2.5484270107470082E-12</v>
      </c>
      <c r="AD13" s="1">
        <f>$B$1*'S-coe'!AD13</f>
        <v>3.9856032815863503E-12</v>
      </c>
      <c r="AE13" s="1">
        <f>$B$1*'S-coe'!AE13</f>
        <v>3.6584418742034442E-12</v>
      </c>
      <c r="AF13" s="1">
        <f>$B$1*'S-coe'!AF13</f>
        <v>7.5416560650203136E-14</v>
      </c>
      <c r="AG13" s="1">
        <f>$B$1*'S-coe'!AG13</f>
        <v>6.7066218197742065E-15</v>
      </c>
      <c r="AH13" s="1">
        <f>$B$1*'S-coe'!AH13</f>
        <v>6.7066218197742065E-15</v>
      </c>
      <c r="AI13" s="1">
        <f>$B$1*'S-coe'!AI13</f>
        <v>6.7066218197742065E-15</v>
      </c>
      <c r="AJ13" s="1">
        <f>$B$1*'S-coe'!AJ13</f>
        <v>6.1800054883931856E-16</v>
      </c>
      <c r="AK13" s="1">
        <f>$B$1*'S-coe'!AK13</f>
        <v>6.1800054883931856E-16</v>
      </c>
      <c r="AL13" s="1">
        <f>$B$1*'S-coe'!AL13</f>
        <v>6.1800054883931856E-16</v>
      </c>
      <c r="AM13" s="1">
        <f>$B$1*'S-coe'!AM13</f>
        <v>6.1800054883931856E-16</v>
      </c>
      <c r="AN13" s="1">
        <f>$B$1*'S-coe'!AN13</f>
        <v>9.1086904387487459E-15</v>
      </c>
      <c r="AO13" s="1">
        <f>$B$1*'S-coe'!AO13</f>
        <v>6.196061398938728E-16</v>
      </c>
      <c r="AP13" s="1">
        <f>$B$1*'S-coe'!AP13</f>
        <v>9.3293519790587742E-17</v>
      </c>
      <c r="AQ13" s="1">
        <f>$B$1*'S-coe'!AQ13</f>
        <v>4.5570088906504514E-16</v>
      </c>
      <c r="AR13" s="1">
        <f>$B$1*'S-coe'!AR13</f>
        <v>1.8466909176060792E-15</v>
      </c>
      <c r="AS13" s="1">
        <f>$B$1*'S-coe'!AS13</f>
        <v>1.8466909176060792E-15</v>
      </c>
      <c r="AT13" s="1">
        <f>$B$1*'S-coe'!AT13</f>
        <v>1.8380465479442472E-15</v>
      </c>
      <c r="AU13" s="1">
        <f>$B$1*'S-coe'!AU13</f>
        <v>1.8380465479442472E-15</v>
      </c>
      <c r="AV13" s="1">
        <f>$B$1*'S-coe'!AV13</f>
        <v>3.4856212675467279E-17</v>
      </c>
      <c r="AW13" s="1">
        <f>$B$1*'S-coe'!AW13</f>
        <v>1.1420893407929219E-15</v>
      </c>
      <c r="AX13" s="1">
        <f>$B$1*'S-coe'!AX13</f>
        <v>1.7006628247595195E-15</v>
      </c>
      <c r="AY13" s="1">
        <f>$B$1*'S-coe'!AY13</f>
        <v>6.7780608162812635E-16</v>
      </c>
      <c r="AZ13" s="1">
        <f>$B$1*'S-coe'!AZ13</f>
        <v>4.4746244471946703E-15</v>
      </c>
      <c r="BA13" s="1">
        <f>$B$1*'S-coe'!BA13</f>
        <v>5.7757260639795664E-16</v>
      </c>
      <c r="BB13" s="1">
        <f>$B$1*'S-coe'!BB13</f>
        <v>6.1992479003157111E-15</v>
      </c>
      <c r="BC13" s="1">
        <f>$B$1*'S-coe'!BC13</f>
        <v>8.8087300435997664E-17</v>
      </c>
      <c r="BD13" s="1">
        <f>$B$1*'S-coe'!BD13</f>
        <v>9.4823172783943569E-17</v>
      </c>
      <c r="BE13" s="1">
        <f>$B$1*'S-coe'!BE13</f>
        <v>4.6135285258375324E-16</v>
      </c>
      <c r="BF13" s="1">
        <f>$B$1*'S-coe'!BF13</f>
        <v>5.4913786926567163E-17</v>
      </c>
      <c r="BG13" s="1">
        <f>$B$1*'S-coe'!BG13</f>
        <v>1.3929469019578646E-16</v>
      </c>
      <c r="BH13" s="1">
        <f>$B$1*'S-coe'!BH13</f>
        <v>8.7917593397740559E-16</v>
      </c>
      <c r="BI13" s="1">
        <f>$B$1*'S-coe'!BI13</f>
        <v>2.5585374282049248E-18</v>
      </c>
      <c r="BJ13" s="1">
        <f>$B$1*'S-coe'!BJ13</f>
        <v>6.2698777449076809E-17</v>
      </c>
      <c r="BK13" s="1">
        <f>$B$1*'S-coe'!BK13</f>
        <v>2.0114669624382918E-14</v>
      </c>
      <c r="BL13" s="1">
        <f>$B$1*'S-coe'!BL13</f>
        <v>0</v>
      </c>
      <c r="BM13" s="1">
        <f>$B$1*'S-coe'!BM13</f>
        <v>1.7019906520298695E-14</v>
      </c>
      <c r="BN13" s="1">
        <f>$B$1*'S-coe'!BN13</f>
        <v>3.992502168302558E-16</v>
      </c>
      <c r="BO13" s="1">
        <f>$B$1*'S-coe'!BO13</f>
        <v>1.3892666511781692E-16</v>
      </c>
      <c r="BP13" s="1">
        <f>$B$1*'S-coe'!BP13</f>
        <v>0</v>
      </c>
      <c r="BQ13" s="1">
        <f>$B$1*'S-coe'!BQ13</f>
        <v>1.915097929491895E-15</v>
      </c>
      <c r="BR13" s="1">
        <f>$B$1*'S-coe'!BR13</f>
        <v>7.471845234909857E-15</v>
      </c>
      <c r="BS13" s="1">
        <f>$B$1*'S-coe'!BS13</f>
        <v>1.9678687521066221E-17</v>
      </c>
      <c r="BT13" s="1">
        <f>$B$1*'S-coe'!BT13</f>
        <v>3.5410990918288475E-18</v>
      </c>
      <c r="BU13" s="1">
        <f>$B$1*'S-coe'!BU13</f>
        <v>3.5314142081325463E-18</v>
      </c>
      <c r="BV13" s="1">
        <f>$B$1*'S-coe'!BV13</f>
        <v>3.0776385730378731E-18</v>
      </c>
      <c r="BW13" s="1">
        <f>$B$1*'S-coe'!BW13</f>
        <v>6.459765031761478E-16</v>
      </c>
      <c r="BX13" s="1">
        <f>$B$1*'S-coe'!BX13</f>
        <v>3.7498048454939384E-15</v>
      </c>
      <c r="BY13" s="1">
        <f>$B$1*'S-coe'!BY13</f>
        <v>6.0642236127861196E-16</v>
      </c>
      <c r="BZ13" s="1">
        <f>$B$1*'S-coe'!BZ13</f>
        <v>1.1172014727374896E-14</v>
      </c>
      <c r="CA13" s="1">
        <f>$B$1*'S-coe'!CA13</f>
        <v>3.9773671106541436E-12</v>
      </c>
      <c r="CB13" s="1">
        <f>$B$1*'S-coe'!CB13</f>
        <v>8.2093333731291848E-16</v>
      </c>
      <c r="CC13" s="1">
        <f>$B$1*'S-coe'!CC13</f>
        <v>2.6569015390769552E-14</v>
      </c>
    </row>
    <row r="14" spans="2:81" x14ac:dyDescent="0.15">
      <c r="B14" t="s">
        <v>16</v>
      </c>
      <c r="C14" s="1">
        <f>$B$1*'S-coe'!C14</f>
        <v>5.8551743635283428E-14</v>
      </c>
      <c r="D14" s="1">
        <f>$B$1*'S-coe'!D14</f>
        <v>5.8551743635283428E-14</v>
      </c>
      <c r="E14" s="1">
        <f>$B$1*'S-coe'!E14</f>
        <v>1.4219281599621045E-14</v>
      </c>
      <c r="F14" s="1">
        <f>$B$1*'S-coe'!F14</f>
        <v>1.4219281599621045E-14</v>
      </c>
      <c r="G14" s="1">
        <f>$B$1*'S-coe'!G14</f>
        <v>5.1504239794208235E-14</v>
      </c>
      <c r="H14" s="1">
        <f>$B$1*'S-coe'!H14</f>
        <v>1.9493339522720064E-14</v>
      </c>
      <c r="I14" s="1">
        <f>$B$1*'S-coe'!I14</f>
        <v>7.3260704921561756E-15</v>
      </c>
      <c r="J14" s="1">
        <f>$B$1*'S-coe'!J14</f>
        <v>7.3260704921561756E-15</v>
      </c>
      <c r="K14" s="1">
        <f>$B$1*'S-coe'!K14</f>
        <v>7.3260704921561756E-15</v>
      </c>
      <c r="L14" s="1">
        <f>$B$1*'S-coe'!L14</f>
        <v>1.3181653438459373E-16</v>
      </c>
      <c r="M14" s="1">
        <f>$B$1*'S-coe'!M14</f>
        <v>1.3608545818931712E-16</v>
      </c>
      <c r="N14" s="1">
        <f>$B$1*'S-coe'!N14</f>
        <v>1.3610891343889838E-16</v>
      </c>
      <c r="O14" s="1">
        <f>$B$1*'S-coe'!O14</f>
        <v>4.4266021104324598E-17</v>
      </c>
      <c r="P14" s="1">
        <f>$B$1*'S-coe'!P14</f>
        <v>2.389803560607286E-17</v>
      </c>
      <c r="Q14" s="1">
        <f>$B$1*'S-coe'!Q14</f>
        <v>2.389803560607286E-17</v>
      </c>
      <c r="R14" s="1">
        <f>$B$1*'S-coe'!R14</f>
        <v>2.389803560607286E-17</v>
      </c>
      <c r="S14" s="1">
        <f>$B$1*'S-coe'!S14</f>
        <v>2.1469787570476003E-17</v>
      </c>
      <c r="T14" s="1">
        <f>$B$1*'S-coe'!T14</f>
        <v>2.761387348740195E-17</v>
      </c>
      <c r="U14" s="1">
        <f>$B$1*'S-coe'!U14</f>
        <v>2.761387348740195E-17</v>
      </c>
      <c r="V14" s="1">
        <f>$B$1*'S-coe'!V14</f>
        <v>1.6233552695170769E-17</v>
      </c>
      <c r="W14" s="1">
        <f>$B$1*'S-coe'!W14</f>
        <v>1.4991034405525629E-17</v>
      </c>
      <c r="X14" s="1">
        <f>$B$1*'S-coe'!X14</f>
        <v>1.4991034405525629E-17</v>
      </c>
      <c r="Y14" s="1">
        <f>$B$1*'S-coe'!Y14</f>
        <v>4.9722843319648641E-18</v>
      </c>
      <c r="Z14" s="1">
        <f>$B$1*'S-coe'!Z14</f>
        <v>5.4836962044467812E-18</v>
      </c>
      <c r="AA14" s="1">
        <f>$B$1*'S-coe'!AA14</f>
        <v>3.9019639120915443E-18</v>
      </c>
      <c r="AB14" s="1">
        <f>$B$1*'S-coe'!AB14</f>
        <v>4.1404395161297774E-15</v>
      </c>
      <c r="AC14" s="1">
        <f>$B$1*'S-coe'!AC14</f>
        <v>7.6179369258514846E-14</v>
      </c>
      <c r="AD14" s="1">
        <f>$B$1*'S-coe'!AD14</f>
        <v>7.6179369258514846E-14</v>
      </c>
      <c r="AE14" s="1">
        <f>$B$1*'S-coe'!AE14</f>
        <v>7.6179369258514846E-14</v>
      </c>
      <c r="AF14" s="1">
        <f>$B$1*'S-coe'!AF14</f>
        <v>3.4745309392042997E-12</v>
      </c>
      <c r="AG14" s="1">
        <f>$B$1*'S-coe'!AG14</f>
        <v>7.814839158148201E-15</v>
      </c>
      <c r="AH14" s="1">
        <f>$B$1*'S-coe'!AH14</f>
        <v>7.814839158148201E-15</v>
      </c>
      <c r="AI14" s="1">
        <f>$B$1*'S-coe'!AI14</f>
        <v>7.814839158148201E-15</v>
      </c>
      <c r="AJ14" s="1">
        <f>$B$1*'S-coe'!AJ14</f>
        <v>9.371050591375903E-16</v>
      </c>
      <c r="AK14" s="1">
        <f>$B$1*'S-coe'!AK14</f>
        <v>9.371050591375903E-16</v>
      </c>
      <c r="AL14" s="1">
        <f>$B$1*'S-coe'!AL14</f>
        <v>9.371050591375903E-16</v>
      </c>
      <c r="AM14" s="1">
        <f>$B$1*'S-coe'!AM14</f>
        <v>9.371050591375903E-16</v>
      </c>
      <c r="AN14" s="1">
        <f>$B$1*'S-coe'!AN14</f>
        <v>1.0219270744411993E-14</v>
      </c>
      <c r="AO14" s="1">
        <f>$B$1*'S-coe'!AO14</f>
        <v>9.1232031651660298E-16</v>
      </c>
      <c r="AP14" s="1">
        <f>$B$1*'S-coe'!AP14</f>
        <v>1.1204788286044339E-16</v>
      </c>
      <c r="AQ14" s="1">
        <f>$B$1*'S-coe'!AQ14</f>
        <v>2.251514040154311E-16</v>
      </c>
      <c r="AR14" s="1">
        <f>$B$1*'S-coe'!AR14</f>
        <v>1.28681704833834E-15</v>
      </c>
      <c r="AS14" s="1">
        <f>$B$1*'S-coe'!AS14</f>
        <v>1.28681704833834E-15</v>
      </c>
      <c r="AT14" s="1">
        <f>$B$1*'S-coe'!AT14</f>
        <v>1.4260339772883811E-15</v>
      </c>
      <c r="AU14" s="1">
        <f>$B$1*'S-coe'!AU14</f>
        <v>1.4260339772883811E-15</v>
      </c>
      <c r="AV14" s="1">
        <f>$B$1*'S-coe'!AV14</f>
        <v>5.4685535570753866E-17</v>
      </c>
      <c r="AW14" s="1">
        <f>$B$1*'S-coe'!AW14</f>
        <v>1.0419188510570342E-15</v>
      </c>
      <c r="AX14" s="1">
        <f>$B$1*'S-coe'!AX14</f>
        <v>1.4544902011837527E-15</v>
      </c>
      <c r="AY14" s="1">
        <f>$B$1*'S-coe'!AY14</f>
        <v>5.5684870836767225E-16</v>
      </c>
      <c r="AZ14" s="1">
        <f>$B$1*'S-coe'!AZ14</f>
        <v>1.8921139844213488E-15</v>
      </c>
      <c r="BA14" s="1">
        <f>$B$1*'S-coe'!BA14</f>
        <v>8.9600845342822938E-16</v>
      </c>
      <c r="BB14" s="1">
        <f>$B$1*'S-coe'!BB14</f>
        <v>2.4262700016121811E-15</v>
      </c>
      <c r="BC14" s="1">
        <f>$B$1*'S-coe'!BC14</f>
        <v>1.4506060347106199E-16</v>
      </c>
      <c r="BD14" s="1">
        <f>$B$1*'S-coe'!BD14</f>
        <v>1.1932008997665351E-16</v>
      </c>
      <c r="BE14" s="1">
        <f>$B$1*'S-coe'!BE14</f>
        <v>6.6761766742044211E-16</v>
      </c>
      <c r="BF14" s="1">
        <f>$B$1*'S-coe'!BF14</f>
        <v>8.2415291490009736E-17</v>
      </c>
      <c r="BG14" s="1">
        <f>$B$1*'S-coe'!BG14</f>
        <v>2.2130467069703643E-16</v>
      </c>
      <c r="BH14" s="1">
        <f>$B$1*'S-coe'!BH14</f>
        <v>1.1001494068874732E-15</v>
      </c>
      <c r="BI14" s="1">
        <f>$B$1*'S-coe'!BI14</f>
        <v>3.4510307445712957E-18</v>
      </c>
      <c r="BJ14" s="1">
        <f>$B$1*'S-coe'!BJ14</f>
        <v>7.6558715678362067E-17</v>
      </c>
      <c r="BK14" s="1">
        <f>$B$1*'S-coe'!BK14</f>
        <v>4.974809565281562E-15</v>
      </c>
      <c r="BL14" s="1">
        <f>$B$1*'S-coe'!BL14</f>
        <v>0</v>
      </c>
      <c r="BM14" s="1">
        <f>$B$1*'S-coe'!BM14</f>
        <v>2.6571546970592597E-14</v>
      </c>
      <c r="BN14" s="1">
        <f>$B$1*'S-coe'!BN14</f>
        <v>4.7222696598031956E-16</v>
      </c>
      <c r="BO14" s="1">
        <f>$B$1*'S-coe'!BO14</f>
        <v>1.7027202427306545E-16</v>
      </c>
      <c r="BP14" s="1">
        <f>$B$1*'S-coe'!BP14</f>
        <v>0</v>
      </c>
      <c r="BQ14" s="1">
        <f>$B$1*'S-coe'!BQ14</f>
        <v>2.9630444841323655E-15</v>
      </c>
      <c r="BR14" s="1">
        <f>$B$1*'S-coe'!BR14</f>
        <v>1.3301603674707298E-14</v>
      </c>
      <c r="BS14" s="1">
        <f>$B$1*'S-coe'!BS14</f>
        <v>2.7210173926521434E-17</v>
      </c>
      <c r="BT14" s="1">
        <f>$B$1*'S-coe'!BT14</f>
        <v>5.3092335532625626E-18</v>
      </c>
      <c r="BU14" s="1">
        <f>$B$1*'S-coe'!BU14</f>
        <v>2.0167624614167077E-18</v>
      </c>
      <c r="BV14" s="1">
        <f>$B$1*'S-coe'!BV14</f>
        <v>4.3542259983323511E-18</v>
      </c>
      <c r="BW14" s="1">
        <f>$B$1*'S-coe'!BW14</f>
        <v>6.1634716915648648E-16</v>
      </c>
      <c r="BX14" s="1">
        <f>$B$1*'S-coe'!BX14</f>
        <v>4.3154167936145859E-15</v>
      </c>
      <c r="BY14" s="1">
        <f>$B$1*'S-coe'!BY14</f>
        <v>9.5855951603666778E-16</v>
      </c>
      <c r="BZ14" s="1">
        <f>$B$1*'S-coe'!BZ14</f>
        <v>7.6179369258514846E-14</v>
      </c>
      <c r="CA14" s="1">
        <f>$B$1*'S-coe'!CA14</f>
        <v>7.6179369258514846E-14</v>
      </c>
      <c r="CB14" s="1">
        <f>$B$1*'S-coe'!CB14</f>
        <v>1.1664862347860815E-15</v>
      </c>
      <c r="CC14" s="1">
        <f>$B$1*'S-coe'!CC14</f>
        <v>1.6642554260103821E-15</v>
      </c>
    </row>
    <row r="15" spans="2:81" x14ac:dyDescent="0.15">
      <c r="B15" t="s">
        <v>4</v>
      </c>
      <c r="C15" s="1">
        <f>$B$1*'S-coe'!C15</f>
        <v>5.96792326551757E-16</v>
      </c>
      <c r="D15" s="1">
        <f>$B$1*'S-coe'!D15</f>
        <v>5.96792326551757E-16</v>
      </c>
      <c r="E15" s="1">
        <f>$B$1*'S-coe'!E15</f>
        <v>4.8547186108094478E-16</v>
      </c>
      <c r="F15" s="1">
        <f>$B$1*'S-coe'!F15</f>
        <v>4.8547186108094478E-16</v>
      </c>
      <c r="G15" s="1">
        <f>$B$1*'S-coe'!G15</f>
        <v>6.2822058110977255E-16</v>
      </c>
      <c r="H15" s="1">
        <f>$B$1*'S-coe'!H15</f>
        <v>5.0723675140698857E-16</v>
      </c>
      <c r="I15" s="1">
        <f>$B$1*'S-coe'!I15</f>
        <v>1.9291194878055917E-14</v>
      </c>
      <c r="J15" s="1">
        <f>$B$1*'S-coe'!J15</f>
        <v>1.9291194878055917E-14</v>
      </c>
      <c r="K15" s="1">
        <f>$B$1*'S-coe'!K15</f>
        <v>1.9291194878055917E-14</v>
      </c>
      <c r="L15" s="1">
        <f>$B$1*'S-coe'!L15</f>
        <v>1.3217154051870574E-15</v>
      </c>
      <c r="M15" s="1">
        <f>$B$1*'S-coe'!M15</f>
        <v>1.0570004115807719E-15</v>
      </c>
      <c r="N15" s="1">
        <f>$B$1*'S-coe'!N15</f>
        <v>1.0570004115807719E-15</v>
      </c>
      <c r="O15" s="1">
        <f>$B$1*'S-coe'!O15</f>
        <v>2.5983210529740154E-16</v>
      </c>
      <c r="P15" s="1">
        <f>$B$1*'S-coe'!P15</f>
        <v>2.1581898217705207E-16</v>
      </c>
      <c r="Q15" s="1">
        <f>$B$1*'S-coe'!Q15</f>
        <v>2.1581898217705207E-16</v>
      </c>
      <c r="R15" s="1">
        <f>$B$1*'S-coe'!R15</f>
        <v>2.1581898217705207E-16</v>
      </c>
      <c r="S15" s="1">
        <f>$B$1*'S-coe'!S15</f>
        <v>1.4748948624641014E-16</v>
      </c>
      <c r="T15" s="1">
        <f>$B$1*'S-coe'!T15</f>
        <v>1.4299910678134813E-16</v>
      </c>
      <c r="U15" s="1">
        <f>$B$1*'S-coe'!U15</f>
        <v>1.4299910678134813E-16</v>
      </c>
      <c r="V15" s="1">
        <f>$B$1*'S-coe'!V15</f>
        <v>1.1101401735835336E-16</v>
      </c>
      <c r="W15" s="1">
        <f>$B$1*'S-coe'!W15</f>
        <v>1.0756972490024203E-16</v>
      </c>
      <c r="X15" s="1">
        <f>$B$1*'S-coe'!X15</f>
        <v>1.0756972490024203E-16</v>
      </c>
      <c r="Y15" s="1">
        <f>$B$1*'S-coe'!Y15</f>
        <v>3.1614697368031806E-17</v>
      </c>
      <c r="Z15" s="1">
        <f>$B$1*'S-coe'!Z15</f>
        <v>2.5099816101897559E-17</v>
      </c>
      <c r="AA15" s="1">
        <f>$B$1*'S-coe'!AA15</f>
        <v>2.5099816101897559E-17</v>
      </c>
      <c r="AB15" s="1">
        <f>$B$1*'S-coe'!AB15</f>
        <v>2.8074740637151549E-16</v>
      </c>
      <c r="AC15" s="1">
        <f>$B$1*'S-coe'!AC15</f>
        <v>6.9394619528152864E-16</v>
      </c>
      <c r="AD15" s="1">
        <f>$B$1*'S-coe'!AD15</f>
        <v>6.9394619528152864E-16</v>
      </c>
      <c r="AE15" s="1">
        <f>$B$1*'S-coe'!AE15</f>
        <v>6.9394619528152864E-16</v>
      </c>
      <c r="AF15" s="1">
        <f>$B$1*'S-coe'!AF15</f>
        <v>9.7229035396807409E-16</v>
      </c>
      <c r="AG15" s="1">
        <f>$B$1*'S-coe'!AG15</f>
        <v>4.7740381641876717E-12</v>
      </c>
      <c r="AH15" s="1">
        <f>$B$1*'S-coe'!AH15</f>
        <v>5.8660486782429907E-12</v>
      </c>
      <c r="AI15" s="1">
        <f>$B$1*'S-coe'!AI15</f>
        <v>4.8982155835893348E-12</v>
      </c>
      <c r="AJ15" s="1">
        <f>$B$1*'S-coe'!AJ15</f>
        <v>5.0024073165151391E-14</v>
      </c>
      <c r="AK15" s="1">
        <f>$B$1*'S-coe'!AK15</f>
        <v>1.4032279744865861E-14</v>
      </c>
      <c r="AL15" s="1">
        <f>$B$1*'S-coe'!AL15</f>
        <v>1.4032279744865861E-14</v>
      </c>
      <c r="AM15" s="1">
        <f>$B$1*'S-coe'!AM15</f>
        <v>1.3894624669157391E-14</v>
      </c>
      <c r="AN15" s="1">
        <f>$B$1*'S-coe'!AN15</f>
        <v>1.0090032528060481E-13</v>
      </c>
      <c r="AO15" s="1">
        <f>$B$1*'S-coe'!AO15</f>
        <v>1.475974608152217E-14</v>
      </c>
      <c r="AP15" s="1">
        <f>$B$1*'S-coe'!AP15</f>
        <v>1.2436647988493321E-15</v>
      </c>
      <c r="AQ15" s="1">
        <f>$B$1*'S-coe'!AQ15</f>
        <v>4.2407655921913109E-15</v>
      </c>
      <c r="AR15" s="1">
        <f>$B$1*'S-coe'!AR15</f>
        <v>9.8042575663076917E-16</v>
      </c>
      <c r="AS15" s="1">
        <f>$B$1*'S-coe'!AS15</f>
        <v>9.8042575663076917E-16</v>
      </c>
      <c r="AT15" s="1">
        <f>$B$1*'S-coe'!AT15</f>
        <v>7.7256760532956507E-16</v>
      </c>
      <c r="AU15" s="1">
        <f>$B$1*'S-coe'!AU15</f>
        <v>7.7256760532956507E-16</v>
      </c>
      <c r="AV15" s="1">
        <f>$B$1*'S-coe'!AV15</f>
        <v>1.9299236504365053E-16</v>
      </c>
      <c r="AW15" s="1">
        <f>$B$1*'S-coe'!AW15</f>
        <v>1.2245144344130798E-15</v>
      </c>
      <c r="AX15" s="1">
        <f>$B$1*'S-coe'!AX15</f>
        <v>2.2802679592398484E-15</v>
      </c>
      <c r="AY15" s="1">
        <f>$B$1*'S-coe'!AY15</f>
        <v>5.7148728070048644E-16</v>
      </c>
      <c r="AZ15" s="1">
        <f>$B$1*'S-coe'!AZ15</f>
        <v>1.5735782354039873E-16</v>
      </c>
      <c r="BA15" s="1">
        <f>$B$1*'S-coe'!BA15</f>
        <v>2.2618658465137722E-15</v>
      </c>
      <c r="BB15" s="1">
        <f>$B$1*'S-coe'!BB15</f>
        <v>2.1251869064627577E-16</v>
      </c>
      <c r="BC15" s="1">
        <f>$B$1*'S-coe'!BC15</f>
        <v>9.8579656787250051E-16</v>
      </c>
      <c r="BD15" s="1">
        <f>$B$1*'S-coe'!BD15</f>
        <v>9.7049609085633376E-16</v>
      </c>
      <c r="BE15" s="1">
        <f>$B$1*'S-coe'!BE15</f>
        <v>1.6807677809918968E-14</v>
      </c>
      <c r="BF15" s="1">
        <f>$B$1*'S-coe'!BF15</f>
        <v>5.9423511671075587E-16</v>
      </c>
      <c r="BG15" s="1">
        <f>$B$1*'S-coe'!BG15</f>
        <v>1.595384661757226E-15</v>
      </c>
      <c r="BH15" s="1">
        <f>$B$1*'S-coe'!BH15</f>
        <v>3.0422994327216418E-15</v>
      </c>
      <c r="BI15" s="1">
        <f>$B$1*'S-coe'!BI15</f>
        <v>2.3370239779461615E-17</v>
      </c>
      <c r="BJ15" s="1">
        <f>$B$1*'S-coe'!BJ15</f>
        <v>6.0089860569326962E-16</v>
      </c>
      <c r="BK15" s="1">
        <f>$B$1*'S-coe'!BK15</f>
        <v>2.6501711762297424E-16</v>
      </c>
      <c r="BL15" s="1">
        <f>$B$1*'S-coe'!BL15</f>
        <v>0</v>
      </c>
      <c r="BM15" s="1">
        <f>$B$1*'S-coe'!BM15</f>
        <v>5.7309676360494285E-16</v>
      </c>
      <c r="BN15" s="1">
        <f>$B$1*'S-coe'!BN15</f>
        <v>4.1507915522333198E-16</v>
      </c>
      <c r="BO15" s="1">
        <f>$B$1*'S-coe'!BO15</f>
        <v>1.7177828907684213E-15</v>
      </c>
      <c r="BP15" s="1">
        <f>$B$1*'S-coe'!BP15</f>
        <v>0</v>
      </c>
      <c r="BQ15" s="1">
        <f>$B$1*'S-coe'!BQ15</f>
        <v>7.9552848570776144E-15</v>
      </c>
      <c r="BR15" s="1">
        <f>$B$1*'S-coe'!BR15</f>
        <v>2.7684059756220601E-15</v>
      </c>
      <c r="BS15" s="1">
        <f>$B$1*'S-coe'!BS15</f>
        <v>2.1976731088859219E-16</v>
      </c>
      <c r="BT15" s="1">
        <f>$B$1*'S-coe'!BT15</f>
        <v>2.4259515603013651E-17</v>
      </c>
      <c r="BU15" s="1">
        <f>$B$1*'S-coe'!BU15</f>
        <v>2.6215916325624027E-17</v>
      </c>
      <c r="BV15" s="1">
        <f>$B$1*'S-coe'!BV15</f>
        <v>2.0175746467975534E-17</v>
      </c>
      <c r="BW15" s="1">
        <f>$B$1*'S-coe'!BW15</f>
        <v>5.8705502694681625E-16</v>
      </c>
      <c r="BX15" s="1">
        <f>$B$1*'S-coe'!BX15</f>
        <v>7.5197356508139331E-16</v>
      </c>
      <c r="BY15" s="1">
        <f>$B$1*'S-coe'!BY15</f>
        <v>6.4752583088004421E-16</v>
      </c>
      <c r="BZ15" s="1">
        <f>$B$1*'S-coe'!BZ15</f>
        <v>6.9394619528152864E-16</v>
      </c>
      <c r="CA15" s="1">
        <f>$B$1*'S-coe'!CA15</f>
        <v>6.9394619528152864E-16</v>
      </c>
      <c r="CB15" s="1">
        <f>$B$1*'S-coe'!CB15</f>
        <v>9.3103709882881434E-14</v>
      </c>
      <c r="CC15" s="1">
        <f>$B$1*'S-coe'!CC15</f>
        <v>5.8948138727728803E-14</v>
      </c>
    </row>
    <row r="16" spans="2:81" x14ac:dyDescent="0.15">
      <c r="B16" t="s">
        <v>5</v>
      </c>
      <c r="C16" s="1">
        <f>$B$1*'S-coe'!C16</f>
        <v>5.96792326551757E-16</v>
      </c>
      <c r="D16" s="1">
        <f>$B$1*'S-coe'!D16</f>
        <v>5.96792326551757E-16</v>
      </c>
      <c r="E16" s="1">
        <f>$B$1*'S-coe'!E16</f>
        <v>4.8547186108094478E-16</v>
      </c>
      <c r="F16" s="1">
        <f>$B$1*'S-coe'!F16</f>
        <v>4.8547186108094478E-16</v>
      </c>
      <c r="G16" s="1">
        <f>$B$1*'S-coe'!G16</f>
        <v>6.2822058110977255E-16</v>
      </c>
      <c r="H16" s="1">
        <f>$B$1*'S-coe'!H16</f>
        <v>5.0723675140698857E-16</v>
      </c>
      <c r="I16" s="1">
        <f>$B$1*'S-coe'!I16</f>
        <v>1.9291194878055917E-14</v>
      </c>
      <c r="J16" s="1">
        <f>$B$1*'S-coe'!J16</f>
        <v>1.9291194878055917E-14</v>
      </c>
      <c r="K16" s="1">
        <f>$B$1*'S-coe'!K16</f>
        <v>1.9291194878055917E-14</v>
      </c>
      <c r="L16" s="1">
        <f>$B$1*'S-coe'!L16</f>
        <v>1.3217154051870574E-15</v>
      </c>
      <c r="M16" s="1">
        <f>$B$1*'S-coe'!M16</f>
        <v>1.0570004115807719E-15</v>
      </c>
      <c r="N16" s="1">
        <f>$B$1*'S-coe'!N16</f>
        <v>1.0570004115807719E-15</v>
      </c>
      <c r="O16" s="1">
        <f>$B$1*'S-coe'!O16</f>
        <v>2.5983210529740154E-16</v>
      </c>
      <c r="P16" s="1">
        <f>$B$1*'S-coe'!P16</f>
        <v>2.1581898217705207E-16</v>
      </c>
      <c r="Q16" s="1">
        <f>$B$1*'S-coe'!Q16</f>
        <v>2.1581898217705207E-16</v>
      </c>
      <c r="R16" s="1">
        <f>$B$1*'S-coe'!R16</f>
        <v>2.1581898217705207E-16</v>
      </c>
      <c r="S16" s="1">
        <f>$B$1*'S-coe'!S16</f>
        <v>1.4748948624641014E-16</v>
      </c>
      <c r="T16" s="1">
        <f>$B$1*'S-coe'!T16</f>
        <v>1.4299910678134813E-16</v>
      </c>
      <c r="U16" s="1">
        <f>$B$1*'S-coe'!U16</f>
        <v>1.4299910678134813E-16</v>
      </c>
      <c r="V16" s="1">
        <f>$B$1*'S-coe'!V16</f>
        <v>1.1101401735835336E-16</v>
      </c>
      <c r="W16" s="1">
        <f>$B$1*'S-coe'!W16</f>
        <v>1.0756972490024203E-16</v>
      </c>
      <c r="X16" s="1">
        <f>$B$1*'S-coe'!X16</f>
        <v>1.0756972490024203E-16</v>
      </c>
      <c r="Y16" s="1">
        <f>$B$1*'S-coe'!Y16</f>
        <v>3.1614697368031806E-17</v>
      </c>
      <c r="Z16" s="1">
        <f>$B$1*'S-coe'!Z16</f>
        <v>2.5099816101897559E-17</v>
      </c>
      <c r="AA16" s="1">
        <f>$B$1*'S-coe'!AA16</f>
        <v>2.5099816101897559E-17</v>
      </c>
      <c r="AB16" s="1">
        <f>$B$1*'S-coe'!AB16</f>
        <v>2.8074740637151549E-16</v>
      </c>
      <c r="AC16" s="1">
        <f>$B$1*'S-coe'!AC16</f>
        <v>6.9394619528152864E-16</v>
      </c>
      <c r="AD16" s="1">
        <f>$B$1*'S-coe'!AD16</f>
        <v>6.9394619528152864E-16</v>
      </c>
      <c r="AE16" s="1">
        <f>$B$1*'S-coe'!AE16</f>
        <v>6.9394619528152864E-16</v>
      </c>
      <c r="AF16" s="1">
        <f>$B$1*'S-coe'!AF16</f>
        <v>9.7229035396807409E-16</v>
      </c>
      <c r="AG16" s="1">
        <f>$B$1*'S-coe'!AG16</f>
        <v>5.888104342475699E-12</v>
      </c>
      <c r="AH16" s="1">
        <f>$B$1*'S-coe'!AH16</f>
        <v>6.2059085202168084E-12</v>
      </c>
      <c r="AI16" s="1">
        <f>$B$1*'S-coe'!AI16</f>
        <v>4.4847021335154824E-12</v>
      </c>
      <c r="AJ16" s="1">
        <f>$B$1*'S-coe'!AJ16</f>
        <v>5.0024073165151391E-14</v>
      </c>
      <c r="AK16" s="1">
        <f>$B$1*'S-coe'!AK16</f>
        <v>1.4032279744865861E-14</v>
      </c>
      <c r="AL16" s="1">
        <f>$B$1*'S-coe'!AL16</f>
        <v>1.4032279744865861E-14</v>
      </c>
      <c r="AM16" s="1">
        <f>$B$1*'S-coe'!AM16</f>
        <v>1.3794572159976154E-14</v>
      </c>
      <c r="AN16" s="1">
        <f>$B$1*'S-coe'!AN16</f>
        <v>1.0090032528060481E-13</v>
      </c>
      <c r="AO16" s="1">
        <f>$B$1*'S-coe'!AO16</f>
        <v>1.475974608152217E-14</v>
      </c>
      <c r="AP16" s="1">
        <f>$B$1*'S-coe'!AP16</f>
        <v>1.2436647988493321E-15</v>
      </c>
      <c r="AQ16" s="1">
        <f>$B$1*'S-coe'!AQ16</f>
        <v>4.2407655921913109E-15</v>
      </c>
      <c r="AR16" s="1">
        <f>$B$1*'S-coe'!AR16</f>
        <v>9.8042575663076917E-16</v>
      </c>
      <c r="AS16" s="1">
        <f>$B$1*'S-coe'!AS16</f>
        <v>9.8042575663076917E-16</v>
      </c>
      <c r="AT16" s="1">
        <f>$B$1*'S-coe'!AT16</f>
        <v>7.7256760532956507E-16</v>
      </c>
      <c r="AU16" s="1">
        <f>$B$1*'S-coe'!AU16</f>
        <v>7.7256760532956507E-16</v>
      </c>
      <c r="AV16" s="1">
        <f>$B$1*'S-coe'!AV16</f>
        <v>1.9299236504365053E-16</v>
      </c>
      <c r="AW16" s="1">
        <f>$B$1*'S-coe'!AW16</f>
        <v>1.2245144344130798E-15</v>
      </c>
      <c r="AX16" s="1">
        <f>$B$1*'S-coe'!AX16</f>
        <v>2.2802679592398484E-15</v>
      </c>
      <c r="AY16" s="1">
        <f>$B$1*'S-coe'!AY16</f>
        <v>5.7148728070048644E-16</v>
      </c>
      <c r="AZ16" s="1">
        <f>$B$1*'S-coe'!AZ16</f>
        <v>1.5735782354039873E-16</v>
      </c>
      <c r="BA16" s="1">
        <f>$B$1*'S-coe'!BA16</f>
        <v>2.2618658465137722E-15</v>
      </c>
      <c r="BB16" s="1">
        <f>$B$1*'S-coe'!BB16</f>
        <v>2.1251869064627577E-16</v>
      </c>
      <c r="BC16" s="1">
        <f>$B$1*'S-coe'!BC16</f>
        <v>9.8579656787250051E-16</v>
      </c>
      <c r="BD16" s="1">
        <f>$B$1*'S-coe'!BD16</f>
        <v>9.7049609085633376E-16</v>
      </c>
      <c r="BE16" s="1">
        <f>$B$1*'S-coe'!BE16</f>
        <v>1.6807677809918968E-14</v>
      </c>
      <c r="BF16" s="1">
        <f>$B$1*'S-coe'!BF16</f>
        <v>5.9423511671075587E-16</v>
      </c>
      <c r="BG16" s="1">
        <f>$B$1*'S-coe'!BG16</f>
        <v>1.595384661757226E-15</v>
      </c>
      <c r="BH16" s="1">
        <f>$B$1*'S-coe'!BH16</f>
        <v>3.0422994327216418E-15</v>
      </c>
      <c r="BI16" s="1">
        <f>$B$1*'S-coe'!BI16</f>
        <v>2.3370239779461615E-17</v>
      </c>
      <c r="BJ16" s="1">
        <f>$B$1*'S-coe'!BJ16</f>
        <v>6.0089860569326962E-16</v>
      </c>
      <c r="BK16" s="1">
        <f>$B$1*'S-coe'!BK16</f>
        <v>2.6501711762297424E-16</v>
      </c>
      <c r="BL16" s="1">
        <f>$B$1*'S-coe'!BL16</f>
        <v>0</v>
      </c>
      <c r="BM16" s="1">
        <f>$B$1*'S-coe'!BM16</f>
        <v>5.7309676360494285E-16</v>
      </c>
      <c r="BN16" s="1">
        <f>$B$1*'S-coe'!BN16</f>
        <v>4.1507915522333198E-16</v>
      </c>
      <c r="BO16" s="1">
        <f>$B$1*'S-coe'!BO16</f>
        <v>1.7177828907684213E-15</v>
      </c>
      <c r="BP16" s="1">
        <f>$B$1*'S-coe'!BP16</f>
        <v>0</v>
      </c>
      <c r="BQ16" s="1">
        <f>$B$1*'S-coe'!BQ16</f>
        <v>7.9552848570776144E-15</v>
      </c>
      <c r="BR16" s="1">
        <f>$B$1*'S-coe'!BR16</f>
        <v>2.7684059756220601E-15</v>
      </c>
      <c r="BS16" s="1">
        <f>$B$1*'S-coe'!BS16</f>
        <v>2.1976731088859219E-16</v>
      </c>
      <c r="BT16" s="1">
        <f>$B$1*'S-coe'!BT16</f>
        <v>2.4259515603013651E-17</v>
      </c>
      <c r="BU16" s="1">
        <f>$B$1*'S-coe'!BU16</f>
        <v>2.6215916325624027E-17</v>
      </c>
      <c r="BV16" s="1">
        <f>$B$1*'S-coe'!BV16</f>
        <v>2.0175746467975534E-17</v>
      </c>
      <c r="BW16" s="1">
        <f>$B$1*'S-coe'!BW16</f>
        <v>5.8705502694681625E-16</v>
      </c>
      <c r="BX16" s="1">
        <f>$B$1*'S-coe'!BX16</f>
        <v>7.5197356508139331E-16</v>
      </c>
      <c r="BY16" s="1">
        <f>$B$1*'S-coe'!BY16</f>
        <v>6.4752583088004421E-16</v>
      </c>
      <c r="BZ16" s="1">
        <f>$B$1*'S-coe'!BZ16</f>
        <v>6.9394619528152864E-16</v>
      </c>
      <c r="CA16" s="1">
        <f>$B$1*'S-coe'!CA16</f>
        <v>6.9394619528152864E-16</v>
      </c>
      <c r="CB16" s="1">
        <f>$B$1*'S-coe'!CB16</f>
        <v>9.2418534954947766E-14</v>
      </c>
      <c r="CC16" s="1">
        <f>$B$1*'S-coe'!CC16</f>
        <v>6.442602307882437E-14</v>
      </c>
    </row>
    <row r="17" spans="2:81" x14ac:dyDescent="0.15">
      <c r="B17" t="s">
        <v>6</v>
      </c>
      <c r="C17" s="1">
        <f>$B$1*'S-coe'!C17</f>
        <v>5.927473152782844E-16</v>
      </c>
      <c r="D17" s="1">
        <f>$B$1*'S-coe'!D17</f>
        <v>5.927473152782844E-16</v>
      </c>
      <c r="E17" s="1">
        <f>$B$1*'S-coe'!E17</f>
        <v>5.1081143554568304E-16</v>
      </c>
      <c r="F17" s="1">
        <f>$B$1*'S-coe'!F17</f>
        <v>5.1081143554568304E-16</v>
      </c>
      <c r="G17" s="1">
        <f>$B$1*'S-coe'!G17</f>
        <v>6.1125125837183615E-16</v>
      </c>
      <c r="H17" s="1">
        <f>$B$1*'S-coe'!H17</f>
        <v>4.9521009242398881E-16</v>
      </c>
      <c r="I17" s="1">
        <f>$B$1*'S-coe'!I17</f>
        <v>5.5237228613051199E-15</v>
      </c>
      <c r="J17" s="1">
        <f>$B$1*'S-coe'!J17</f>
        <v>5.5237228613051199E-15</v>
      </c>
      <c r="K17" s="1">
        <f>$B$1*'S-coe'!K17</f>
        <v>5.5237228613051199E-15</v>
      </c>
      <c r="L17" s="1">
        <f>$B$1*'S-coe'!L17</f>
        <v>1.953525426052772E-15</v>
      </c>
      <c r="M17" s="1">
        <f>$B$1*'S-coe'!M17</f>
        <v>1.6368127496160864E-15</v>
      </c>
      <c r="N17" s="1">
        <f>$B$1*'S-coe'!N17</f>
        <v>1.6368127496160864E-15</v>
      </c>
      <c r="O17" s="1">
        <f>$B$1*'S-coe'!O17</f>
        <v>3.3617487371520976E-16</v>
      </c>
      <c r="P17" s="1">
        <f>$B$1*'S-coe'!P17</f>
        <v>2.733887203168604E-16</v>
      </c>
      <c r="Q17" s="1">
        <f>$B$1*'S-coe'!Q17</f>
        <v>2.733887203168604E-16</v>
      </c>
      <c r="R17" s="1">
        <f>$B$1*'S-coe'!R17</f>
        <v>2.733887203168604E-16</v>
      </c>
      <c r="S17" s="1">
        <f>$B$1*'S-coe'!S17</f>
        <v>1.7569178155954929E-16</v>
      </c>
      <c r="T17" s="1">
        <f>$B$1*'S-coe'!T17</f>
        <v>1.7772242427306131E-16</v>
      </c>
      <c r="U17" s="1">
        <f>$B$1*'S-coe'!U17</f>
        <v>1.7772242427306131E-16</v>
      </c>
      <c r="V17" s="1">
        <f>$B$1*'S-coe'!V17</f>
        <v>1.4338904901900258E-16</v>
      </c>
      <c r="W17" s="1">
        <f>$B$1*'S-coe'!W17</f>
        <v>1.3897802148103569E-16</v>
      </c>
      <c r="X17" s="1">
        <f>$B$1*'S-coe'!X17</f>
        <v>1.3897802148103569E-16</v>
      </c>
      <c r="Y17" s="1">
        <f>$B$1*'S-coe'!Y17</f>
        <v>3.8221031662557731E-17</v>
      </c>
      <c r="Z17" s="1">
        <f>$B$1*'S-coe'!Z17</f>
        <v>3.2740298219088129E-17</v>
      </c>
      <c r="AA17" s="1">
        <f>$B$1*'S-coe'!AA17</f>
        <v>3.2740298219088129E-17</v>
      </c>
      <c r="AB17" s="1">
        <f>$B$1*'S-coe'!AB17</f>
        <v>3.1242022252179807E-16</v>
      </c>
      <c r="AC17" s="1">
        <f>$B$1*'S-coe'!AC17</f>
        <v>6.2615610042067597E-16</v>
      </c>
      <c r="AD17" s="1">
        <f>$B$1*'S-coe'!AD17</f>
        <v>6.2615610042067597E-16</v>
      </c>
      <c r="AE17" s="1">
        <f>$B$1*'S-coe'!AE17</f>
        <v>6.2615610042067597E-16</v>
      </c>
      <c r="AF17" s="1">
        <f>$B$1*'S-coe'!AF17</f>
        <v>9.1987540951335181E-16</v>
      </c>
      <c r="AG17" s="1">
        <f>$B$1*'S-coe'!AG17</f>
        <v>9.943214844315238E-15</v>
      </c>
      <c r="AH17" s="1">
        <f>$B$1*'S-coe'!AH17</f>
        <v>9.943214844315238E-15</v>
      </c>
      <c r="AI17" s="1">
        <f>$B$1*'S-coe'!AI17</f>
        <v>9.943214844315238E-15</v>
      </c>
      <c r="AJ17" s="1">
        <f>$B$1*'S-coe'!AJ17</f>
        <v>7.1450532981663775E-13</v>
      </c>
      <c r="AK17" s="1">
        <f>$B$1*'S-coe'!AK17</f>
        <v>7.8695231134009772E-13</v>
      </c>
      <c r="AL17" s="1">
        <f>$B$1*'S-coe'!AL17</f>
        <v>5.9454036317936127E-13</v>
      </c>
      <c r="AM17" s="1">
        <f>$B$1*'S-coe'!AM17</f>
        <v>4.0958385377107449E-14</v>
      </c>
      <c r="AN17" s="1">
        <f>$B$1*'S-coe'!AN17</f>
        <v>7.7871789878177353E-15</v>
      </c>
      <c r="AO17" s="1">
        <f>$B$1*'S-coe'!AO17</f>
        <v>5.0465439039283606E-14</v>
      </c>
      <c r="AP17" s="1">
        <f>$B$1*'S-coe'!AP17</f>
        <v>1.5804595692271874E-15</v>
      </c>
      <c r="AQ17" s="1">
        <f>$B$1*'S-coe'!AQ17</f>
        <v>4.2407655921913109E-15</v>
      </c>
      <c r="AR17" s="1">
        <f>$B$1*'S-coe'!AR17</f>
        <v>9.320446862254822E-16</v>
      </c>
      <c r="AS17" s="1">
        <f>$B$1*'S-coe'!AS17</f>
        <v>9.320446862254822E-16</v>
      </c>
      <c r="AT17" s="1">
        <f>$B$1*'S-coe'!AT17</f>
        <v>7.3607436003276973E-16</v>
      </c>
      <c r="AU17" s="1">
        <f>$B$1*'S-coe'!AU17</f>
        <v>7.3607436003276973E-16</v>
      </c>
      <c r="AV17" s="1">
        <f>$B$1*'S-coe'!AV17</f>
        <v>2.2825516852473176E-16</v>
      </c>
      <c r="AW17" s="1">
        <f>$B$1*'S-coe'!AW17</f>
        <v>1.1334117052163866E-15</v>
      </c>
      <c r="AX17" s="1">
        <f>$B$1*'S-coe'!AX17</f>
        <v>2.0526467281508833E-15</v>
      </c>
      <c r="AY17" s="1">
        <f>$B$1*'S-coe'!AY17</f>
        <v>5.4261559093825423E-16</v>
      </c>
      <c r="AZ17" s="1">
        <f>$B$1*'S-coe'!AZ17</f>
        <v>1.5698003655181449E-16</v>
      </c>
      <c r="BA17" s="1">
        <f>$B$1*'S-coe'!BA17</f>
        <v>2.8639747786826143E-15</v>
      </c>
      <c r="BB17" s="1">
        <f>$B$1*'S-coe'!BB17</f>
        <v>2.395387831782751E-16</v>
      </c>
      <c r="BC17" s="1">
        <f>$B$1*'S-coe'!BC17</f>
        <v>1.2924261277820626E-15</v>
      </c>
      <c r="BD17" s="1">
        <f>$B$1*'S-coe'!BD17</f>
        <v>1.3001758199742803E-15</v>
      </c>
      <c r="BE17" s="1">
        <f>$B$1*'S-coe'!BE17</f>
        <v>7.0768810586441159E-15</v>
      </c>
      <c r="BF17" s="1">
        <f>$B$1*'S-coe'!BF17</f>
        <v>8.0257181056412874E-16</v>
      </c>
      <c r="BG17" s="1">
        <f>$B$1*'S-coe'!BG17</f>
        <v>2.4241206079538714E-15</v>
      </c>
      <c r="BH17" s="1">
        <f>$B$1*'S-coe'!BH17</f>
        <v>1.8414907881299237E-15</v>
      </c>
      <c r="BI17" s="1">
        <f>$B$1*'S-coe'!BI17</f>
        <v>2.9768314427503977E-17</v>
      </c>
      <c r="BJ17" s="1">
        <f>$B$1*'S-coe'!BJ17</f>
        <v>7.7186303386596268E-16</v>
      </c>
      <c r="BK17" s="1">
        <f>$B$1*'S-coe'!BK17</f>
        <v>2.5099543131167987E-16</v>
      </c>
      <c r="BL17" s="1">
        <f>$B$1*'S-coe'!BL17</f>
        <v>0</v>
      </c>
      <c r="BM17" s="1">
        <f>$B$1*'S-coe'!BM17</f>
        <v>5.7020843688742706E-16</v>
      </c>
      <c r="BN17" s="1">
        <f>$B$1*'S-coe'!BN17</f>
        <v>4.6031867528594235E-16</v>
      </c>
      <c r="BO17" s="1">
        <f>$B$1*'S-coe'!BO17</f>
        <v>2.8099114922911436E-15</v>
      </c>
      <c r="BP17" s="1">
        <f>$B$1*'S-coe'!BP17</f>
        <v>0</v>
      </c>
      <c r="BQ17" s="1">
        <f>$B$1*'S-coe'!BQ17</f>
        <v>5.7168600016208847E-15</v>
      </c>
      <c r="BR17" s="1">
        <f>$B$1*'S-coe'!BR17</f>
        <v>2.5456544503318393E-15</v>
      </c>
      <c r="BS17" s="1">
        <f>$B$1*'S-coe'!BS17</f>
        <v>2.6531846668627456E-16</v>
      </c>
      <c r="BT17" s="1">
        <f>$B$1*'S-coe'!BT17</f>
        <v>2.850963537528214E-17</v>
      </c>
      <c r="BU17" s="1">
        <f>$B$1*'S-coe'!BU17</f>
        <v>3.1197615603598097E-17</v>
      </c>
      <c r="BV17" s="1">
        <f>$B$1*'S-coe'!BV17</f>
        <v>2.9408901925417414E-17</v>
      </c>
      <c r="BW17" s="1">
        <f>$B$1*'S-coe'!BW17</f>
        <v>5.7556220261119017E-16</v>
      </c>
      <c r="BX17" s="1">
        <f>$B$1*'S-coe'!BX17</f>
        <v>7.892598971144359E-16</v>
      </c>
      <c r="BY17" s="1">
        <f>$B$1*'S-coe'!BY17</f>
        <v>7.0814683966708715E-16</v>
      </c>
      <c r="BZ17" s="1">
        <f>$B$1*'S-coe'!BZ17</f>
        <v>6.2615610042067597E-16</v>
      </c>
      <c r="CA17" s="1">
        <f>$B$1*'S-coe'!CA17</f>
        <v>6.2615610042067597E-16</v>
      </c>
      <c r="CB17" s="1">
        <f>$B$1*'S-coe'!CB17</f>
        <v>5.325764679781033E-14</v>
      </c>
      <c r="CC17" s="1">
        <f>$B$1*'S-coe'!CC17</f>
        <v>4.9330717938715491E-14</v>
      </c>
    </row>
    <row r="18" spans="2:81" x14ac:dyDescent="0.15">
      <c r="B18" t="s">
        <v>1</v>
      </c>
      <c r="C18" s="1">
        <f>$B$1*'S-coe'!C18</f>
        <v>5.927473152782844E-16</v>
      </c>
      <c r="D18" s="1">
        <f>$B$1*'S-coe'!D18</f>
        <v>5.927473152782844E-16</v>
      </c>
      <c r="E18" s="1">
        <f>$B$1*'S-coe'!E18</f>
        <v>5.1081143554568304E-16</v>
      </c>
      <c r="F18" s="1">
        <f>$B$1*'S-coe'!F18</f>
        <v>5.1081143554568304E-16</v>
      </c>
      <c r="G18" s="1">
        <f>$B$1*'S-coe'!G18</f>
        <v>6.1125125837183615E-16</v>
      </c>
      <c r="H18" s="1">
        <f>$B$1*'S-coe'!H18</f>
        <v>4.9521009242398881E-16</v>
      </c>
      <c r="I18" s="1">
        <f>$B$1*'S-coe'!I18</f>
        <v>5.5237228613051199E-15</v>
      </c>
      <c r="J18" s="1">
        <f>$B$1*'S-coe'!J18</f>
        <v>5.5237228613051199E-15</v>
      </c>
      <c r="K18" s="1">
        <f>$B$1*'S-coe'!K18</f>
        <v>5.5237228613051199E-15</v>
      </c>
      <c r="L18" s="1">
        <f>$B$1*'S-coe'!L18</f>
        <v>1.953525426052772E-15</v>
      </c>
      <c r="M18" s="1">
        <f>$B$1*'S-coe'!M18</f>
        <v>1.6368127496160864E-15</v>
      </c>
      <c r="N18" s="1">
        <f>$B$1*'S-coe'!N18</f>
        <v>1.6368127496160864E-15</v>
      </c>
      <c r="O18" s="1">
        <f>$B$1*'S-coe'!O18</f>
        <v>3.3617487371520976E-16</v>
      </c>
      <c r="P18" s="1">
        <f>$B$1*'S-coe'!P18</f>
        <v>2.733887203168604E-16</v>
      </c>
      <c r="Q18" s="1">
        <f>$B$1*'S-coe'!Q18</f>
        <v>2.733887203168604E-16</v>
      </c>
      <c r="R18" s="1">
        <f>$B$1*'S-coe'!R18</f>
        <v>2.733887203168604E-16</v>
      </c>
      <c r="S18" s="1">
        <f>$B$1*'S-coe'!S18</f>
        <v>1.7569178155954929E-16</v>
      </c>
      <c r="T18" s="1">
        <f>$B$1*'S-coe'!T18</f>
        <v>1.7772242427306131E-16</v>
      </c>
      <c r="U18" s="1">
        <f>$B$1*'S-coe'!U18</f>
        <v>1.7772242427306131E-16</v>
      </c>
      <c r="V18" s="1">
        <f>$B$1*'S-coe'!V18</f>
        <v>1.4338904901900258E-16</v>
      </c>
      <c r="W18" s="1">
        <f>$B$1*'S-coe'!W18</f>
        <v>1.3897802148103569E-16</v>
      </c>
      <c r="X18" s="1">
        <f>$B$1*'S-coe'!X18</f>
        <v>1.3897802148103569E-16</v>
      </c>
      <c r="Y18" s="1">
        <f>$B$1*'S-coe'!Y18</f>
        <v>3.8221031662557731E-17</v>
      </c>
      <c r="Z18" s="1">
        <f>$B$1*'S-coe'!Z18</f>
        <v>3.2740298219088129E-17</v>
      </c>
      <c r="AA18" s="1">
        <f>$B$1*'S-coe'!AA18</f>
        <v>3.2740298219088129E-17</v>
      </c>
      <c r="AB18" s="1">
        <f>$B$1*'S-coe'!AB18</f>
        <v>3.1242022252179807E-16</v>
      </c>
      <c r="AC18" s="1">
        <f>$B$1*'S-coe'!AC18</f>
        <v>6.2615610042067597E-16</v>
      </c>
      <c r="AD18" s="1">
        <f>$B$1*'S-coe'!AD18</f>
        <v>6.2615610042067597E-16</v>
      </c>
      <c r="AE18" s="1">
        <f>$B$1*'S-coe'!AE18</f>
        <v>6.2615610042067597E-16</v>
      </c>
      <c r="AF18" s="1">
        <f>$B$1*'S-coe'!AF18</f>
        <v>9.1987540951335181E-16</v>
      </c>
      <c r="AG18" s="1">
        <f>$B$1*'S-coe'!AG18</f>
        <v>9.943214844315238E-15</v>
      </c>
      <c r="AH18" s="1">
        <f>$B$1*'S-coe'!AH18</f>
        <v>9.943214844315238E-15</v>
      </c>
      <c r="AI18" s="1">
        <f>$B$1*'S-coe'!AI18</f>
        <v>9.943214844315238E-15</v>
      </c>
      <c r="AJ18" s="1">
        <f>$B$1*'S-coe'!AJ18</f>
        <v>5.0024073165151391E-14</v>
      </c>
      <c r="AK18" s="1">
        <f>$B$1*'S-coe'!AK18</f>
        <v>5.0024073165151391E-14</v>
      </c>
      <c r="AL18" s="1">
        <f>$B$1*'S-coe'!AL18</f>
        <v>5.0024073165151391E-14</v>
      </c>
      <c r="AM18" s="1">
        <f>$B$1*'S-coe'!AM18</f>
        <v>5.204157233700536E-14</v>
      </c>
      <c r="AN18" s="1">
        <f>$B$1*'S-coe'!AN18</f>
        <v>7.7871789878177353E-15</v>
      </c>
      <c r="AO18" s="1">
        <f>$B$1*'S-coe'!AO18</f>
        <v>5.0465439039283606E-14</v>
      </c>
      <c r="AP18" s="1">
        <f>$B$1*'S-coe'!AP18</f>
        <v>1.5804595692271874E-15</v>
      </c>
      <c r="AQ18" s="1">
        <f>$B$1*'S-coe'!AQ18</f>
        <v>8.0617603769603732E-15</v>
      </c>
      <c r="AR18" s="1">
        <f>$B$1*'S-coe'!AR18</f>
        <v>9.320446862254822E-16</v>
      </c>
      <c r="AS18" s="1">
        <f>$B$1*'S-coe'!AS18</f>
        <v>9.320446862254822E-16</v>
      </c>
      <c r="AT18" s="1">
        <f>$B$1*'S-coe'!AT18</f>
        <v>7.3607436003276973E-16</v>
      </c>
      <c r="AU18" s="1">
        <f>$B$1*'S-coe'!AU18</f>
        <v>7.3607436003276973E-16</v>
      </c>
      <c r="AV18" s="1">
        <f>$B$1*'S-coe'!AV18</f>
        <v>2.2825516852473176E-16</v>
      </c>
      <c r="AW18" s="1">
        <f>$B$1*'S-coe'!AW18</f>
        <v>1.1334117052163866E-15</v>
      </c>
      <c r="AX18" s="1">
        <f>$B$1*'S-coe'!AX18</f>
        <v>2.0526467281508833E-15</v>
      </c>
      <c r="AY18" s="1">
        <f>$B$1*'S-coe'!AY18</f>
        <v>5.4261559093825423E-16</v>
      </c>
      <c r="AZ18" s="1">
        <f>$B$1*'S-coe'!AZ18</f>
        <v>1.5698003655181449E-16</v>
      </c>
      <c r="BA18" s="1">
        <f>$B$1*'S-coe'!BA18</f>
        <v>2.8639747786826143E-15</v>
      </c>
      <c r="BB18" s="1">
        <f>$B$1*'S-coe'!BB18</f>
        <v>2.395387831782751E-16</v>
      </c>
      <c r="BC18" s="1">
        <f>$B$1*'S-coe'!BC18</f>
        <v>1.2924261277820626E-15</v>
      </c>
      <c r="BD18" s="1">
        <f>$B$1*'S-coe'!BD18</f>
        <v>1.3001758199742803E-15</v>
      </c>
      <c r="BE18" s="1">
        <f>$B$1*'S-coe'!BE18</f>
        <v>7.0768810586441159E-15</v>
      </c>
      <c r="BF18" s="1">
        <f>$B$1*'S-coe'!BF18</f>
        <v>8.0257181056412874E-16</v>
      </c>
      <c r="BG18" s="1">
        <f>$B$1*'S-coe'!BG18</f>
        <v>2.4241206079538714E-15</v>
      </c>
      <c r="BH18" s="1">
        <f>$B$1*'S-coe'!BH18</f>
        <v>1.8414907881299237E-15</v>
      </c>
      <c r="BI18" s="1">
        <f>$B$1*'S-coe'!BI18</f>
        <v>2.9768314427503977E-17</v>
      </c>
      <c r="BJ18" s="1">
        <f>$B$1*'S-coe'!BJ18</f>
        <v>7.7186303386596268E-16</v>
      </c>
      <c r="BK18" s="1">
        <f>$B$1*'S-coe'!BK18</f>
        <v>2.5099543131167987E-16</v>
      </c>
      <c r="BL18" s="1">
        <f>$B$1*'S-coe'!BL18</f>
        <v>0</v>
      </c>
      <c r="BM18" s="1">
        <f>$B$1*'S-coe'!BM18</f>
        <v>5.7020843688742706E-16</v>
      </c>
      <c r="BN18" s="1">
        <f>$B$1*'S-coe'!BN18</f>
        <v>4.6031867528594235E-16</v>
      </c>
      <c r="BO18" s="1">
        <f>$B$1*'S-coe'!BO18</f>
        <v>2.8099114922911436E-15</v>
      </c>
      <c r="BP18" s="1">
        <f>$B$1*'S-coe'!BP18</f>
        <v>0</v>
      </c>
      <c r="BQ18" s="1">
        <f>$B$1*'S-coe'!BQ18</f>
        <v>5.7168600016208847E-15</v>
      </c>
      <c r="BR18" s="1">
        <f>$B$1*'S-coe'!BR18</f>
        <v>2.5456544503318393E-15</v>
      </c>
      <c r="BS18" s="1">
        <f>$B$1*'S-coe'!BS18</f>
        <v>2.6531846668627456E-16</v>
      </c>
      <c r="BT18" s="1">
        <f>$B$1*'S-coe'!BT18</f>
        <v>2.850963537528214E-17</v>
      </c>
      <c r="BU18" s="1">
        <f>$B$1*'S-coe'!BU18</f>
        <v>3.1197615603598097E-17</v>
      </c>
      <c r="BV18" s="1">
        <f>$B$1*'S-coe'!BV18</f>
        <v>2.9408901925417414E-17</v>
      </c>
      <c r="BW18" s="1">
        <f>$B$1*'S-coe'!BW18</f>
        <v>5.7556220261119017E-16</v>
      </c>
      <c r="BX18" s="1">
        <f>$B$1*'S-coe'!BX18</f>
        <v>7.892598971144359E-16</v>
      </c>
      <c r="BY18" s="1">
        <f>$B$1*'S-coe'!BY18</f>
        <v>7.0814683966708715E-16</v>
      </c>
      <c r="BZ18" s="1">
        <f>$B$1*'S-coe'!BZ18</f>
        <v>6.2615610042067597E-16</v>
      </c>
      <c r="CA18" s="1">
        <f>$B$1*'S-coe'!CA18</f>
        <v>6.2615610042067597E-16</v>
      </c>
      <c r="CB18" s="1">
        <f>$B$1*'S-coe'!CB18</f>
        <v>5.0603931711092232E-14</v>
      </c>
      <c r="CC18" s="1">
        <f>$B$1*'S-coe'!CC18</f>
        <v>5.1100829499941741E-14</v>
      </c>
    </row>
    <row r="19" spans="2:81" x14ac:dyDescent="0.15">
      <c r="B19" t="s">
        <v>18</v>
      </c>
      <c r="C19" s="1">
        <f>$B$1*'S-coe'!C19</f>
        <v>2.4917246377025832E-15</v>
      </c>
      <c r="D19" s="1">
        <f>$B$1*'S-coe'!D19</f>
        <v>2.4916378378138014E-15</v>
      </c>
      <c r="E19" s="1">
        <f>$B$1*'S-coe'!E19</f>
        <v>1.5722824877191879E-15</v>
      </c>
      <c r="F19" s="1">
        <f>$B$1*'S-coe'!F19</f>
        <v>1.5722824877191879E-15</v>
      </c>
      <c r="G19" s="1">
        <f>$B$1*'S-coe'!G19</f>
        <v>2.6570561333359809E-15</v>
      </c>
      <c r="H19" s="1">
        <f>$B$1*'S-coe'!H19</f>
        <v>1.8643218062735942E-15</v>
      </c>
      <c r="I19" s="1">
        <f>$B$1*'S-coe'!I19</f>
        <v>3.1843431656269051E-14</v>
      </c>
      <c r="J19" s="1">
        <f>$B$1*'S-coe'!J19</f>
        <v>3.1843431656269051E-14</v>
      </c>
      <c r="K19" s="1">
        <f>$B$1*'S-coe'!K19</f>
        <v>3.1843431656269051E-14</v>
      </c>
      <c r="L19" s="1">
        <f>$B$1*'S-coe'!L19</f>
        <v>6.8186774178073328E-16</v>
      </c>
      <c r="M19" s="1">
        <f>$B$1*'S-coe'!M19</f>
        <v>5.6868051535226456E-16</v>
      </c>
      <c r="N19" s="1">
        <f>$B$1*'S-coe'!N19</f>
        <v>5.6864273415645102E-16</v>
      </c>
      <c r="O19" s="1">
        <f>$B$1*'S-coe'!O19</f>
        <v>1.4384183604134065E-16</v>
      </c>
      <c r="P19" s="1">
        <f>$B$1*'S-coe'!P19</f>
        <v>1.218133940134225E-16</v>
      </c>
      <c r="Q19" s="1">
        <f>$B$1*'S-coe'!Q19</f>
        <v>1.218133940134225E-16</v>
      </c>
      <c r="R19" s="1">
        <f>$B$1*'S-coe'!R19</f>
        <v>1.218133940134225E-16</v>
      </c>
      <c r="S19" s="1">
        <f>$B$1*'S-coe'!S19</f>
        <v>9.0129975151850105E-17</v>
      </c>
      <c r="T19" s="1">
        <f>$B$1*'S-coe'!T19</f>
        <v>8.926311063610476E-17</v>
      </c>
      <c r="U19" s="1">
        <f>$B$1*'S-coe'!U19</f>
        <v>8.9274181748526546E-17</v>
      </c>
      <c r="V19" s="1">
        <f>$B$1*'S-coe'!V19</f>
        <v>6.9612090764097555E-17</v>
      </c>
      <c r="W19" s="1">
        <f>$B$1*'S-coe'!W19</f>
        <v>5.7150302931979131E-17</v>
      </c>
      <c r="X19" s="1">
        <f>$B$1*'S-coe'!X19</f>
        <v>5.7150302931979131E-17</v>
      </c>
      <c r="Y19" s="1">
        <f>$B$1*'S-coe'!Y19</f>
        <v>1.5326222265476096E-17</v>
      </c>
      <c r="Z19" s="1">
        <f>$B$1*'S-coe'!Z19</f>
        <v>1.489908522952024E-17</v>
      </c>
      <c r="AA19" s="1">
        <f>$B$1*'S-coe'!AA19</f>
        <v>1.6751828184307184E-17</v>
      </c>
      <c r="AB19" s="1">
        <f>$B$1*'S-coe'!AB19</f>
        <v>6.910400278947653E-16</v>
      </c>
      <c r="AC19" s="1">
        <f>$B$1*'S-coe'!AC19</f>
        <v>9.0158151545075448E-15</v>
      </c>
      <c r="AD19" s="1">
        <f>$B$1*'S-coe'!AD19</f>
        <v>9.0158151545075448E-15</v>
      </c>
      <c r="AE19" s="1">
        <f>$B$1*'S-coe'!AE19</f>
        <v>9.0158151545075448E-15</v>
      </c>
      <c r="AF19" s="1">
        <f>$B$1*'S-coe'!AF19</f>
        <v>1.0014403719848932E-14</v>
      </c>
      <c r="AG19" s="1">
        <f>$B$1*'S-coe'!AG19</f>
        <v>1.6380199159331288E-13</v>
      </c>
      <c r="AH19" s="1">
        <f>$B$1*'S-coe'!AH19</f>
        <v>1.6380199159331288E-13</v>
      </c>
      <c r="AI19" s="1">
        <f>$B$1*'S-coe'!AI19</f>
        <v>1.6380199159331288E-13</v>
      </c>
      <c r="AJ19" s="1">
        <f>$B$1*'S-coe'!AJ19</f>
        <v>7.6767801747527884E-15</v>
      </c>
      <c r="AK19" s="1">
        <f>$B$1*'S-coe'!AK19</f>
        <v>7.6767801747527884E-15</v>
      </c>
      <c r="AL19" s="1">
        <f>$B$1*'S-coe'!AL19</f>
        <v>7.6767801747527884E-15</v>
      </c>
      <c r="AM19" s="1">
        <f>$B$1*'S-coe'!AM19</f>
        <v>7.6767801747527884E-15</v>
      </c>
      <c r="AN19" s="1">
        <f>$B$1*'S-coe'!AN19</f>
        <v>2.830065598690856E-12</v>
      </c>
      <c r="AO19" s="1">
        <f>$B$1*'S-coe'!AO19</f>
        <v>7.7751131045896358E-15</v>
      </c>
      <c r="AP19" s="1">
        <f>$B$1*'S-coe'!AP19</f>
        <v>7.1394001662074808E-16</v>
      </c>
      <c r="AQ19" s="1">
        <f>$B$1*'S-coe'!AQ19</f>
        <v>2.6732980366581152E-15</v>
      </c>
      <c r="AR19" s="1">
        <f>$B$1*'S-coe'!AR19</f>
        <v>1.0103660336036639E-15</v>
      </c>
      <c r="AS19" s="1">
        <f>$B$1*'S-coe'!AS19</f>
        <v>1.0103660336036639E-15</v>
      </c>
      <c r="AT19" s="1">
        <f>$B$1*'S-coe'!AT19</f>
        <v>9.2108853463511832E-16</v>
      </c>
      <c r="AU19" s="1">
        <f>$B$1*'S-coe'!AU19</f>
        <v>9.2108853463511832E-16</v>
      </c>
      <c r="AV19" s="1">
        <f>$B$1*'S-coe'!AV19</f>
        <v>1.3992686419037259E-16</v>
      </c>
      <c r="AW19" s="1">
        <f>$B$1*'S-coe'!AW19</f>
        <v>1.3151966636635653E-15</v>
      </c>
      <c r="AX19" s="1">
        <f>$B$1*'S-coe'!AX19</f>
        <v>2.245461436897112E-15</v>
      </c>
      <c r="AY19" s="1">
        <f>$B$1*'S-coe'!AY19</f>
        <v>5.8250020533334546E-16</v>
      </c>
      <c r="AZ19" s="1">
        <f>$B$1*'S-coe'!AZ19</f>
        <v>3.9425125958618183E-16</v>
      </c>
      <c r="BA19" s="1">
        <f>$B$1*'S-coe'!BA19</f>
        <v>1.8184208243784406E-15</v>
      </c>
      <c r="BB19" s="1">
        <f>$B$1*'S-coe'!BB19</f>
        <v>4.4062852010240124E-16</v>
      </c>
      <c r="BC19" s="1">
        <f>$B$1*'S-coe'!BC19</f>
        <v>6.0553655071383452E-16</v>
      </c>
      <c r="BD19" s="1">
        <f>$B$1*'S-coe'!BD19</f>
        <v>6.2010883899399798E-16</v>
      </c>
      <c r="BE19" s="1">
        <f>$B$1*'S-coe'!BE19</f>
        <v>1.0402896856959549E-14</v>
      </c>
      <c r="BF19" s="1">
        <f>$B$1*'S-coe'!BF19</f>
        <v>3.9054112741346085E-16</v>
      </c>
      <c r="BG19" s="1">
        <f>$B$1*'S-coe'!BG19</f>
        <v>9.92593205911657E-16</v>
      </c>
      <c r="BH19" s="1">
        <f>$B$1*'S-coe'!BH19</f>
        <v>3.4379877223849948E-15</v>
      </c>
      <c r="BI19" s="1">
        <f>$B$1*'S-coe'!BI19</f>
        <v>1.3821413132668921E-17</v>
      </c>
      <c r="BJ19" s="1">
        <f>$B$1*'S-coe'!BJ19</f>
        <v>3.3841608698939962E-16</v>
      </c>
      <c r="BK19" s="1">
        <f>$B$1*'S-coe'!BK19</f>
        <v>8.1115366255215732E-16</v>
      </c>
      <c r="BL19" s="1">
        <f>$B$1*'S-coe'!BL19</f>
        <v>0</v>
      </c>
      <c r="BM19" s="1">
        <f>$B$1*'S-coe'!BM19</f>
        <v>2.3788460390939048E-15</v>
      </c>
      <c r="BN19" s="1">
        <f>$B$1*'S-coe'!BN19</f>
        <v>4.3434153730830522E-16</v>
      </c>
      <c r="BO19" s="1">
        <f>$B$1*'S-coe'!BO19</f>
        <v>8.8132526332617603E-16</v>
      </c>
      <c r="BP19" s="1">
        <f>$B$1*'S-coe'!BP19</f>
        <v>0</v>
      </c>
      <c r="BQ19" s="1">
        <f>$B$1*'S-coe'!BQ19</f>
        <v>1.9570473711829924E-14</v>
      </c>
      <c r="BR19" s="1">
        <f>$B$1*'S-coe'!BR19</f>
        <v>5.4405300342472684E-14</v>
      </c>
      <c r="BS19" s="1">
        <f>$B$1*'S-coe'!BS19</f>
        <v>1.163981033134442E-16</v>
      </c>
      <c r="BT19" s="1">
        <f>$B$1*'S-coe'!BT19</f>
        <v>1.3803925086582944E-17</v>
      </c>
      <c r="BU19" s="1">
        <f>$B$1*'S-coe'!BU19</f>
        <v>8.8422461749619452E-18</v>
      </c>
      <c r="BV19" s="1">
        <f>$B$1*'S-coe'!BV19</f>
        <v>1.7060263682715196E-17</v>
      </c>
      <c r="BW19" s="1">
        <f>$B$1*'S-coe'!BW19</f>
        <v>7.0006325047122851E-16</v>
      </c>
      <c r="BX19" s="1">
        <f>$B$1*'S-coe'!BX19</f>
        <v>1.1811883605249635E-15</v>
      </c>
      <c r="BY19" s="1">
        <f>$B$1*'S-coe'!BY19</f>
        <v>7.2709365729448574E-16</v>
      </c>
      <c r="BZ19" s="1">
        <f>$B$1*'S-coe'!BZ19</f>
        <v>9.0158151545075448E-15</v>
      </c>
      <c r="CA19" s="1">
        <f>$B$1*'S-coe'!CA19</f>
        <v>9.0158151545075448E-15</v>
      </c>
      <c r="CB19" s="1">
        <f>$B$1*'S-coe'!CB19</f>
        <v>1.2881805197479093E-14</v>
      </c>
      <c r="CC19" s="1">
        <f>$B$1*'S-coe'!CC19</f>
        <v>9.2623477707996162E-15</v>
      </c>
    </row>
    <row r="20" spans="2:81" x14ac:dyDescent="0.15">
      <c r="B20" t="s">
        <v>27</v>
      </c>
      <c r="C20" s="1">
        <f>$B$1*'S-coe'!C20</f>
        <v>1.3031648270064231E-15</v>
      </c>
      <c r="D20" s="1">
        <f>$B$1*'S-coe'!D20</f>
        <v>1.3031648270064231E-15</v>
      </c>
      <c r="E20" s="1">
        <f>$B$1*'S-coe'!E20</f>
        <v>1.2540954079730407E-15</v>
      </c>
      <c r="F20" s="1">
        <f>$B$1*'S-coe'!F20</f>
        <v>1.2540954079730407E-15</v>
      </c>
      <c r="G20" s="1">
        <f>$B$1*'S-coe'!G20</f>
        <v>1.3371063045148971E-15</v>
      </c>
      <c r="H20" s="1">
        <f>$B$1*'S-coe'!H20</f>
        <v>1.3498097415131062E-15</v>
      </c>
      <c r="I20" s="1">
        <f>$B$1*'S-coe'!I20</f>
        <v>3.0294157835201859E-15</v>
      </c>
      <c r="J20" s="1">
        <f>$B$1*'S-coe'!J20</f>
        <v>3.0294157835201859E-15</v>
      </c>
      <c r="K20" s="1">
        <f>$B$1*'S-coe'!K20</f>
        <v>3.0294157835201859E-15</v>
      </c>
      <c r="L20" s="1">
        <f>$B$1*'S-coe'!L20</f>
        <v>1.1973381456757444E-15</v>
      </c>
      <c r="M20" s="1">
        <f>$B$1*'S-coe'!M20</f>
        <v>1.1753679436724094E-15</v>
      </c>
      <c r="N20" s="1">
        <f>$B$1*'S-coe'!N20</f>
        <v>1.1753679436724094E-15</v>
      </c>
      <c r="O20" s="1">
        <f>$B$1*'S-coe'!O20</f>
        <v>1.6427246507312156E-15</v>
      </c>
      <c r="P20" s="1">
        <f>$B$1*'S-coe'!P20</f>
        <v>1.8799211327184263E-15</v>
      </c>
      <c r="Q20" s="1">
        <f>$B$1*'S-coe'!Q20</f>
        <v>1.8799211327184263E-15</v>
      </c>
      <c r="R20" s="1">
        <f>$B$1*'S-coe'!R20</f>
        <v>1.8799211327184263E-15</v>
      </c>
      <c r="S20" s="1">
        <f>$B$1*'S-coe'!S20</f>
        <v>1.4281646256983224E-15</v>
      </c>
      <c r="T20" s="1">
        <f>$B$1*'S-coe'!T20</f>
        <v>1.4418634726314066E-15</v>
      </c>
      <c r="U20" s="1">
        <f>$B$1*'S-coe'!U20</f>
        <v>1.4418634726314066E-15</v>
      </c>
      <c r="V20" s="1">
        <f>$B$1*'S-coe'!V20</f>
        <v>1.3842481478266666E-15</v>
      </c>
      <c r="W20" s="1">
        <f>$B$1*'S-coe'!W20</f>
        <v>1.4165479162292325E-15</v>
      </c>
      <c r="X20" s="1">
        <f>$B$1*'S-coe'!X20</f>
        <v>1.4165479162292325E-15</v>
      </c>
      <c r="Y20" s="1">
        <f>$B$1*'S-coe'!Y20</f>
        <v>1.9029940400893119E-15</v>
      </c>
      <c r="Z20" s="1">
        <f>$B$1*'S-coe'!Z20</f>
        <v>1.734657307858939E-15</v>
      </c>
      <c r="AA20" s="1">
        <f>$B$1*'S-coe'!AA20</f>
        <v>1.734657307858939E-15</v>
      </c>
      <c r="AB20" s="1">
        <f>$B$1*'S-coe'!AB20</f>
        <v>6.2999967906469164E-16</v>
      </c>
      <c r="AC20" s="1">
        <f>$B$1*'S-coe'!AC20</f>
        <v>1.6978523469148054E-15</v>
      </c>
      <c r="AD20" s="1">
        <f>$B$1*'S-coe'!AD20</f>
        <v>1.6978523469148054E-15</v>
      </c>
      <c r="AE20" s="1">
        <f>$B$1*'S-coe'!AE20</f>
        <v>1.6978523469148054E-15</v>
      </c>
      <c r="AF20" s="1">
        <f>$B$1*'S-coe'!AF20</f>
        <v>1.5128829308803537E-15</v>
      </c>
      <c r="AG20" s="1">
        <f>$B$1*'S-coe'!AG20</f>
        <v>2.3158583956084413E-15</v>
      </c>
      <c r="AH20" s="1">
        <f>$B$1*'S-coe'!AH20</f>
        <v>2.3158583956084413E-15</v>
      </c>
      <c r="AI20" s="1">
        <f>$B$1*'S-coe'!AI20</f>
        <v>2.3158583956084413E-15</v>
      </c>
      <c r="AJ20" s="1">
        <f>$B$1*'S-coe'!AJ20</f>
        <v>2.0651380387407293E-15</v>
      </c>
      <c r="AK20" s="1">
        <f>$B$1*'S-coe'!AK20</f>
        <v>2.0651380387407293E-15</v>
      </c>
      <c r="AL20" s="1">
        <f>$B$1*'S-coe'!AL20</f>
        <v>2.0651380387407293E-15</v>
      </c>
      <c r="AM20" s="1">
        <f>$B$1*'S-coe'!AM20</f>
        <v>2.0651380387407293E-15</v>
      </c>
      <c r="AN20" s="1">
        <f>$B$1*'S-coe'!AN20</f>
        <v>2.2779464405853211E-15</v>
      </c>
      <c r="AO20" s="1">
        <f>$B$1*'S-coe'!AO20</f>
        <v>2.0528096797797362E-15</v>
      </c>
      <c r="AP20" s="1">
        <f>$B$1*'S-coe'!AP20</f>
        <v>3.0005176900607112E-15</v>
      </c>
      <c r="AQ20" s="1">
        <f>$B$1*'S-coe'!AQ20</f>
        <v>6.5391044312220024E-15</v>
      </c>
      <c r="AR20" s="1">
        <f>$B$1*'S-coe'!AR20</f>
        <v>2.3197203944184124E-15</v>
      </c>
      <c r="AS20" s="1">
        <f>$B$1*'S-coe'!AS20</f>
        <v>1.970204848879432E-15</v>
      </c>
      <c r="AT20" s="1">
        <f>$B$1*'S-coe'!AT20</f>
        <v>9.9111289328721629E-15</v>
      </c>
      <c r="AU20" s="1">
        <f>$B$1*'S-coe'!AU20</f>
        <v>8.7033960762147418E-15</v>
      </c>
      <c r="AV20" s="1">
        <f>$B$1*'S-coe'!AV20</f>
        <v>2.1448361997591292E-16</v>
      </c>
      <c r="AW20" s="1">
        <f>$B$1*'S-coe'!AW20</f>
        <v>1.1309044836324867E-14</v>
      </c>
      <c r="AX20" s="1">
        <f>$B$1*'S-coe'!AX20</f>
        <v>2.2108406635233027E-14</v>
      </c>
      <c r="AY20" s="1">
        <f>$B$1*'S-coe'!AY20</f>
        <v>7.9020913747328613E-15</v>
      </c>
      <c r="AZ20" s="1">
        <f>$B$1*'S-coe'!AZ20</f>
        <v>9.4805968587298377E-16</v>
      </c>
      <c r="BA20" s="1">
        <f>$B$1*'S-coe'!BA20</f>
        <v>8.5928435452252975E-16</v>
      </c>
      <c r="BB20" s="1">
        <f>$B$1*'S-coe'!BB20</f>
        <v>5.8111024335299465E-16</v>
      </c>
      <c r="BC20" s="1">
        <f>$B$1*'S-coe'!BC20</f>
        <v>2.1122920636272861E-15</v>
      </c>
      <c r="BD20" s="1">
        <f>$B$1*'S-coe'!BD20</f>
        <v>2.1175528527514283E-15</v>
      </c>
      <c r="BE20" s="1">
        <f>$B$1*'S-coe'!BE20</f>
        <v>1.8283182793559716E-15</v>
      </c>
      <c r="BF20" s="1">
        <f>$B$1*'S-coe'!BF20</f>
        <v>1.7084868356459129E-15</v>
      </c>
      <c r="BG20" s="1">
        <f>$B$1*'S-coe'!BG20</f>
        <v>1.5514976820926112E-15</v>
      </c>
      <c r="BH20" s="1">
        <f>$B$1*'S-coe'!BH20</f>
        <v>1.7260877224958727E-15</v>
      </c>
      <c r="BI20" s="1">
        <f>$B$1*'S-coe'!BI20</f>
        <v>1.8331685143086593E-15</v>
      </c>
      <c r="BJ20" s="1">
        <f>$B$1*'S-coe'!BJ20</f>
        <v>1.6052602421713597E-15</v>
      </c>
      <c r="BK20" s="1">
        <f>$B$1*'S-coe'!BK20</f>
        <v>1.4530003509650913E-15</v>
      </c>
      <c r="BL20" s="1">
        <f>$B$1*'S-coe'!BL20</f>
        <v>0</v>
      </c>
      <c r="BM20" s="1">
        <f>$B$1*'S-coe'!BM20</f>
        <v>1.2029528326056263E-15</v>
      </c>
      <c r="BN20" s="1">
        <f>$B$1*'S-coe'!BN20</f>
        <v>4.0743591024541721E-16</v>
      </c>
      <c r="BO20" s="1">
        <f>$B$1*'S-coe'!BO20</f>
        <v>1.5561997893841254E-15</v>
      </c>
      <c r="BP20" s="1">
        <f>$B$1*'S-coe'!BP20</f>
        <v>0</v>
      </c>
      <c r="BQ20" s="1">
        <f>$B$1*'S-coe'!BQ20</f>
        <v>2.5940496442461129E-15</v>
      </c>
      <c r="BR20" s="1">
        <f>$B$1*'S-coe'!BR20</f>
        <v>1.779144060549773E-15</v>
      </c>
      <c r="BS20" s="1">
        <f>$B$1*'S-coe'!BS20</f>
        <v>3.3230043942864952E-15</v>
      </c>
      <c r="BT20" s="1">
        <f>$B$1*'S-coe'!BT20</f>
        <v>1.6415153320676959E-15</v>
      </c>
      <c r="BU20" s="1">
        <f>$B$1*'S-coe'!BU20</f>
        <v>1.4830748243003671E-15</v>
      </c>
      <c r="BV20" s="1">
        <f>$B$1*'S-coe'!BV20</f>
        <v>1.7148038623032361E-15</v>
      </c>
      <c r="BW20" s="1">
        <f>$B$1*'S-coe'!BW20</f>
        <v>6.8089792844615756E-16</v>
      </c>
      <c r="BX20" s="1">
        <f>$B$1*'S-coe'!BX20</f>
        <v>4.5619106406593472E-15</v>
      </c>
      <c r="BY20" s="1">
        <f>$B$1*'S-coe'!BY20</f>
        <v>9.652147277270885E-16</v>
      </c>
      <c r="BZ20" s="1">
        <f>$B$1*'S-coe'!BZ20</f>
        <v>1.6978523469148054E-15</v>
      </c>
      <c r="CA20" s="1">
        <f>$B$1*'S-coe'!CA20</f>
        <v>1.6978523469148054E-15</v>
      </c>
      <c r="CB20" s="1">
        <f>$B$1*'S-coe'!CB20</f>
        <v>2.0735008372955921E-15</v>
      </c>
      <c r="CC20" s="1">
        <f>$B$1*'S-coe'!CC20</f>
        <v>2.063575463198048E-15</v>
      </c>
    </row>
    <row r="21" spans="2:81" x14ac:dyDescent="0.15">
      <c r="B21" t="s">
        <v>7</v>
      </c>
      <c r="C21" s="1">
        <f>$B$1*'S-coe'!C21</f>
        <v>1.2253948970252086E-15</v>
      </c>
      <c r="D21" s="1">
        <f>$B$1*'S-coe'!D21</f>
        <v>1.2253948970252086E-15</v>
      </c>
      <c r="E21" s="1">
        <f>$B$1*'S-coe'!E21</f>
        <v>1.2319952801259246E-15</v>
      </c>
      <c r="F21" s="1">
        <f>$B$1*'S-coe'!F21</f>
        <v>1.2319952801259246E-15</v>
      </c>
      <c r="G21" s="1">
        <f>$B$1*'S-coe'!G21</f>
        <v>1.1889072410109575E-15</v>
      </c>
      <c r="H21" s="1">
        <f>$B$1*'S-coe'!H21</f>
        <v>1.3378998588532157E-15</v>
      </c>
      <c r="I21" s="1">
        <f>$B$1*'S-coe'!I21</f>
        <v>1.1785136498006965E-15</v>
      </c>
      <c r="J21" s="1">
        <f>$B$1*'S-coe'!J21</f>
        <v>1.1785136498006965E-15</v>
      </c>
      <c r="K21" s="1">
        <f>$B$1*'S-coe'!K21</f>
        <v>1.1785136498006965E-15</v>
      </c>
      <c r="L21" s="1">
        <f>$B$1*'S-coe'!L21</f>
        <v>4.7670912171681305E-16</v>
      </c>
      <c r="M21" s="1">
        <f>$B$1*'S-coe'!M21</f>
        <v>4.7038984567293214E-16</v>
      </c>
      <c r="N21" s="1">
        <f>$B$1*'S-coe'!N21</f>
        <v>4.7038984567293214E-16</v>
      </c>
      <c r="O21" s="1">
        <f>$B$1*'S-coe'!O21</f>
        <v>7.7618768858598923E-16</v>
      </c>
      <c r="P21" s="1">
        <f>$B$1*'S-coe'!P21</f>
        <v>8.9397901234002844E-16</v>
      </c>
      <c r="Q21" s="1">
        <f>$B$1*'S-coe'!Q21</f>
        <v>8.9397901234002844E-16</v>
      </c>
      <c r="R21" s="1">
        <f>$B$1*'S-coe'!R21</f>
        <v>8.9397901234002844E-16</v>
      </c>
      <c r="S21" s="1">
        <f>$B$1*'S-coe'!S21</f>
        <v>6.9372262252121354E-16</v>
      </c>
      <c r="T21" s="1">
        <f>$B$1*'S-coe'!T21</f>
        <v>6.9959831889527256E-16</v>
      </c>
      <c r="U21" s="1">
        <f>$B$1*'S-coe'!U21</f>
        <v>6.9959831889527256E-16</v>
      </c>
      <c r="V21" s="1">
        <f>$B$1*'S-coe'!V21</f>
        <v>6.9946336851509035E-16</v>
      </c>
      <c r="W21" s="1">
        <f>$B$1*'S-coe'!W21</f>
        <v>7.2120273202289492E-16</v>
      </c>
      <c r="X21" s="1">
        <f>$B$1*'S-coe'!X21</f>
        <v>7.2120273202289492E-16</v>
      </c>
      <c r="Y21" s="1">
        <f>$B$1*'S-coe'!Y21</f>
        <v>1.070983544007741E-15</v>
      </c>
      <c r="Z21" s="1">
        <f>$B$1*'S-coe'!Z21</f>
        <v>1.0236495015302962E-15</v>
      </c>
      <c r="AA21" s="1">
        <f>$B$1*'S-coe'!AA21</f>
        <v>1.0236495015302962E-15</v>
      </c>
      <c r="AB21" s="1">
        <f>$B$1*'S-coe'!AB21</f>
        <v>8.5999776587316734E-16</v>
      </c>
      <c r="AC21" s="1">
        <f>$B$1*'S-coe'!AC21</f>
        <v>1.5167325800523526E-15</v>
      </c>
      <c r="AD21" s="1">
        <f>$B$1*'S-coe'!AD21</f>
        <v>1.5167325800523526E-15</v>
      </c>
      <c r="AE21" s="1">
        <f>$B$1*'S-coe'!AE21</f>
        <v>1.5167325800523526E-15</v>
      </c>
      <c r="AF21" s="1">
        <f>$B$1*'S-coe'!AF21</f>
        <v>1.0263632401773018E-15</v>
      </c>
      <c r="AG21" s="1">
        <f>$B$1*'S-coe'!AG21</f>
        <v>9.1925630392987621E-16</v>
      </c>
      <c r="AH21" s="1">
        <f>$B$1*'S-coe'!AH21</f>
        <v>9.1925630392987621E-16</v>
      </c>
      <c r="AI21" s="1">
        <f>$B$1*'S-coe'!AI21</f>
        <v>9.1925630392987621E-16</v>
      </c>
      <c r="AJ21" s="1">
        <f>$B$1*'S-coe'!AJ21</f>
        <v>7.8762516320231135E-16</v>
      </c>
      <c r="AK21" s="1">
        <f>$B$1*'S-coe'!AK21</f>
        <v>7.8762516320231135E-16</v>
      </c>
      <c r="AL21" s="1">
        <f>$B$1*'S-coe'!AL21</f>
        <v>7.8762516320231135E-16</v>
      </c>
      <c r="AM21" s="1">
        <f>$B$1*'S-coe'!AM21</f>
        <v>7.8762516320231135E-16</v>
      </c>
      <c r="AN21" s="1">
        <f>$B$1*'S-coe'!AN21</f>
        <v>9.2183586363521242E-16</v>
      </c>
      <c r="AO21" s="1">
        <f>$B$1*'S-coe'!AO21</f>
        <v>7.8222066304606756E-16</v>
      </c>
      <c r="AP21" s="1">
        <f>$B$1*'S-coe'!AP21</f>
        <v>1.0821732179141622E-15</v>
      </c>
      <c r="AQ21" s="1">
        <f>$B$1*'S-coe'!AQ21</f>
        <v>2.5352451863521269E-15</v>
      </c>
      <c r="AR21" s="1">
        <f>$B$1*'S-coe'!AR21</f>
        <v>4.0992772938130613E-15</v>
      </c>
      <c r="AS21" s="1">
        <f>$B$1*'S-coe'!AS21</f>
        <v>2.1560469465116687E-15</v>
      </c>
      <c r="AT21" s="1">
        <f>$B$1*'S-coe'!AT21</f>
        <v>4.6401513202597708E-14</v>
      </c>
      <c r="AU21" s="1">
        <f>$B$1*'S-coe'!AU21</f>
        <v>1.7017238956776675E-14</v>
      </c>
      <c r="AV21" s="1">
        <f>$B$1*'S-coe'!AV21</f>
        <v>1.0678008896189243E-15</v>
      </c>
      <c r="AW21" s="1">
        <f>$B$1*'S-coe'!AW21</f>
        <v>1.1847825235315176E-14</v>
      </c>
      <c r="AX21" s="1">
        <f>$B$1*'S-coe'!AX21</f>
        <v>9.3393393999379136E-15</v>
      </c>
      <c r="AY21" s="1">
        <f>$B$1*'S-coe'!AY21</f>
        <v>9.0453707483067167E-15</v>
      </c>
      <c r="AZ21" s="1">
        <f>$B$1*'S-coe'!AZ21</f>
        <v>1.6640121702031912E-15</v>
      </c>
      <c r="BA21" s="1">
        <f>$B$1*'S-coe'!BA21</f>
        <v>3.5707897445027879E-16</v>
      </c>
      <c r="BB21" s="1">
        <f>$B$1*'S-coe'!BB21</f>
        <v>8.911824991475827E-16</v>
      </c>
      <c r="BC21" s="1">
        <f>$B$1*'S-coe'!BC21</f>
        <v>7.8822563977182039E-16</v>
      </c>
      <c r="BD21" s="1">
        <f>$B$1*'S-coe'!BD21</f>
        <v>7.9164297628581906E-16</v>
      </c>
      <c r="BE21" s="1">
        <f>$B$1*'S-coe'!BE21</f>
        <v>6.8507221802322482E-16</v>
      </c>
      <c r="BF21" s="1">
        <f>$B$1*'S-coe'!BF21</f>
        <v>6.8467801766996814E-16</v>
      </c>
      <c r="BG21" s="1">
        <f>$B$1*'S-coe'!BG21</f>
        <v>5.9368725682926588E-16</v>
      </c>
      <c r="BH21" s="1">
        <f>$B$1*'S-coe'!BH21</f>
        <v>8.5950160855169E-16</v>
      </c>
      <c r="BI21" s="1">
        <f>$B$1*'S-coe'!BI21</f>
        <v>1.1839099038957949E-15</v>
      </c>
      <c r="BJ21" s="1">
        <f>$B$1*'S-coe'!BJ21</f>
        <v>6.3509855233559219E-16</v>
      </c>
      <c r="BK21" s="1">
        <f>$B$1*'S-coe'!BK21</f>
        <v>2.2858539234534717E-15</v>
      </c>
      <c r="BL21" s="1">
        <f>$B$1*'S-coe'!BL21</f>
        <v>0</v>
      </c>
      <c r="BM21" s="1">
        <f>$B$1*'S-coe'!BM21</f>
        <v>1.1542930141092647E-15</v>
      </c>
      <c r="BN21" s="1">
        <f>$B$1*'S-coe'!BN21</f>
        <v>4.6108630270639346E-16</v>
      </c>
      <c r="BO21" s="1">
        <f>$B$1*'S-coe'!BO21</f>
        <v>6.1530784431435427E-16</v>
      </c>
      <c r="BP21" s="1">
        <f>$B$1*'S-coe'!BP21</f>
        <v>0</v>
      </c>
      <c r="BQ21" s="1">
        <f>$B$1*'S-coe'!BQ21</f>
        <v>1.0308046681518271E-15</v>
      </c>
      <c r="BR21" s="1">
        <f>$B$1*'S-coe'!BR21</f>
        <v>8.648286915931493E-16</v>
      </c>
      <c r="BS21" s="1">
        <f>$B$1*'S-coe'!BS21</f>
        <v>1.4993303140421028E-15</v>
      </c>
      <c r="BT21" s="1">
        <f>$B$1*'S-coe'!BT21</f>
        <v>1.0637116665826697E-15</v>
      </c>
      <c r="BU21" s="1">
        <f>$B$1*'S-coe'!BU21</f>
        <v>9.4835557607539047E-16</v>
      </c>
      <c r="BV21" s="1">
        <f>$B$1*'S-coe'!BV21</f>
        <v>1.0846557406323573E-15</v>
      </c>
      <c r="BW21" s="1">
        <f>$B$1*'S-coe'!BW21</f>
        <v>5.7219533999558165E-16</v>
      </c>
      <c r="BX21" s="1">
        <f>$B$1*'S-coe'!BX21</f>
        <v>5.0489128800100253E-15</v>
      </c>
      <c r="BY21" s="1">
        <f>$B$1*'S-coe'!BY21</f>
        <v>7.6123160173497123E-16</v>
      </c>
      <c r="BZ21" s="1">
        <f>$B$1*'S-coe'!BZ21</f>
        <v>1.5167325800523526E-15</v>
      </c>
      <c r="CA21" s="1">
        <f>$B$1*'S-coe'!CA21</f>
        <v>1.5167325800523526E-15</v>
      </c>
      <c r="CB21" s="1">
        <f>$B$1*'S-coe'!CB21</f>
        <v>7.9205580076589802E-16</v>
      </c>
      <c r="CC21" s="1">
        <f>$B$1*'S-coe'!CC21</f>
        <v>7.9489936540353645E-16</v>
      </c>
    </row>
    <row r="22" spans="2:81" x14ac:dyDescent="0.15">
      <c r="B22" t="s">
        <v>2</v>
      </c>
      <c r="C22" s="1">
        <f>$B$1*'S-coe'!C22</f>
        <v>2.7017002193702074E-15</v>
      </c>
      <c r="D22" s="1">
        <f>$B$1*'S-coe'!D22</f>
        <v>2.7017002193702074E-15</v>
      </c>
      <c r="E22" s="1">
        <f>$B$1*'S-coe'!E22</f>
        <v>2.2637141834921861E-15</v>
      </c>
      <c r="F22" s="1">
        <f>$B$1*'S-coe'!F22</f>
        <v>2.2637141834921861E-15</v>
      </c>
      <c r="G22" s="1">
        <f>$B$1*'S-coe'!G22</f>
        <v>2.7706630269224451E-15</v>
      </c>
      <c r="H22" s="1">
        <f>$B$1*'S-coe'!H22</f>
        <v>3.9828722226460726E-15</v>
      </c>
      <c r="I22" s="1">
        <f>$B$1*'S-coe'!I22</f>
        <v>3.4544345127138318E-16</v>
      </c>
      <c r="J22" s="1">
        <f>$B$1*'S-coe'!J22</f>
        <v>3.4544345127138318E-16</v>
      </c>
      <c r="K22" s="1">
        <f>$B$1*'S-coe'!K22</f>
        <v>3.4544345127138318E-16</v>
      </c>
      <c r="L22" s="1">
        <f>$B$1*'S-coe'!L22</f>
        <v>3.4242369711579752E-17</v>
      </c>
      <c r="M22" s="1">
        <f>$B$1*'S-coe'!M22</f>
        <v>3.084574827318402E-17</v>
      </c>
      <c r="N22" s="1">
        <f>$B$1*'S-coe'!N22</f>
        <v>3.084574827318402E-17</v>
      </c>
      <c r="O22" s="1">
        <f>$B$1*'S-coe'!O22</f>
        <v>9.163067276954383E-18</v>
      </c>
      <c r="P22" s="1">
        <f>$B$1*'S-coe'!P22</f>
        <v>7.8809290525529327E-18</v>
      </c>
      <c r="Q22" s="1">
        <f>$B$1*'S-coe'!Q22</f>
        <v>7.8809290525529327E-18</v>
      </c>
      <c r="R22" s="1">
        <f>$B$1*'S-coe'!R22</f>
        <v>7.8809290525529327E-18</v>
      </c>
      <c r="S22" s="1">
        <f>$B$1*'S-coe'!S22</f>
        <v>6.3929538618662137E-18</v>
      </c>
      <c r="T22" s="1">
        <f>$B$1*'S-coe'!T22</f>
        <v>6.6705035382192939E-18</v>
      </c>
      <c r="U22" s="1">
        <f>$B$1*'S-coe'!U22</f>
        <v>6.6705035382192939E-18</v>
      </c>
      <c r="V22" s="1">
        <f>$B$1*'S-coe'!V22</f>
        <v>4.7775365817223422E-18</v>
      </c>
      <c r="W22" s="1">
        <f>$B$1*'S-coe'!W22</f>
        <v>4.7965581879171147E-18</v>
      </c>
      <c r="X22" s="1">
        <f>$B$1*'S-coe'!X22</f>
        <v>4.7965581879171147E-18</v>
      </c>
      <c r="Y22" s="1">
        <f>$B$1*'S-coe'!Y22</f>
        <v>1.2553616030764717E-18</v>
      </c>
      <c r="Z22" s="1">
        <f>$B$1*'S-coe'!Z22</f>
        <v>1.1289179373735042E-18</v>
      </c>
      <c r="AA22" s="1">
        <f>$B$1*'S-coe'!AA22</f>
        <v>1.1289179373735042E-18</v>
      </c>
      <c r="AB22" s="1">
        <f>$B$1*'S-coe'!AB22</f>
        <v>3.0110639818519722E-15</v>
      </c>
      <c r="AC22" s="1">
        <f>$B$1*'S-coe'!AC22</f>
        <v>4.4838956634590077E-15</v>
      </c>
      <c r="AD22" s="1">
        <f>$B$1*'S-coe'!AD22</f>
        <v>4.4838956634590077E-15</v>
      </c>
      <c r="AE22" s="1">
        <f>$B$1*'S-coe'!AE22</f>
        <v>4.4838956634590077E-15</v>
      </c>
      <c r="AF22" s="1">
        <f>$B$1*'S-coe'!AF22</f>
        <v>1.8706563672709229E-15</v>
      </c>
      <c r="AG22" s="1">
        <f>$B$1*'S-coe'!AG22</f>
        <v>3.4388508814584235E-16</v>
      </c>
      <c r="AH22" s="1">
        <f>$B$1*'S-coe'!AH22</f>
        <v>3.4388508814584235E-16</v>
      </c>
      <c r="AI22" s="1">
        <f>$B$1*'S-coe'!AI22</f>
        <v>3.4388508814584235E-16</v>
      </c>
      <c r="AJ22" s="1">
        <f>$B$1*'S-coe'!AJ22</f>
        <v>1.5841830257886672E-16</v>
      </c>
      <c r="AK22" s="1">
        <f>$B$1*'S-coe'!AK22</f>
        <v>1.5841830257886672E-16</v>
      </c>
      <c r="AL22" s="1">
        <f>$B$1*'S-coe'!AL22</f>
        <v>1.5841830257886672E-16</v>
      </c>
      <c r="AM22" s="1">
        <f>$B$1*'S-coe'!AM22</f>
        <v>1.5841830257886672E-16</v>
      </c>
      <c r="AN22" s="1">
        <f>$B$1*'S-coe'!AN22</f>
        <v>3.8618377415099373E-16</v>
      </c>
      <c r="AO22" s="1">
        <f>$B$1*'S-coe'!AO22</f>
        <v>1.5598202209955089E-16</v>
      </c>
      <c r="AP22" s="1">
        <f>$B$1*'S-coe'!AP22</f>
        <v>2.7856020254707242E-17</v>
      </c>
      <c r="AQ22" s="1">
        <f>$B$1*'S-coe'!AQ22</f>
        <v>7.6643603306310608E-16</v>
      </c>
      <c r="AR22" s="1">
        <f>$B$1*'S-coe'!AR22</f>
        <v>1.4059821700054266E-15</v>
      </c>
      <c r="AS22" s="1">
        <f>$B$1*'S-coe'!AS22</f>
        <v>1.4059821700054266E-15</v>
      </c>
      <c r="AT22" s="1">
        <f>$B$1*'S-coe'!AT22</f>
        <v>2.0925901853133536E-15</v>
      </c>
      <c r="AU22" s="1">
        <f>$B$1*'S-coe'!AU22</f>
        <v>2.0925901853133536E-15</v>
      </c>
      <c r="AV22" s="1">
        <f>$B$1*'S-coe'!AV22</f>
        <v>1.3625020259493626E-17</v>
      </c>
      <c r="AW22" s="1">
        <f>$B$1*'S-coe'!AW22</f>
        <v>8.2669187700021055E-16</v>
      </c>
      <c r="AX22" s="1">
        <f>$B$1*'S-coe'!AX22</f>
        <v>9.5044661924939738E-16</v>
      </c>
      <c r="AY22" s="1">
        <f>$B$1*'S-coe'!AY22</f>
        <v>6.4802099613072615E-16</v>
      </c>
      <c r="AZ22" s="1">
        <f>$B$1*'S-coe'!AZ22</f>
        <v>4.6944597549867415E-14</v>
      </c>
      <c r="BA22" s="1">
        <f>$B$1*'S-coe'!BA22</f>
        <v>1.6770474452472721E-16</v>
      </c>
      <c r="BB22" s="1">
        <f>$B$1*'S-coe'!BB22</f>
        <v>4.0057518180519188E-15</v>
      </c>
      <c r="BC22" s="1">
        <f>$B$1*'S-coe'!BC22</f>
        <v>2.7826662047970108E-17</v>
      </c>
      <c r="BD22" s="1">
        <f>$B$1*'S-coe'!BD22</f>
        <v>2.8289191430787109E-17</v>
      </c>
      <c r="BE22" s="1">
        <f>$B$1*'S-coe'!BE22</f>
        <v>1.131517238228155E-16</v>
      </c>
      <c r="BF22" s="1">
        <f>$B$1*'S-coe'!BF22</f>
        <v>1.8473950849065061E-17</v>
      </c>
      <c r="BG22" s="1">
        <f>$B$1*'S-coe'!BG22</f>
        <v>4.3582574850496723E-17</v>
      </c>
      <c r="BH22" s="1">
        <f>$B$1*'S-coe'!BH22</f>
        <v>2.1290873537523224E-16</v>
      </c>
      <c r="BI22" s="1">
        <f>$B$1*'S-coe'!BI22</f>
        <v>1.0815498805050829E-18</v>
      </c>
      <c r="BJ22" s="1">
        <f>$B$1*'S-coe'!BJ22</f>
        <v>1.8931000300815906E-17</v>
      </c>
      <c r="BK22" s="1">
        <f>$B$1*'S-coe'!BK22</f>
        <v>1.9072114844756786E-14</v>
      </c>
      <c r="BL22" s="1">
        <f>$B$1*'S-coe'!BL22</f>
        <v>0</v>
      </c>
      <c r="BM22" s="1">
        <f>$B$1*'S-coe'!BM22</f>
        <v>3.4487195317039319E-15</v>
      </c>
      <c r="BN22" s="1">
        <f>$B$1*'S-coe'!BN22</f>
        <v>3.3488369272323004E-16</v>
      </c>
      <c r="BO22" s="1">
        <f>$B$1*'S-coe'!BO22</f>
        <v>4.3400358210730627E-17</v>
      </c>
      <c r="BP22" s="1">
        <f>$B$1*'S-coe'!BP22</f>
        <v>0</v>
      </c>
      <c r="BQ22" s="1">
        <f>$B$1*'S-coe'!BQ22</f>
        <v>3.0183508833923839E-16</v>
      </c>
      <c r="BR22" s="1">
        <f>$B$1*'S-coe'!BR22</f>
        <v>6.7561321752830961E-16</v>
      </c>
      <c r="BS22" s="1">
        <f>$B$1*'S-coe'!BS22</f>
        <v>6.8302104954546462E-18</v>
      </c>
      <c r="BT22" s="1">
        <f>$B$1*'S-coe'!BT22</f>
        <v>1.1027080966865715E-18</v>
      </c>
      <c r="BU22" s="1">
        <f>$B$1*'S-coe'!BU22</f>
        <v>1.3101790578919922E-18</v>
      </c>
      <c r="BV22" s="1">
        <f>$B$1*'S-coe'!BV22</f>
        <v>1.1111328400880288E-18</v>
      </c>
      <c r="BW22" s="1">
        <f>$B$1*'S-coe'!BW22</f>
        <v>2.2971472814420346E-16</v>
      </c>
      <c r="BX22" s="1">
        <f>$B$1*'S-coe'!BX22</f>
        <v>6.7769787041189735E-16</v>
      </c>
      <c r="BY22" s="1">
        <f>$B$1*'S-coe'!BY22</f>
        <v>1.6255496872695381E-16</v>
      </c>
      <c r="BZ22" s="1">
        <f>$B$1*'S-coe'!BZ22</f>
        <v>4.4838956634590077E-15</v>
      </c>
      <c r="CA22" s="1">
        <f>$B$1*'S-coe'!CA22</f>
        <v>4.4838956634590077E-15</v>
      </c>
      <c r="CB22" s="1">
        <f>$B$1*'S-coe'!CB22</f>
        <v>1.6463150158350875E-16</v>
      </c>
      <c r="CC22" s="1">
        <f>$B$1*'S-coe'!CC22</f>
        <v>1.9801660716300664E-16</v>
      </c>
    </row>
    <row r="23" spans="2:81" x14ac:dyDescent="0.15">
      <c r="B23" t="s">
        <v>10</v>
      </c>
      <c r="C23" s="1">
        <f>$B$1*'S-coe'!C23</f>
        <v>6.7307655451537911E-15</v>
      </c>
      <c r="D23" s="1">
        <f>$B$1*'S-coe'!D23</f>
        <v>6.7300507762565004E-15</v>
      </c>
      <c r="E23" s="1">
        <f>$B$1*'S-coe'!E23</f>
        <v>7.8036910596779209E-15</v>
      </c>
      <c r="F23" s="1">
        <f>$B$1*'S-coe'!F23</f>
        <v>7.8036910596779209E-15</v>
      </c>
      <c r="G23" s="1">
        <f>$B$1*'S-coe'!G23</f>
        <v>5.4585742265814838E-15</v>
      </c>
      <c r="H23" s="1">
        <f>$B$1*'S-coe'!H23</f>
        <v>5.5485039420658384E-15</v>
      </c>
      <c r="I23" s="1">
        <f>$B$1*'S-coe'!I23</f>
        <v>3.3286824155722991E-16</v>
      </c>
      <c r="J23" s="1">
        <f>$B$1*'S-coe'!J23</f>
        <v>3.3286824155722991E-16</v>
      </c>
      <c r="K23" s="1">
        <f>$B$1*'S-coe'!K23</f>
        <v>3.3291429578026112E-16</v>
      </c>
      <c r="L23" s="1">
        <f>$B$1*'S-coe'!L23</f>
        <v>6.7069417950254692E-17</v>
      </c>
      <c r="M23" s="1">
        <f>$B$1*'S-coe'!M23</f>
        <v>4.553666119552961E-17</v>
      </c>
      <c r="N23" s="1">
        <f>$B$1*'S-coe'!N23</f>
        <v>8.0495309188427982E-17</v>
      </c>
      <c r="O23" s="1">
        <f>$B$1*'S-coe'!O23</f>
        <v>1.717824345795126E-17</v>
      </c>
      <c r="P23" s="1">
        <f>$B$1*'S-coe'!P23</f>
        <v>3.2873079562827842E-17</v>
      </c>
      <c r="Q23" s="1">
        <f>$B$1*'S-coe'!Q23</f>
        <v>3.2873079562827842E-17</v>
      </c>
      <c r="R23" s="1">
        <f>$B$1*'S-coe'!R23</f>
        <v>3.2873079562827842E-17</v>
      </c>
      <c r="S23" s="1">
        <f>$B$1*'S-coe'!S23</f>
        <v>3.3862328920305101E-17</v>
      </c>
      <c r="T23" s="1">
        <f>$B$1*'S-coe'!T23</f>
        <v>1.6039240295419925E-17</v>
      </c>
      <c r="U23" s="1">
        <f>$B$1*'S-coe'!U23</f>
        <v>1.6039240295419925E-17</v>
      </c>
      <c r="V23" s="1">
        <f>$B$1*'S-coe'!V23</f>
        <v>6.1477662507595895E-18</v>
      </c>
      <c r="W23" s="1">
        <f>$B$1*'S-coe'!W23</f>
        <v>2.593053366363266E-17</v>
      </c>
      <c r="X23" s="1">
        <f>$B$1*'S-coe'!X23</f>
        <v>1.7175212991035341E-17</v>
      </c>
      <c r="Y23" s="1">
        <f>$B$1*'S-coe'!Y23</f>
        <v>0</v>
      </c>
      <c r="Z23" s="1">
        <f>$B$1*'S-coe'!Z23</f>
        <v>0</v>
      </c>
      <c r="AA23" s="1">
        <f>$B$1*'S-coe'!AA23</f>
        <v>4.3639524559666688E-18</v>
      </c>
      <c r="AB23" s="1">
        <f>$B$1*'S-coe'!AB23</f>
        <v>2.6567011874799216E-14</v>
      </c>
      <c r="AC23" s="1">
        <f>$B$1*'S-coe'!AC23</f>
        <v>6.0432782363737297E-15</v>
      </c>
      <c r="AD23" s="1">
        <f>$B$1*'S-coe'!AD23</f>
        <v>6.0432782363737297E-15</v>
      </c>
      <c r="AE23" s="1">
        <f>$B$1*'S-coe'!AE23</f>
        <v>6.0432782363737297E-15</v>
      </c>
      <c r="AF23" s="1">
        <f>$B$1*'S-coe'!AF23</f>
        <v>2.3506345163122268E-15</v>
      </c>
      <c r="AG23" s="1">
        <f>$B$1*'S-coe'!AG23</f>
        <v>3.7424575086787883E-16</v>
      </c>
      <c r="AH23" s="1">
        <f>$B$1*'S-coe'!AH23</f>
        <v>3.7424575086787883E-16</v>
      </c>
      <c r="AI23" s="1">
        <f>$B$1*'S-coe'!AI23</f>
        <v>3.7424575086787883E-16</v>
      </c>
      <c r="AJ23" s="1">
        <f>$B$1*'S-coe'!AJ23</f>
        <v>2.3076935043968239E-16</v>
      </c>
      <c r="AK23" s="1">
        <f>$B$1*'S-coe'!AK23</f>
        <v>2.3076935043968239E-16</v>
      </c>
      <c r="AL23" s="1">
        <f>$B$1*'S-coe'!AL23</f>
        <v>2.3076935043968239E-16</v>
      </c>
      <c r="AM23" s="1">
        <f>$B$1*'S-coe'!AM23</f>
        <v>2.3076935043968239E-16</v>
      </c>
      <c r="AN23" s="1">
        <f>$B$1*'S-coe'!AN23</f>
        <v>3.8781561009208517E-16</v>
      </c>
      <c r="AO23" s="1">
        <f>$B$1*'S-coe'!AO23</f>
        <v>2.395387831782751E-16</v>
      </c>
      <c r="AP23" s="1">
        <f>$B$1*'S-coe'!AP23</f>
        <v>6.5066555583818016E-17</v>
      </c>
      <c r="AQ23" s="1">
        <f>$B$1*'S-coe'!AQ23</f>
        <v>3.3028193162956561E-16</v>
      </c>
      <c r="AR23" s="1">
        <f>$B$1*'S-coe'!AR23</f>
        <v>1.099726404741145E-15</v>
      </c>
      <c r="AS23" s="1">
        <f>$B$1*'S-coe'!AS23</f>
        <v>1.099726404741145E-15</v>
      </c>
      <c r="AT23" s="1">
        <f>$B$1*'S-coe'!AT23</f>
        <v>1.2361653585991092E-15</v>
      </c>
      <c r="AU23" s="1">
        <f>$B$1*'S-coe'!AU23</f>
        <v>1.2361653585991092E-15</v>
      </c>
      <c r="AV23" s="1">
        <f>$B$1*'S-coe'!AV23</f>
        <v>3.649764887926321E-17</v>
      </c>
      <c r="AW23" s="1">
        <f>$B$1*'S-coe'!AW23</f>
        <v>4.4938266463562133E-16</v>
      </c>
      <c r="AX23" s="1">
        <f>$B$1*'S-coe'!AX23</f>
        <v>6.5739869637428083E-16</v>
      </c>
      <c r="AY23" s="1">
        <f>$B$1*'S-coe'!AY23</f>
        <v>3.6516638069862743E-16</v>
      </c>
      <c r="AZ23" s="1">
        <f>$B$1*'S-coe'!AZ23</f>
        <v>3.6508907179806797E-15</v>
      </c>
      <c r="BA23" s="1">
        <f>$B$1*'S-coe'!BA23</f>
        <v>4.6153797995210615E-16</v>
      </c>
      <c r="BB23" s="1">
        <f>$B$1*'S-coe'!BB23</f>
        <v>8.4853265480785238E-11</v>
      </c>
      <c r="BC23" s="1">
        <f>$B$1*'S-coe'!BC23</f>
        <v>5.9085490000433393E-17</v>
      </c>
      <c r="BD23" s="1">
        <f>$B$1*'S-coe'!BD23</f>
        <v>3.8431089874045856E-17</v>
      </c>
      <c r="BE23" s="1">
        <f>$B$1*'S-coe'!BE23</f>
        <v>2.3356923015900996E-16</v>
      </c>
      <c r="BF23" s="1">
        <f>$B$1*'S-coe'!BF23</f>
        <v>4.3779398813991161E-17</v>
      </c>
      <c r="BG23" s="1">
        <f>$B$1*'S-coe'!BG23</f>
        <v>9.0158864983837351E-17</v>
      </c>
      <c r="BH23" s="1">
        <f>$B$1*'S-coe'!BH23</f>
        <v>1.8742143388446665E-16</v>
      </c>
      <c r="BI23" s="1">
        <f>$B$1*'S-coe'!BI23</f>
        <v>3.7401896718941518E-18</v>
      </c>
      <c r="BJ23" s="1">
        <f>$B$1*'S-coe'!BJ23</f>
        <v>6.0312548019244183E-17</v>
      </c>
      <c r="BK23" s="1">
        <f>$B$1*'S-coe'!BK23</f>
        <v>4.819897808490594E-15</v>
      </c>
      <c r="BL23" s="1">
        <f>$B$1*'S-coe'!BL23</f>
        <v>0</v>
      </c>
      <c r="BM23" s="1">
        <f>$B$1*'S-coe'!BM23</f>
        <v>3.0741243267744357E-15</v>
      </c>
      <c r="BN23" s="1">
        <f>$B$1*'S-coe'!BN23</f>
        <v>5.7641734506175616E-16</v>
      </c>
      <c r="BO23" s="1">
        <f>$B$1*'S-coe'!BO23</f>
        <v>7.7487922617153186E-17</v>
      </c>
      <c r="BP23" s="1">
        <f>$B$1*'S-coe'!BP23</f>
        <v>0</v>
      </c>
      <c r="BQ23" s="1">
        <f>$B$1*'S-coe'!BQ23</f>
        <v>4.5392985221469276E-16</v>
      </c>
      <c r="BR23" s="1">
        <f>$B$1*'S-coe'!BR23</f>
        <v>7.8032495339459748E-16</v>
      </c>
      <c r="BS23" s="1">
        <f>$B$1*'S-coe'!BS23</f>
        <v>2.3569593522567345E-17</v>
      </c>
      <c r="BT23" s="1">
        <f>$B$1*'S-coe'!BT23</f>
        <v>5.3933303024171785E-18</v>
      </c>
      <c r="BU23" s="1">
        <f>$B$1*'S-coe'!BU23</f>
        <v>0</v>
      </c>
      <c r="BV23" s="1">
        <f>$B$1*'S-coe'!BV23</f>
        <v>3.7642653084757973E-18</v>
      </c>
      <c r="BW23" s="1">
        <f>$B$1*'S-coe'!BW23</f>
        <v>4.1113023008752914E-16</v>
      </c>
      <c r="BX23" s="1">
        <f>$B$1*'S-coe'!BX23</f>
        <v>4.4341487131900852E-16</v>
      </c>
      <c r="BY23" s="1">
        <f>$B$1*'S-coe'!BY23</f>
        <v>1.9728908850557656E-16</v>
      </c>
      <c r="BZ23" s="1">
        <f>$B$1*'S-coe'!BZ23</f>
        <v>6.0432782363737297E-15</v>
      </c>
      <c r="CA23" s="1">
        <f>$B$1*'S-coe'!CA23</f>
        <v>6.0432782363737297E-15</v>
      </c>
      <c r="CB23" s="1">
        <f>$B$1*'S-coe'!CB23</f>
        <v>2.354816753263113E-16</v>
      </c>
      <c r="CC23" s="1">
        <f>$B$1*'S-coe'!CC23</f>
        <v>2.8291795378091511E-16</v>
      </c>
    </row>
    <row r="24" spans="2:81" x14ac:dyDescent="0.15">
      <c r="B24" t="s">
        <v>24</v>
      </c>
      <c r="C24" s="1">
        <f>$B$1*'S-coe'!C24</f>
        <v>8.6161904678202543E-15</v>
      </c>
      <c r="D24" s="1">
        <f>$B$1*'S-coe'!D24</f>
        <v>8.6161904678202543E-15</v>
      </c>
      <c r="E24" s="1">
        <f>$B$1*'S-coe'!E24</f>
        <v>6.0593204469947452E-15</v>
      </c>
      <c r="F24" s="1">
        <f>$B$1*'S-coe'!F24</f>
        <v>6.0593204469947452E-15</v>
      </c>
      <c r="G24" s="1">
        <f>$B$1*'S-coe'!G24</f>
        <v>8.8041142440964697E-15</v>
      </c>
      <c r="H24" s="1">
        <f>$B$1*'S-coe'!H24</f>
        <v>1.4102163620489818E-14</v>
      </c>
      <c r="I24" s="1">
        <f>$B$1*'S-coe'!I24</f>
        <v>6.3119335936313158E-16</v>
      </c>
      <c r="J24" s="1">
        <f>$B$1*'S-coe'!J24</f>
        <v>6.3119335936313158E-16</v>
      </c>
      <c r="K24" s="1">
        <f>$B$1*'S-coe'!K24</f>
        <v>6.3128571519071011E-16</v>
      </c>
      <c r="L24" s="1">
        <f>$B$1*'S-coe'!L24</f>
        <v>4.6010561240631135E-17</v>
      </c>
      <c r="M24" s="1">
        <f>$B$1*'S-coe'!M24</f>
        <v>3.4195744670409743E-17</v>
      </c>
      <c r="N24" s="1">
        <f>$B$1*'S-coe'!N24</f>
        <v>4.7325990430212522E-17</v>
      </c>
      <c r="O24" s="1">
        <f>$B$1*'S-coe'!O24</f>
        <v>8.8014022824940536E-18</v>
      </c>
      <c r="P24" s="1">
        <f>$B$1*'S-coe'!P24</f>
        <v>1.088406955290124E-17</v>
      </c>
      <c r="Q24" s="1">
        <f>$B$1*'S-coe'!Q24</f>
        <v>1.088406955290124E-17</v>
      </c>
      <c r="R24" s="1">
        <f>$B$1*'S-coe'!R24</f>
        <v>1.088406955290124E-17</v>
      </c>
      <c r="S24" s="1">
        <f>$B$1*'S-coe'!S24</f>
        <v>1.0796901163705895E-17</v>
      </c>
      <c r="T24" s="1">
        <f>$B$1*'S-coe'!T24</f>
        <v>5.8196396388451209E-18</v>
      </c>
      <c r="U24" s="1">
        <f>$B$1*'S-coe'!U24</f>
        <v>9.5488957897627915E-18</v>
      </c>
      <c r="V24" s="1">
        <f>$B$1*'S-coe'!V24</f>
        <v>5.11010141334633E-18</v>
      </c>
      <c r="W24" s="1">
        <f>$B$1*'S-coe'!W24</f>
        <v>1.057345987380187E-17</v>
      </c>
      <c r="X24" s="1">
        <f>$B$1*'S-coe'!X24</f>
        <v>6.8785266385266083E-18</v>
      </c>
      <c r="Y24" s="1">
        <f>$B$1*'S-coe'!Y24</f>
        <v>0</v>
      </c>
      <c r="Z24" s="1">
        <f>$B$1*'S-coe'!Z24</f>
        <v>0</v>
      </c>
      <c r="AA24" s="1">
        <f>$B$1*'S-coe'!AA24</f>
        <v>1.9671651632253126E-18</v>
      </c>
      <c r="AB24" s="1">
        <f>$B$1*'S-coe'!AB24</f>
        <v>5.1551701138699896E-15</v>
      </c>
      <c r="AC24" s="1">
        <f>$B$1*'S-coe'!AC24</f>
        <v>1.9785490495876098E-14</v>
      </c>
      <c r="AD24" s="1">
        <f>$B$1*'S-coe'!AD24</f>
        <v>1.9785490495876098E-14</v>
      </c>
      <c r="AE24" s="1">
        <f>$B$1*'S-coe'!AE24</f>
        <v>1.9785490495876098E-14</v>
      </c>
      <c r="AF24" s="1">
        <f>$B$1*'S-coe'!AF24</f>
        <v>4.9919950886157905E-15</v>
      </c>
      <c r="AG24" s="1">
        <f>$B$1*'S-coe'!AG24</f>
        <v>7.6361696386923448E-16</v>
      </c>
      <c r="AH24" s="1">
        <f>$B$1*'S-coe'!AH24</f>
        <v>7.6361696386923448E-16</v>
      </c>
      <c r="AI24" s="1">
        <f>$B$1*'S-coe'!AI24</f>
        <v>7.6361696386923448E-16</v>
      </c>
      <c r="AJ24" s="1">
        <f>$B$1*'S-coe'!AJ24</f>
        <v>2.2034153441583503E-16</v>
      </c>
      <c r="AK24" s="1">
        <f>$B$1*'S-coe'!AK24</f>
        <v>2.2034153441583503E-16</v>
      </c>
      <c r="AL24" s="1">
        <f>$B$1*'S-coe'!AL24</f>
        <v>2.2034153441583503E-16</v>
      </c>
      <c r="AM24" s="1">
        <f>$B$1*'S-coe'!AM24</f>
        <v>2.2036968394210728E-16</v>
      </c>
      <c r="AN24" s="1">
        <f>$B$1*'S-coe'!AN24</f>
        <v>8.117528602953516E-16</v>
      </c>
      <c r="AO24" s="1">
        <f>$B$1*'S-coe'!AO24</f>
        <v>2.8728640491692342E-16</v>
      </c>
      <c r="AP24" s="1">
        <f>$B$1*'S-coe'!AP24</f>
        <v>4.8853403706764504E-17</v>
      </c>
      <c r="AQ24" s="1">
        <f>$B$1*'S-coe'!AQ24</f>
        <v>4.9474310130507182E-16</v>
      </c>
      <c r="AR24" s="1">
        <f>$B$1*'S-coe'!AR24</f>
        <v>2.8249860072204456E-15</v>
      </c>
      <c r="AS24" s="1">
        <f>$B$1*'S-coe'!AS24</f>
        <v>2.8249860072204456E-15</v>
      </c>
      <c r="AT24" s="1">
        <f>$B$1*'S-coe'!AT24</f>
        <v>2.9179582456148411E-15</v>
      </c>
      <c r="AU24" s="1">
        <f>$B$1*'S-coe'!AU24</f>
        <v>2.9179582456148411E-15</v>
      </c>
      <c r="AV24" s="1">
        <f>$B$1*'S-coe'!AV24</f>
        <v>1.6135523755922346E-17</v>
      </c>
      <c r="AW24" s="1">
        <f>$B$1*'S-coe'!AW24</f>
        <v>1.0775279907361997E-15</v>
      </c>
      <c r="AX24" s="1">
        <f>$B$1*'S-coe'!AX24</f>
        <v>1.4238672701649294E-15</v>
      </c>
      <c r="AY24" s="1">
        <f>$B$1*'S-coe'!AY24</f>
        <v>8.6300835378809577E-16</v>
      </c>
      <c r="AZ24" s="1">
        <f>$B$1*'S-coe'!AZ24</f>
        <v>1.8838399462448438E-14</v>
      </c>
      <c r="BA24" s="1">
        <f>$B$1*'S-coe'!BA24</f>
        <v>2.9536755103429107E-16</v>
      </c>
      <c r="BB24" s="1">
        <f>$B$1*'S-coe'!BB24</f>
        <v>5.1714446998619322E-15</v>
      </c>
      <c r="BC24" s="1">
        <f>$B$1*'S-coe'!BC24</f>
        <v>4.6929350355444046E-17</v>
      </c>
      <c r="BD24" s="1">
        <f>$B$1*'S-coe'!BD24</f>
        <v>5.3048448403370071E-17</v>
      </c>
      <c r="BE24" s="1">
        <f>$B$1*'S-coe'!BE24</f>
        <v>1.6284477825650161E-16</v>
      </c>
      <c r="BF24" s="1">
        <f>$B$1*'S-coe'!BF24</f>
        <v>2.8608106945244477E-17</v>
      </c>
      <c r="BG24" s="1">
        <f>$B$1*'S-coe'!BG24</f>
        <v>7.0428788569812991E-17</v>
      </c>
      <c r="BH24" s="1">
        <f>$B$1*'S-coe'!BH24</f>
        <v>3.6001159050097649E-16</v>
      </c>
      <c r="BI24" s="1">
        <f>$B$1*'S-coe'!BI24</f>
        <v>1.465762483790596E-18</v>
      </c>
      <c r="BJ24" s="1">
        <f>$B$1*'S-coe'!BJ24</f>
        <v>1.32422549537249E-17</v>
      </c>
      <c r="BK24" s="1">
        <f>$B$1*'S-coe'!BK24</f>
        <v>5.7174490447851929E-11</v>
      </c>
      <c r="BL24" s="1">
        <f>$B$1*'S-coe'!BL24</f>
        <v>0</v>
      </c>
      <c r="BM24" s="1">
        <f>$B$1*'S-coe'!BM24</f>
        <v>8.0486939117520517E-15</v>
      </c>
      <c r="BN24" s="1">
        <f>$B$1*'S-coe'!BN24</f>
        <v>3.8057315088073477E-16</v>
      </c>
      <c r="BO24" s="1">
        <f>$B$1*'S-coe'!BO24</f>
        <v>6.1521009385033758E-17</v>
      </c>
      <c r="BP24" s="1">
        <f>$B$1*'S-coe'!BP24</f>
        <v>0</v>
      </c>
      <c r="BQ24" s="1">
        <f>$B$1*'S-coe'!BQ24</f>
        <v>6.5431579813439466E-16</v>
      </c>
      <c r="BR24" s="1">
        <f>$B$1*'S-coe'!BR24</f>
        <v>1.4200251570779034E-15</v>
      </c>
      <c r="BS24" s="1">
        <f>$B$1*'S-coe'!BS24</f>
        <v>9.0104801986149326E-18</v>
      </c>
      <c r="BT24" s="1">
        <f>$B$1*'S-coe'!BT24</f>
        <v>1.8864113749241544E-18</v>
      </c>
      <c r="BU24" s="1">
        <f>$B$1*'S-coe'!BU24</f>
        <v>0</v>
      </c>
      <c r="BV24" s="1">
        <f>$B$1*'S-coe'!BV24</f>
        <v>1.9189424315371447E-18</v>
      </c>
      <c r="BW24" s="1">
        <f>$B$1*'S-coe'!BW24</f>
        <v>2.9687709076079406E-16</v>
      </c>
      <c r="BX24" s="1">
        <f>$B$1*'S-coe'!BX24</f>
        <v>9.2588950155173026E-16</v>
      </c>
      <c r="BY24" s="1">
        <f>$B$1*'S-coe'!BY24</f>
        <v>2.9108898440333978E-16</v>
      </c>
      <c r="BZ24" s="1">
        <f>$B$1*'S-coe'!BZ24</f>
        <v>1.9785490495876098E-14</v>
      </c>
      <c r="CA24" s="1">
        <f>$B$1*'S-coe'!CA24</f>
        <v>1.9785490495876098E-14</v>
      </c>
      <c r="CB24" s="1">
        <f>$B$1*'S-coe'!CB24</f>
        <v>2.3844573525603441E-16</v>
      </c>
      <c r="CC24" s="1">
        <f>$B$1*'S-coe'!CC24</f>
        <v>3.9697021928009331E-16</v>
      </c>
    </row>
    <row r="25" spans="2:81" x14ac:dyDescent="0.15">
      <c r="B25" t="s">
        <v>37</v>
      </c>
      <c r="C25" s="1">
        <f>$B$1*'S-coe'!C25</f>
        <v>6.0595417206481851E-13</v>
      </c>
      <c r="D25" s="1">
        <f>$B$1*'S-coe'!D25</f>
        <v>6.0595417206481851E-13</v>
      </c>
      <c r="E25" s="1">
        <f>$B$1*'S-coe'!E25</f>
        <v>5.8152067962938687E-14</v>
      </c>
      <c r="F25" s="1">
        <f>$B$1*'S-coe'!F25</f>
        <v>5.8152067962938687E-14</v>
      </c>
      <c r="G25" s="1">
        <f>$B$1*'S-coe'!G25</f>
        <v>7.625870010518516E-13</v>
      </c>
      <c r="H25" s="1">
        <f>$B$1*'S-coe'!H25</f>
        <v>6.9125277067984818E-14</v>
      </c>
      <c r="I25" s="1">
        <f>$B$1*'S-coe'!I25</f>
        <v>2.410136081056189E-15</v>
      </c>
      <c r="J25" s="1">
        <f>$B$1*'S-coe'!J25</f>
        <v>2.410136081056189E-15</v>
      </c>
      <c r="K25" s="1">
        <f>$B$1*'S-coe'!K25</f>
        <v>2.410136081056189E-15</v>
      </c>
      <c r="L25" s="1">
        <f>$B$1*'S-coe'!L25</f>
        <v>1.2465873618627172E-16</v>
      </c>
      <c r="M25" s="1">
        <f>$B$1*'S-coe'!M25</f>
        <v>1.1363319897105088E-16</v>
      </c>
      <c r="N25" s="1">
        <f>$B$1*'S-coe'!N25</f>
        <v>1.1363319897105088E-16</v>
      </c>
      <c r="O25" s="1">
        <f>$B$1*'S-coe'!O25</f>
        <v>3.5924107564331718E-17</v>
      </c>
      <c r="P25" s="1">
        <f>$B$1*'S-coe'!P25</f>
        <v>2.858476301895651E-17</v>
      </c>
      <c r="Q25" s="1">
        <f>$B$1*'S-coe'!Q25</f>
        <v>2.858476301895651E-17</v>
      </c>
      <c r="R25" s="1">
        <f>$B$1*'S-coe'!R25</f>
        <v>2.858476301895651E-17</v>
      </c>
      <c r="S25" s="1">
        <f>$B$1*'S-coe'!S25</f>
        <v>2.4537677872994118E-17</v>
      </c>
      <c r="T25" s="1">
        <f>$B$1*'S-coe'!T25</f>
        <v>2.3734756328159999E-17</v>
      </c>
      <c r="U25" s="1">
        <f>$B$1*'S-coe'!U25</f>
        <v>2.3734756328159999E-17</v>
      </c>
      <c r="V25" s="1">
        <f>$B$1*'S-coe'!V25</f>
        <v>1.6775461487593361E-17</v>
      </c>
      <c r="W25" s="1">
        <f>$B$1*'S-coe'!W25</f>
        <v>1.6551609627519798E-17</v>
      </c>
      <c r="X25" s="1">
        <f>$B$1*'S-coe'!X25</f>
        <v>1.6551609627519798E-17</v>
      </c>
      <c r="Y25" s="1">
        <f>$B$1*'S-coe'!Y25</f>
        <v>4.7625806542876282E-18</v>
      </c>
      <c r="Z25" s="1">
        <f>$B$1*'S-coe'!Z25</f>
        <v>3.9480605405192578E-18</v>
      </c>
      <c r="AA25" s="1">
        <f>$B$1*'S-coe'!AA25</f>
        <v>3.9480605405192578E-18</v>
      </c>
      <c r="AB25" s="1">
        <f>$B$1*'S-coe'!AB25</f>
        <v>1.2465705102235311E-14</v>
      </c>
      <c r="AC25" s="1">
        <f>$B$1*'S-coe'!AC25</f>
        <v>3.8520597980270244E-14</v>
      </c>
      <c r="AD25" s="1">
        <f>$B$1*'S-coe'!AD25</f>
        <v>3.8520597980270244E-14</v>
      </c>
      <c r="AE25" s="1">
        <f>$B$1*'S-coe'!AE25</f>
        <v>3.8520597980270244E-14</v>
      </c>
      <c r="AF25" s="1">
        <f>$B$1*'S-coe'!AF25</f>
        <v>5.1113357707881314E-14</v>
      </c>
      <c r="AG25" s="1">
        <f>$B$1*'S-coe'!AG25</f>
        <v>2.3346728073785935E-15</v>
      </c>
      <c r="AH25" s="1">
        <f>$B$1*'S-coe'!AH25</f>
        <v>2.3346728073785935E-15</v>
      </c>
      <c r="AI25" s="1">
        <f>$B$1*'S-coe'!AI25</f>
        <v>2.3346728073785935E-15</v>
      </c>
      <c r="AJ25" s="1">
        <f>$B$1*'S-coe'!AJ25</f>
        <v>6.1949959078999271E-16</v>
      </c>
      <c r="AK25" s="1">
        <f>$B$1*'S-coe'!AK25</f>
        <v>6.1949959078999271E-16</v>
      </c>
      <c r="AL25" s="1">
        <f>$B$1*'S-coe'!AL25</f>
        <v>6.1949959078999271E-16</v>
      </c>
      <c r="AM25" s="1">
        <f>$B$1*'S-coe'!AM25</f>
        <v>6.1949959078999271E-16</v>
      </c>
      <c r="AN25" s="1">
        <f>$B$1*'S-coe'!AN25</f>
        <v>2.6724132225612489E-15</v>
      </c>
      <c r="AO25" s="1">
        <f>$B$1*'S-coe'!AO25</f>
        <v>6.1219283679948321E-16</v>
      </c>
      <c r="AP25" s="1">
        <f>$B$1*'S-coe'!AP25</f>
        <v>1.0533841060201479E-16</v>
      </c>
      <c r="AQ25" s="1">
        <f>$B$1*'S-coe'!AQ25</f>
        <v>9.5983224557269177E-16</v>
      </c>
      <c r="AR25" s="1">
        <f>$B$1*'S-coe'!AR25</f>
        <v>1.6289379565689143E-15</v>
      </c>
      <c r="AS25" s="1">
        <f>$B$1*'S-coe'!AS25</f>
        <v>1.6289379565689143E-15</v>
      </c>
      <c r="AT25" s="1">
        <f>$B$1*'S-coe'!AT25</f>
        <v>1.7166471580103103E-15</v>
      </c>
      <c r="AU25" s="1">
        <f>$B$1*'S-coe'!AU25</f>
        <v>1.7166471580103103E-15</v>
      </c>
      <c r="AV25" s="1">
        <f>$B$1*'S-coe'!AV25</f>
        <v>3.6616567928647423E-17</v>
      </c>
      <c r="AW25" s="1">
        <f>$B$1*'S-coe'!AW25</f>
        <v>9.8224660803323285E-16</v>
      </c>
      <c r="AX25" s="1">
        <f>$B$1*'S-coe'!AX25</f>
        <v>1.3229128707137122E-15</v>
      </c>
      <c r="AY25" s="1">
        <f>$B$1*'S-coe'!AY25</f>
        <v>6.7861810444322169E-16</v>
      </c>
      <c r="AZ25" s="1">
        <f>$B$1*'S-coe'!AZ25</f>
        <v>2.7476884111539739E-15</v>
      </c>
      <c r="BA25" s="1">
        <f>$B$1*'S-coe'!BA25</f>
        <v>7.3482163300508385E-16</v>
      </c>
      <c r="BB25" s="1">
        <f>$B$1*'S-coe'!BB25</f>
        <v>5.6592671149127566E-15</v>
      </c>
      <c r="BC25" s="1">
        <f>$B$1*'S-coe'!BC25</f>
        <v>1.1702772268629322E-16</v>
      </c>
      <c r="BD25" s="1">
        <f>$B$1*'S-coe'!BD25</f>
        <v>1.1226606328042935E-16</v>
      </c>
      <c r="BE25" s="1">
        <f>$B$1*'S-coe'!BE25</f>
        <v>5.0372935748997518E-16</v>
      </c>
      <c r="BF25" s="1">
        <f>$B$1*'S-coe'!BF25</f>
        <v>6.2316475505820522E-17</v>
      </c>
      <c r="BG25" s="1">
        <f>$B$1*'S-coe'!BG25</f>
        <v>1.6648965531698259E-16</v>
      </c>
      <c r="BH25" s="1">
        <f>$B$1*'S-coe'!BH25</f>
        <v>6.642189983983801E-16</v>
      </c>
      <c r="BI25" s="1">
        <f>$B$1*'S-coe'!BI25</f>
        <v>3.5763807440269812E-18</v>
      </c>
      <c r="BJ25" s="1">
        <f>$B$1*'S-coe'!BJ25</f>
        <v>7.7367514178970485E-17</v>
      </c>
      <c r="BK25" s="1">
        <f>$B$1*'S-coe'!BK25</f>
        <v>8.7773206624025196E-15</v>
      </c>
      <c r="BL25" s="1">
        <f>$B$1*'S-coe'!BL25</f>
        <v>0</v>
      </c>
      <c r="BM25" s="1">
        <f>$B$1*'S-coe'!BM25</f>
        <v>1.9654482197072737E-14</v>
      </c>
      <c r="BN25" s="1">
        <f>$B$1*'S-coe'!BN25</f>
        <v>4.1088654287953906E-16</v>
      </c>
      <c r="BO25" s="1">
        <f>$B$1*'S-coe'!BO25</f>
        <v>1.3486329029440369E-16</v>
      </c>
      <c r="BP25" s="1">
        <f>$B$1*'S-coe'!BP25</f>
        <v>0</v>
      </c>
      <c r="BQ25" s="1">
        <f>$B$1*'S-coe'!BQ25</f>
        <v>1.7451126754525156E-15</v>
      </c>
      <c r="BR25" s="1">
        <f>$B$1*'S-coe'!BR25</f>
        <v>4.8179975401765378E-15</v>
      </c>
      <c r="BS25" s="1">
        <f>$B$1*'S-coe'!BS25</f>
        <v>2.6562259911942653E-17</v>
      </c>
      <c r="BT25" s="1">
        <f>$B$1*'S-coe'!BT25</f>
        <v>4.0979701880171645E-18</v>
      </c>
      <c r="BU25" s="1">
        <f>$B$1*'S-coe'!BU25</f>
        <v>4.8230140499520127E-18</v>
      </c>
      <c r="BV25" s="1">
        <f>$B$1*'S-coe'!BV25</f>
        <v>3.6448837719671142E-18</v>
      </c>
      <c r="BW25" s="1">
        <f>$B$1*'S-coe'!BW25</f>
        <v>4.773640373096658E-16</v>
      </c>
      <c r="BX25" s="1">
        <f>$B$1*'S-coe'!BX25</f>
        <v>1.3652313727920786E-15</v>
      </c>
      <c r="BY25" s="1">
        <f>$B$1*'S-coe'!BY25</f>
        <v>5.2286968310272761E-16</v>
      </c>
      <c r="BZ25" s="1">
        <f>$B$1*'S-coe'!BZ25</f>
        <v>3.8520597980270244E-14</v>
      </c>
      <c r="CA25" s="1">
        <f>$B$1*'S-coe'!CA25</f>
        <v>3.8520597980270244E-14</v>
      </c>
      <c r="CB25" s="1">
        <f>$B$1*'S-coe'!CB25</f>
        <v>6.7667318652612452E-16</v>
      </c>
      <c r="CC25" s="1">
        <f>$B$1*'S-coe'!CC25</f>
        <v>9.6836599072361592E-16</v>
      </c>
    </row>
    <row r="26" spans="2:81" x14ac:dyDescent="0.15">
      <c r="B26" t="s">
        <v>38</v>
      </c>
      <c r="C26" s="1">
        <f>$B$1*'S-coe'!C26</f>
        <v>7.4444288943071885E-14</v>
      </c>
      <c r="D26" s="1">
        <f>$B$1*'S-coe'!D26</f>
        <v>7.4444288943071885E-14</v>
      </c>
      <c r="E26" s="1">
        <f>$B$1*'S-coe'!E26</f>
        <v>2.9645100204330616E-14</v>
      </c>
      <c r="F26" s="1">
        <f>$B$1*'S-coe'!F26</f>
        <v>2.9645100204330616E-14</v>
      </c>
      <c r="G26" s="1">
        <f>$B$1*'S-coe'!G26</f>
        <v>6.9294199038144626E-14</v>
      </c>
      <c r="H26" s="1">
        <f>$B$1*'S-coe'!H26</f>
        <v>1.2203735827483687E-11</v>
      </c>
      <c r="I26" s="1">
        <f>$B$1*'S-coe'!I26</f>
        <v>1.6814031493107023E-15</v>
      </c>
      <c r="J26" s="1">
        <f>$B$1*'S-coe'!J26</f>
        <v>1.6814031493107023E-15</v>
      </c>
      <c r="K26" s="1">
        <f>$B$1*'S-coe'!K26</f>
        <v>1.6814031493107023E-15</v>
      </c>
      <c r="L26" s="1">
        <f>$B$1*'S-coe'!L26</f>
        <v>9.4292773763130817E-17</v>
      </c>
      <c r="M26" s="1">
        <f>$B$1*'S-coe'!M26</f>
        <v>9.3413114859688273E-17</v>
      </c>
      <c r="N26" s="1">
        <f>$B$1*'S-coe'!N26</f>
        <v>9.3413114859688273E-17</v>
      </c>
      <c r="O26" s="1">
        <f>$B$1*'S-coe'!O26</f>
        <v>2.319101288936138E-17</v>
      </c>
      <c r="P26" s="1">
        <f>$B$1*'S-coe'!P26</f>
        <v>2.3112863444369487E-17</v>
      </c>
      <c r="Q26" s="1">
        <f>$B$1*'S-coe'!Q26</f>
        <v>2.3421022831103332E-17</v>
      </c>
      <c r="R26" s="1">
        <f>$B$1*'S-coe'!R26</f>
        <v>2.3112863444369487E-17</v>
      </c>
      <c r="S26" s="1">
        <f>$B$1*'S-coe'!S26</f>
        <v>1.7549441115622733E-17</v>
      </c>
      <c r="T26" s="1">
        <f>$B$1*'S-coe'!T26</f>
        <v>1.5706630511983112E-17</v>
      </c>
      <c r="U26" s="1">
        <f>$B$1*'S-coe'!U26</f>
        <v>1.5706979859866747E-17</v>
      </c>
      <c r="V26" s="1">
        <f>$B$1*'S-coe'!V26</f>
        <v>1.6808091310892756E-17</v>
      </c>
      <c r="W26" s="1">
        <f>$B$1*'S-coe'!W26</f>
        <v>1.2499052866875382E-17</v>
      </c>
      <c r="X26" s="1">
        <f>$B$1*'S-coe'!X26</f>
        <v>1.4002307775344577E-17</v>
      </c>
      <c r="Y26" s="1">
        <f>$B$1*'S-coe'!Y26</f>
        <v>3.5739930390960472E-19</v>
      </c>
      <c r="Z26" s="1">
        <f>$B$1*'S-coe'!Z26</f>
        <v>2.2644708348885002E-18</v>
      </c>
      <c r="AA26" s="1">
        <f>$B$1*'S-coe'!AA26</f>
        <v>2.2644708348885002E-18</v>
      </c>
      <c r="AB26" s="1">
        <f>$B$1*'S-coe'!AB26</f>
        <v>8.7480753228903532E-15</v>
      </c>
      <c r="AC26" s="1">
        <f>$B$1*'S-coe'!AC26</f>
        <v>4.4345199523176037E-14</v>
      </c>
      <c r="AD26" s="1">
        <f>$B$1*'S-coe'!AD26</f>
        <v>4.4345199523176037E-14</v>
      </c>
      <c r="AE26" s="1">
        <f>$B$1*'S-coe'!AE26</f>
        <v>4.4345199523176037E-14</v>
      </c>
      <c r="AF26" s="1">
        <f>$B$1*'S-coe'!AF26</f>
        <v>1.9163919194707499E-14</v>
      </c>
      <c r="AG26" s="1">
        <f>$B$1*'S-coe'!AG26</f>
        <v>1.6031171811967491E-15</v>
      </c>
      <c r="AH26" s="1">
        <f>$B$1*'S-coe'!AH26</f>
        <v>1.6031171811967491E-15</v>
      </c>
      <c r="AI26" s="1">
        <f>$B$1*'S-coe'!AI26</f>
        <v>1.6031171811967491E-15</v>
      </c>
      <c r="AJ26" s="1">
        <f>$B$1*'S-coe'!AJ26</f>
        <v>4.892401024392388E-16</v>
      </c>
      <c r="AK26" s="1">
        <f>$B$1*'S-coe'!AK26</f>
        <v>4.892401024392388E-16</v>
      </c>
      <c r="AL26" s="1">
        <f>$B$1*'S-coe'!AL26</f>
        <v>4.892401024392388E-16</v>
      </c>
      <c r="AM26" s="1">
        <f>$B$1*'S-coe'!AM26</f>
        <v>4.892401024392388E-16</v>
      </c>
      <c r="AN26" s="1">
        <f>$B$1*'S-coe'!AN26</f>
        <v>1.858329791993915E-15</v>
      </c>
      <c r="AO26" s="1">
        <f>$B$1*'S-coe'!AO26</f>
        <v>4.9723617718527158E-16</v>
      </c>
      <c r="AP26" s="1">
        <f>$B$1*'S-coe'!AP26</f>
        <v>7.5867178547300936E-17</v>
      </c>
      <c r="AQ26" s="1">
        <f>$B$1*'S-coe'!AQ26</f>
        <v>4.3244562733628119E-16</v>
      </c>
      <c r="AR26" s="1">
        <f>$B$1*'S-coe'!AR26</f>
        <v>1.826234369046997E-15</v>
      </c>
      <c r="AS26" s="1">
        <f>$B$1*'S-coe'!AS26</f>
        <v>1.826234369046997E-15</v>
      </c>
      <c r="AT26" s="1">
        <f>$B$1*'S-coe'!AT26</f>
        <v>1.8339359654042304E-15</v>
      </c>
      <c r="AU26" s="1">
        <f>$B$1*'S-coe'!AU26</f>
        <v>1.8339359654042304E-15</v>
      </c>
      <c r="AV26" s="1">
        <f>$B$1*'S-coe'!AV26</f>
        <v>2.8438268277335491E-17</v>
      </c>
      <c r="AW26" s="1">
        <f>$B$1*'S-coe'!AW26</f>
        <v>1.0353891341953575E-15</v>
      </c>
      <c r="AX26" s="1">
        <f>$B$1*'S-coe'!AX26</f>
        <v>1.3313350719332316E-15</v>
      </c>
      <c r="AY26" s="1">
        <f>$B$1*'S-coe'!AY26</f>
        <v>6.6604137366205159E-16</v>
      </c>
      <c r="AZ26" s="1">
        <f>$B$1*'S-coe'!AZ26</f>
        <v>3.8900180843399684E-15</v>
      </c>
      <c r="BA26" s="1">
        <f>$B$1*'S-coe'!BA26</f>
        <v>5.5821760351258823E-16</v>
      </c>
      <c r="BB26" s="1">
        <f>$B$1*'S-coe'!BB26</f>
        <v>5.8129781574015107E-15</v>
      </c>
      <c r="BC26" s="1">
        <f>$B$1*'S-coe'!BC26</f>
        <v>9.1976076380381584E-17</v>
      </c>
      <c r="BD26" s="1">
        <f>$B$1*'S-coe'!BD26</f>
        <v>9.0009446196547114E-17</v>
      </c>
      <c r="BE26" s="1">
        <f>$B$1*'S-coe'!BE26</f>
        <v>3.9926522027256776E-16</v>
      </c>
      <c r="BF26" s="1">
        <f>$B$1*'S-coe'!BF26</f>
        <v>5.3327293624142249E-17</v>
      </c>
      <c r="BG26" s="1">
        <f>$B$1*'S-coe'!BG26</f>
        <v>1.4244365538480266E-16</v>
      </c>
      <c r="BH26" s="1">
        <f>$B$1*'S-coe'!BH26</f>
        <v>6.5879446140912122E-16</v>
      </c>
      <c r="BI26" s="1">
        <f>$B$1*'S-coe'!BI26</f>
        <v>3.7914022158286585E-18</v>
      </c>
      <c r="BJ26" s="1">
        <f>$B$1*'S-coe'!BJ26</f>
        <v>5.8137993245582034E-17</v>
      </c>
      <c r="BK26" s="1">
        <f>$B$1*'S-coe'!BK26</f>
        <v>1.4197573012945575E-14</v>
      </c>
      <c r="BL26" s="1">
        <f>$B$1*'S-coe'!BL26</f>
        <v>0</v>
      </c>
      <c r="BM26" s="1">
        <f>$B$1*'S-coe'!BM26</f>
        <v>1.9035060046613888E-14</v>
      </c>
      <c r="BN26" s="1">
        <f>$B$1*'S-coe'!BN26</f>
        <v>3.6256621833530922E-16</v>
      </c>
      <c r="BO26" s="1">
        <f>$B$1*'S-coe'!BO26</f>
        <v>1.0931636378244348E-16</v>
      </c>
      <c r="BP26" s="1">
        <f>$B$1*'S-coe'!BP26</f>
        <v>0</v>
      </c>
      <c r="BQ26" s="1">
        <f>$B$1*'S-coe'!BQ26</f>
        <v>1.2017228705536969E-15</v>
      </c>
      <c r="BR26" s="1">
        <f>$B$1*'S-coe'!BR26</f>
        <v>3.3892835890889992E-15</v>
      </c>
      <c r="BS26" s="1">
        <f>$B$1*'S-coe'!BS26</f>
        <v>2.0728894386629454E-17</v>
      </c>
      <c r="BT26" s="1">
        <f>$B$1*'S-coe'!BT26</f>
        <v>3.3260396608746741E-18</v>
      </c>
      <c r="BU26" s="1">
        <f>$B$1*'S-coe'!BU26</f>
        <v>8.8283807649546524E-19</v>
      </c>
      <c r="BV26" s="1">
        <f>$B$1*'S-coe'!BV26</f>
        <v>2.1868140255255412E-18</v>
      </c>
      <c r="BW26" s="1">
        <f>$B$1*'S-coe'!BW26</f>
        <v>5.9064876152200956E-16</v>
      </c>
      <c r="BX26" s="1">
        <f>$B$1*'S-coe'!BX26</f>
        <v>1.0996655190743344E-15</v>
      </c>
      <c r="BY26" s="1">
        <f>$B$1*'S-coe'!BY26</f>
        <v>6.5908697567500913E-16</v>
      </c>
      <c r="BZ26" s="1">
        <f>$B$1*'S-coe'!BZ26</f>
        <v>4.4345199523176037E-14</v>
      </c>
      <c r="CA26" s="1">
        <f>$B$1*'S-coe'!CA26</f>
        <v>4.4345199523176037E-14</v>
      </c>
      <c r="CB26" s="1">
        <f>$B$1*'S-coe'!CB26</f>
        <v>5.2642567544433364E-16</v>
      </c>
      <c r="CC26" s="1">
        <f>$B$1*'S-coe'!CC26</f>
        <v>8.8354585919642101E-16</v>
      </c>
    </row>
    <row r="27" spans="2:81" x14ac:dyDescent="0.15">
      <c r="B27" t="s">
        <v>29</v>
      </c>
      <c r="C27" s="1">
        <f>$B$1*'S-coe'!C27</f>
        <v>1.7513538337551988E-14</v>
      </c>
      <c r="D27" s="1">
        <f>$B$1*'S-coe'!D27</f>
        <v>1.9537995886096446E-14</v>
      </c>
      <c r="E27" s="1">
        <f>$B$1*'S-coe'!E27</f>
        <v>9.720254476894332E-15</v>
      </c>
      <c r="F27" s="1">
        <f>$B$1*'S-coe'!F27</f>
        <v>9.7167350216251508E-15</v>
      </c>
      <c r="G27" s="1">
        <f>$B$1*'S-coe'!G27</f>
        <v>1.9604565826124768E-14</v>
      </c>
      <c r="H27" s="1">
        <f>$B$1*'S-coe'!H27</f>
        <v>1.9061961205212828E-14</v>
      </c>
      <c r="I27" s="1">
        <f>$B$1*'S-coe'!I27</f>
        <v>2.086897747635541E-15</v>
      </c>
      <c r="J27" s="1">
        <f>$B$1*'S-coe'!J27</f>
        <v>2.086897747635541E-15</v>
      </c>
      <c r="K27" s="1">
        <f>$B$1*'S-coe'!K27</f>
        <v>2.086897747635541E-15</v>
      </c>
      <c r="L27" s="1">
        <f>$B$1*'S-coe'!L27</f>
        <v>1.0590111029850318E-16</v>
      </c>
      <c r="M27" s="1">
        <f>$B$1*'S-coe'!M27</f>
        <v>9.2369204614487255E-17</v>
      </c>
      <c r="N27" s="1">
        <f>$B$1*'S-coe'!N27</f>
        <v>9.2367575097301188E-17</v>
      </c>
      <c r="O27" s="1">
        <f>$B$1*'S-coe'!O27</f>
        <v>2.8025501370440201E-17</v>
      </c>
      <c r="P27" s="1">
        <f>$B$1*'S-coe'!P27</f>
        <v>2.2730735992478682E-17</v>
      </c>
      <c r="Q27" s="1">
        <f>$B$1*'S-coe'!Q27</f>
        <v>2.2730735992478682E-17</v>
      </c>
      <c r="R27" s="1">
        <f>$B$1*'S-coe'!R27</f>
        <v>2.2730735992478682E-17</v>
      </c>
      <c r="S27" s="1">
        <f>$B$1*'S-coe'!S27</f>
        <v>1.8154753752891194E-17</v>
      </c>
      <c r="T27" s="1">
        <f>$B$1*'S-coe'!T27</f>
        <v>1.82532416360237E-17</v>
      </c>
      <c r="U27" s="1">
        <f>$B$1*'S-coe'!U27</f>
        <v>1.825474734937581E-17</v>
      </c>
      <c r="V27" s="1">
        <f>$B$1*'S-coe'!V27</f>
        <v>1.3881718125572817E-17</v>
      </c>
      <c r="W27" s="1">
        <f>$B$1*'S-coe'!W27</f>
        <v>1.224447601912287E-17</v>
      </c>
      <c r="X27" s="1">
        <f>$B$1*'S-coe'!X27</f>
        <v>1.224447601912287E-17</v>
      </c>
      <c r="Y27" s="1">
        <f>$B$1*'S-coe'!Y27</f>
        <v>3.5497653023265041E-18</v>
      </c>
      <c r="Z27" s="1">
        <f>$B$1*'S-coe'!Z27</f>
        <v>3.2822980755668054E-18</v>
      </c>
      <c r="AA27" s="1">
        <f>$B$1*'S-coe'!AA27</f>
        <v>3.6944759958209223E-18</v>
      </c>
      <c r="AB27" s="1">
        <f>$B$1*'S-coe'!AB27</f>
        <v>3.5493076636135976E-15</v>
      </c>
      <c r="AC27" s="1">
        <f>$B$1*'S-coe'!AC27</f>
        <v>1.6894134197729559E-14</v>
      </c>
      <c r="AD27" s="1">
        <f>$B$1*'S-coe'!AD27</f>
        <v>1.6894134197729559E-14</v>
      </c>
      <c r="AE27" s="1">
        <f>$B$1*'S-coe'!AE27</f>
        <v>1.6894134197729559E-14</v>
      </c>
      <c r="AF27" s="1">
        <f>$B$1*'S-coe'!AF27</f>
        <v>2.6777461183553232E-14</v>
      </c>
      <c r="AG27" s="1">
        <f>$B$1*'S-coe'!AG27</f>
        <v>1.94484411624794E-15</v>
      </c>
      <c r="AH27" s="1">
        <f>$B$1*'S-coe'!AH27</f>
        <v>1.94484411624794E-15</v>
      </c>
      <c r="AI27" s="1">
        <f>$B$1*'S-coe'!AI27</f>
        <v>1.94484411624794E-15</v>
      </c>
      <c r="AJ27" s="1">
        <f>$B$1*'S-coe'!AJ27</f>
        <v>5.7811584559601732E-16</v>
      </c>
      <c r="AK27" s="1">
        <f>$B$1*'S-coe'!AK27</f>
        <v>5.7811584559601732E-16</v>
      </c>
      <c r="AL27" s="1">
        <f>$B$1*'S-coe'!AL27</f>
        <v>5.7811584559601732E-16</v>
      </c>
      <c r="AM27" s="1">
        <f>$B$1*'S-coe'!AM27</f>
        <v>5.7811584559601732E-16</v>
      </c>
      <c r="AN27" s="1">
        <f>$B$1*'S-coe'!AN27</f>
        <v>2.3207143801207113E-15</v>
      </c>
      <c r="AO27" s="1">
        <f>$B$1*'S-coe'!AO27</f>
        <v>5.5841779571740787E-16</v>
      </c>
      <c r="AP27" s="1">
        <f>$B$1*'S-coe'!AP27</f>
        <v>8.3914014969480237E-17</v>
      </c>
      <c r="AQ27" s="1">
        <f>$B$1*'S-coe'!AQ27</f>
        <v>4.3575032648580603E-16</v>
      </c>
      <c r="AR27" s="1">
        <f>$B$1*'S-coe'!AR27</f>
        <v>1.489285269749728E-15</v>
      </c>
      <c r="AS27" s="1">
        <f>$B$1*'S-coe'!AS27</f>
        <v>1.489285269749728E-15</v>
      </c>
      <c r="AT27" s="1">
        <f>$B$1*'S-coe'!AT27</f>
        <v>1.548389922441241E-15</v>
      </c>
      <c r="AU27" s="1">
        <f>$B$1*'S-coe'!AU27</f>
        <v>1.548389922441241E-15</v>
      </c>
      <c r="AV27" s="1">
        <f>$B$1*'S-coe'!AV27</f>
        <v>3.6123703793924633E-17</v>
      </c>
      <c r="AW27" s="1">
        <f>$B$1*'S-coe'!AW27</f>
        <v>8.6876592820477224E-16</v>
      </c>
      <c r="AX27" s="1">
        <f>$B$1*'S-coe'!AX27</f>
        <v>1.1911271803743616E-15</v>
      </c>
      <c r="AY27" s="1">
        <f>$B$1*'S-coe'!AY27</f>
        <v>5.8864441545460883E-16</v>
      </c>
      <c r="AZ27" s="1">
        <f>$B$1*'S-coe'!AZ27</f>
        <v>3.4217434044047165E-15</v>
      </c>
      <c r="BA27" s="1">
        <f>$B$1*'S-coe'!BA27</f>
        <v>5.8073627675810257E-16</v>
      </c>
      <c r="BB27" s="1">
        <f>$B$1*'S-coe'!BB27</f>
        <v>2.9402349700375209E-15</v>
      </c>
      <c r="BC27" s="1">
        <f>$B$1*'S-coe'!BC27</f>
        <v>8.5270121666431826E-17</v>
      </c>
      <c r="BD27" s="1">
        <f>$B$1*'S-coe'!BD27</f>
        <v>8.5046550929961881E-17</v>
      </c>
      <c r="BE27" s="1">
        <f>$B$1*'S-coe'!BE27</f>
        <v>4.1298196346482229E-16</v>
      </c>
      <c r="BF27" s="1">
        <f>$B$1*'S-coe'!BF27</f>
        <v>5.2938265892325278E-17</v>
      </c>
      <c r="BG27" s="1">
        <f>$B$1*'S-coe'!BG27</f>
        <v>1.332063810330997E-16</v>
      </c>
      <c r="BH27" s="1">
        <f>$B$1*'S-coe'!BH27</f>
        <v>1.2758972802923972E-15</v>
      </c>
      <c r="BI27" s="1">
        <f>$B$1*'S-coe'!BI27</f>
        <v>3.5301541723630063E-18</v>
      </c>
      <c r="BJ27" s="1">
        <f>$B$1*'S-coe'!BJ27</f>
        <v>5.7824029071000011E-17</v>
      </c>
      <c r="BK27" s="1">
        <f>$B$1*'S-coe'!BK27</f>
        <v>8.0774608483831175E-15</v>
      </c>
      <c r="BL27" s="1">
        <f>$B$1*'S-coe'!BL27</f>
        <v>0</v>
      </c>
      <c r="BM27" s="1">
        <f>$B$1*'S-coe'!BM27</f>
        <v>5.9896079266454502E-13</v>
      </c>
      <c r="BN27" s="1">
        <f>$B$1*'S-coe'!BN27</f>
        <v>5.1535852773826077E-16</v>
      </c>
      <c r="BO27" s="1">
        <f>$B$1*'S-coe'!BO27</f>
        <v>1.3311149545812358E-16</v>
      </c>
      <c r="BP27" s="1">
        <f>$B$1*'S-coe'!BP27</f>
        <v>0</v>
      </c>
      <c r="BQ27" s="1">
        <f>$B$1*'S-coe'!BQ27</f>
        <v>1.401972479491074E-15</v>
      </c>
      <c r="BR27" s="1">
        <f>$B$1*'S-coe'!BR27</f>
        <v>4.3636974098602769E-15</v>
      </c>
      <c r="BS27" s="1">
        <f>$B$1*'S-coe'!BS27</f>
        <v>2.0579213263538498E-17</v>
      </c>
      <c r="BT27" s="1">
        <f>$B$1*'S-coe'!BT27</f>
        <v>3.1163355027440747E-18</v>
      </c>
      <c r="BU27" s="1">
        <f>$B$1*'S-coe'!BU27</f>
        <v>3.7083814996231703E-18</v>
      </c>
      <c r="BV27" s="1">
        <f>$B$1*'S-coe'!BV27</f>
        <v>2.7024045272628708E-18</v>
      </c>
      <c r="BW27" s="1">
        <f>$B$1*'S-coe'!BW27</f>
        <v>5.0812387471840314E-16</v>
      </c>
      <c r="BX27" s="1">
        <f>$B$1*'S-coe'!BX27</f>
        <v>1.0098887678498034E-15</v>
      </c>
      <c r="BY27" s="1">
        <f>$B$1*'S-coe'!BY27</f>
        <v>5.5893819146415946E-16</v>
      </c>
      <c r="BZ27" s="1">
        <f>$B$1*'S-coe'!BZ27</f>
        <v>1.6894134197729559E-14</v>
      </c>
      <c r="CA27" s="1">
        <f>$B$1*'S-coe'!CA27</f>
        <v>1.6894134197729559E-14</v>
      </c>
      <c r="CB27" s="1">
        <f>$B$1*'S-coe'!CB27</f>
        <v>6.2359950705049E-16</v>
      </c>
      <c r="CC27" s="1">
        <f>$B$1*'S-coe'!CC27</f>
        <v>7.3399496545806176E-16</v>
      </c>
    </row>
    <row r="28" spans="2:81" x14ac:dyDescent="0.15">
      <c r="B28" t="s">
        <v>36</v>
      </c>
      <c r="C28" s="1">
        <f>$B$1*'S-coe'!C28</f>
        <v>4.4722243152140992E-15</v>
      </c>
      <c r="D28" s="1">
        <f>$B$1*'S-coe'!D28</f>
        <v>4.4722243152140992E-15</v>
      </c>
      <c r="E28" s="1">
        <f>$B$1*'S-coe'!E28</f>
        <v>2.8706908387879353E-15</v>
      </c>
      <c r="F28" s="1">
        <f>$B$1*'S-coe'!F28</f>
        <v>2.8706908387879353E-15</v>
      </c>
      <c r="G28" s="1">
        <f>$B$1*'S-coe'!G28</f>
        <v>4.8319407738821762E-15</v>
      </c>
      <c r="H28" s="1">
        <f>$B$1*'S-coe'!H28</f>
        <v>3.4144610630699769E-15</v>
      </c>
      <c r="I28" s="1">
        <f>$B$1*'S-coe'!I28</f>
        <v>2.2322428784125854E-14</v>
      </c>
      <c r="J28" s="1">
        <f>$B$1*'S-coe'!J28</f>
        <v>2.2322428784125854E-14</v>
      </c>
      <c r="K28" s="1">
        <f>$B$1*'S-coe'!K28</f>
        <v>2.2322428784125854E-14</v>
      </c>
      <c r="L28" s="1">
        <f>$B$1*'S-coe'!L28</f>
        <v>2.7833765315336589E-16</v>
      </c>
      <c r="M28" s="1">
        <f>$B$1*'S-coe'!M28</f>
        <v>2.3710404974335348E-16</v>
      </c>
      <c r="N28" s="1">
        <f>$B$1*'S-coe'!N28</f>
        <v>2.3705203328992543E-16</v>
      </c>
      <c r="O28" s="1">
        <f>$B$1*'S-coe'!O28</f>
        <v>6.7832903878241609E-17</v>
      </c>
      <c r="P28" s="1">
        <f>$B$1*'S-coe'!P28</f>
        <v>5.5938462420484345E-17</v>
      </c>
      <c r="Q28" s="1">
        <f>$B$1*'S-coe'!Q28</f>
        <v>5.5938590288006643E-17</v>
      </c>
      <c r="R28" s="1">
        <f>$B$1*'S-coe'!R28</f>
        <v>5.5938462420484345E-17</v>
      </c>
      <c r="S28" s="1">
        <f>$B$1*'S-coe'!S28</f>
        <v>4.4400948909109546E-17</v>
      </c>
      <c r="T28" s="1">
        <f>$B$1*'S-coe'!T28</f>
        <v>4.5769578113271565E-17</v>
      </c>
      <c r="U28" s="1">
        <f>$B$1*'S-coe'!U28</f>
        <v>4.5769578113271565E-17</v>
      </c>
      <c r="V28" s="1">
        <f>$B$1*'S-coe'!V28</f>
        <v>3.1403684193716262E-17</v>
      </c>
      <c r="W28" s="1">
        <f>$B$1*'S-coe'!W28</f>
        <v>2.8602468348907886E-17</v>
      </c>
      <c r="X28" s="1">
        <f>$B$1*'S-coe'!X28</f>
        <v>2.8602468348907886E-17</v>
      </c>
      <c r="Y28" s="1">
        <f>$B$1*'S-coe'!Y28</f>
        <v>7.0085501416559372E-18</v>
      </c>
      <c r="Z28" s="1">
        <f>$B$1*'S-coe'!Z28</f>
        <v>6.6862984038719935E-18</v>
      </c>
      <c r="AA28" s="1">
        <f>$B$1*'S-coe'!AA28</f>
        <v>6.6862984038719935E-18</v>
      </c>
      <c r="AB28" s="1">
        <f>$B$1*'S-coe'!AB28</f>
        <v>1.1638047453659199E-15</v>
      </c>
      <c r="AC28" s="1">
        <f>$B$1*'S-coe'!AC28</f>
        <v>7.4654026617682377E-15</v>
      </c>
      <c r="AD28" s="1">
        <f>$B$1*'S-coe'!AD28</f>
        <v>7.4654026617682377E-15</v>
      </c>
      <c r="AE28" s="1">
        <f>$B$1*'S-coe'!AE28</f>
        <v>7.4654026617682377E-15</v>
      </c>
      <c r="AF28" s="1">
        <f>$B$1*'S-coe'!AF28</f>
        <v>1.3057752641931438E-14</v>
      </c>
      <c r="AG28" s="1">
        <f>$B$1*'S-coe'!AG28</f>
        <v>3.0869127523519283E-14</v>
      </c>
      <c r="AH28" s="1">
        <f>$B$1*'S-coe'!AH28</f>
        <v>3.0869127523519283E-14</v>
      </c>
      <c r="AI28" s="1">
        <f>$B$1*'S-coe'!AI28</f>
        <v>3.0869127523519283E-14</v>
      </c>
      <c r="AJ28" s="1">
        <f>$B$1*'S-coe'!AJ28</f>
        <v>2.6188527422049734E-15</v>
      </c>
      <c r="AK28" s="1">
        <f>$B$1*'S-coe'!AK28</f>
        <v>2.6188527422049734E-15</v>
      </c>
      <c r="AL28" s="1">
        <f>$B$1*'S-coe'!AL28</f>
        <v>2.6188527422049734E-15</v>
      </c>
      <c r="AM28" s="1">
        <f>$B$1*'S-coe'!AM28</f>
        <v>2.6188527422049734E-15</v>
      </c>
      <c r="AN28" s="1">
        <f>$B$1*'S-coe'!AN28</f>
        <v>5.4051097966671509E-14</v>
      </c>
      <c r="AO28" s="1">
        <f>$B$1*'S-coe'!AO28</f>
        <v>2.5270081106743191E-15</v>
      </c>
      <c r="AP28" s="1">
        <f>$B$1*'S-coe'!AP28</f>
        <v>2.5042014019253266E-16</v>
      </c>
      <c r="AQ28" s="1">
        <f>$B$1*'S-coe'!AQ28</f>
        <v>2.3502197072433352E-15</v>
      </c>
      <c r="AR28" s="1">
        <f>$B$1*'S-coe'!AR28</f>
        <v>1.0025763189388934E-15</v>
      </c>
      <c r="AS28" s="1">
        <f>$B$1*'S-coe'!AS28</f>
        <v>1.0025763189388934E-15</v>
      </c>
      <c r="AT28" s="1">
        <f>$B$1*'S-coe'!AT28</f>
        <v>9.8550342881360577E-16</v>
      </c>
      <c r="AU28" s="1">
        <f>$B$1*'S-coe'!AU28</f>
        <v>9.8550342881360577E-16</v>
      </c>
      <c r="AV28" s="1">
        <f>$B$1*'S-coe'!AV28</f>
        <v>8.0603313477494176E-17</v>
      </c>
      <c r="AW28" s="1">
        <f>$B$1*'S-coe'!AW28</f>
        <v>1.0217036501826542E-15</v>
      </c>
      <c r="AX28" s="1">
        <f>$B$1*'S-coe'!AX28</f>
        <v>1.7653845849526597E-15</v>
      </c>
      <c r="AY28" s="1">
        <f>$B$1*'S-coe'!AY28</f>
        <v>5.330137647600701E-16</v>
      </c>
      <c r="AZ28" s="1">
        <f>$B$1*'S-coe'!AZ28</f>
        <v>6.5921076270431337E-16</v>
      </c>
      <c r="BA28" s="1">
        <f>$B$1*'S-coe'!BA28</f>
        <v>1.1265990868913636E-15</v>
      </c>
      <c r="BB28" s="1">
        <f>$B$1*'S-coe'!BB28</f>
        <v>7.4047500174358116E-16</v>
      </c>
      <c r="BC28" s="1">
        <f>$B$1*'S-coe'!BC28</f>
        <v>2.4036657642087844E-16</v>
      </c>
      <c r="BD28" s="1">
        <f>$B$1*'S-coe'!BD28</f>
        <v>2.3120112184394569E-16</v>
      </c>
      <c r="BE28" s="1">
        <f>$B$1*'S-coe'!BE28</f>
        <v>1.7753419374963945E-15</v>
      </c>
      <c r="BF28" s="1">
        <f>$B$1*'S-coe'!BF28</f>
        <v>1.3755843675330099E-16</v>
      </c>
      <c r="BG28" s="1">
        <f>$B$1*'S-coe'!BG28</f>
        <v>3.7854088327111368E-16</v>
      </c>
      <c r="BH28" s="1">
        <f>$B$1*'S-coe'!BH28</f>
        <v>3.0882487336020326E-15</v>
      </c>
      <c r="BI28" s="1">
        <f>$B$1*'S-coe'!BI28</f>
        <v>5.373603806278027E-18</v>
      </c>
      <c r="BJ28" s="1">
        <f>$B$1*'S-coe'!BJ28</f>
        <v>1.4462741356828899E-16</v>
      </c>
      <c r="BK28" s="1">
        <f>$B$1*'S-coe'!BK28</f>
        <v>1.4878725853613271E-15</v>
      </c>
      <c r="BL28" s="1">
        <f>$B$1*'S-coe'!BL28</f>
        <v>0</v>
      </c>
      <c r="BM28" s="1">
        <f>$B$1*'S-coe'!BM28</f>
        <v>4.3458050569517756E-15</v>
      </c>
      <c r="BN28" s="1">
        <f>$B$1*'S-coe'!BN28</f>
        <v>4.9945407227717728E-16</v>
      </c>
      <c r="BO28" s="1">
        <f>$B$1*'S-coe'!BO28</f>
        <v>3.1890778486336574E-16</v>
      </c>
      <c r="BP28" s="1">
        <f>$B$1*'S-coe'!BP28</f>
        <v>0</v>
      </c>
      <c r="BQ28" s="1">
        <f>$B$1*'S-coe'!BQ28</f>
        <v>1.9640111668300525E-14</v>
      </c>
      <c r="BR28" s="1">
        <f>$B$1*'S-coe'!BR28</f>
        <v>2.1257367923522693E-12</v>
      </c>
      <c r="BS28" s="1">
        <f>$B$1*'S-coe'!BS28</f>
        <v>4.8531828525004267E-17</v>
      </c>
      <c r="BT28" s="1">
        <f>$B$1*'S-coe'!BT28</f>
        <v>7.2787827275844161E-18</v>
      </c>
      <c r="BU28" s="1">
        <f>$B$1*'S-coe'!BU28</f>
        <v>7.3153374453605825E-18</v>
      </c>
      <c r="BV28" s="1">
        <f>$B$1*'S-coe'!BV28</f>
        <v>6.5317122194578844E-18</v>
      </c>
      <c r="BW28" s="1">
        <f>$B$1*'S-coe'!BW28</f>
        <v>5.9090763324140136E-16</v>
      </c>
      <c r="BX28" s="1">
        <f>$B$1*'S-coe'!BX28</f>
        <v>1.2593781666626588E-15</v>
      </c>
      <c r="BY28" s="1">
        <f>$B$1*'S-coe'!BY28</f>
        <v>9.0568138132820383E-16</v>
      </c>
      <c r="BZ28" s="1">
        <f>$B$1*'S-coe'!BZ28</f>
        <v>7.4654026617682377E-15</v>
      </c>
      <c r="CA28" s="1">
        <f>$B$1*'S-coe'!CA28</f>
        <v>7.4654026617682377E-15</v>
      </c>
      <c r="CB28" s="1">
        <f>$B$1*'S-coe'!CB28</f>
        <v>3.5611197974536081E-15</v>
      </c>
      <c r="CC28" s="1">
        <f>$B$1*'S-coe'!CC28</f>
        <v>2.944733835882446E-15</v>
      </c>
    </row>
    <row r="29" spans="2:81" x14ac:dyDescent="0.15">
      <c r="B29" t="s">
        <v>3</v>
      </c>
      <c r="C29" s="1">
        <f>$B$1*'S-coe'!C29</f>
        <v>7.3723450740850133E-16</v>
      </c>
      <c r="D29" s="1">
        <f>$B$1*'S-coe'!D29</f>
        <v>7.3723450740850133E-16</v>
      </c>
      <c r="E29" s="1">
        <f>$B$1*'S-coe'!E29</f>
        <v>7.0485685040635217E-16</v>
      </c>
      <c r="F29" s="1">
        <f>$B$1*'S-coe'!F29</f>
        <v>7.0485685040635217E-16</v>
      </c>
      <c r="G29" s="1">
        <f>$B$1*'S-coe'!G29</f>
        <v>7.3579909978991442E-16</v>
      </c>
      <c r="H29" s="1">
        <f>$B$1*'S-coe'!H29</f>
        <v>5.7221360426013705E-16</v>
      </c>
      <c r="I29" s="1">
        <f>$B$1*'S-coe'!I29</f>
        <v>1.6220113087235898E-15</v>
      </c>
      <c r="J29" s="1">
        <f>$B$1*'S-coe'!J29</f>
        <v>1.6220113087235898E-15</v>
      </c>
      <c r="K29" s="1">
        <f>$B$1*'S-coe'!K29</f>
        <v>1.6220113087235898E-15</v>
      </c>
      <c r="L29" s="1">
        <f>$B$1*'S-coe'!L29</f>
        <v>1.213801757967703E-15</v>
      </c>
      <c r="M29" s="1">
        <f>$B$1*'S-coe'!M29</f>
        <v>1.0415530523814375E-15</v>
      </c>
      <c r="N29" s="1">
        <f>$B$1*'S-coe'!N29</f>
        <v>1.0415530523814375E-15</v>
      </c>
      <c r="O29" s="1">
        <f>$B$1*'S-coe'!O29</f>
        <v>2.5646867361003319E-16</v>
      </c>
      <c r="P29" s="1">
        <f>$B$1*'S-coe'!P29</f>
        <v>2.0891996385403368E-16</v>
      </c>
      <c r="Q29" s="1">
        <f>$B$1*'S-coe'!Q29</f>
        <v>2.0891996385403368E-16</v>
      </c>
      <c r="R29" s="1">
        <f>$B$1*'S-coe'!R29</f>
        <v>2.0891996385403368E-16</v>
      </c>
      <c r="S29" s="1">
        <f>$B$1*'S-coe'!S29</f>
        <v>1.3771535795367292E-16</v>
      </c>
      <c r="T29" s="1">
        <f>$B$1*'S-coe'!T29</f>
        <v>1.3924381162644955E-16</v>
      </c>
      <c r="U29" s="1">
        <f>$B$1*'S-coe'!U29</f>
        <v>1.3924381162644955E-16</v>
      </c>
      <c r="V29" s="1">
        <f>$B$1*'S-coe'!V29</f>
        <v>1.1534483597289287E-16</v>
      </c>
      <c r="W29" s="1">
        <f>$B$1*'S-coe'!W29</f>
        <v>1.1260200564054623E-16</v>
      </c>
      <c r="X29" s="1">
        <f>$B$1*'S-coe'!X29</f>
        <v>1.1259961693592493E-16</v>
      </c>
      <c r="Y29" s="1">
        <f>$B$1*'S-coe'!Y29</f>
        <v>2.6347223468175685E-17</v>
      </c>
      <c r="Z29" s="1">
        <f>$B$1*'S-coe'!Z29</f>
        <v>2.2686224765309921E-17</v>
      </c>
      <c r="AA29" s="1">
        <f>$B$1*'S-coe'!AA29</f>
        <v>2.2686224765309921E-17</v>
      </c>
      <c r="AB29" s="1">
        <f>$B$1*'S-coe'!AB29</f>
        <v>5.8785884122704155E-16</v>
      </c>
      <c r="AC29" s="1">
        <f>$B$1*'S-coe'!AC29</f>
        <v>5.6760810224193985E-16</v>
      </c>
      <c r="AD29" s="1">
        <f>$B$1*'S-coe'!AD29</f>
        <v>5.6760810224193985E-16</v>
      </c>
      <c r="AE29" s="1">
        <f>$B$1*'S-coe'!AE29</f>
        <v>5.6760810224193985E-16</v>
      </c>
      <c r="AF29" s="1">
        <f>$B$1*'S-coe'!AF29</f>
        <v>8.7407748264023556E-16</v>
      </c>
      <c r="AG29" s="1">
        <f>$B$1*'S-coe'!AG29</f>
        <v>1.8706399703302329E-15</v>
      </c>
      <c r="AH29" s="1">
        <f>$B$1*'S-coe'!AH29</f>
        <v>1.8706399703302329E-15</v>
      </c>
      <c r="AI29" s="1">
        <f>$B$1*'S-coe'!AI29</f>
        <v>1.8706399703302329E-15</v>
      </c>
      <c r="AJ29" s="1">
        <f>$B$1*'S-coe'!AJ29</f>
        <v>2.9427379494175348E-15</v>
      </c>
      <c r="AK29" s="1">
        <f>$B$1*'S-coe'!AK29</f>
        <v>2.9427379494175348E-15</v>
      </c>
      <c r="AL29" s="1">
        <f>$B$1*'S-coe'!AL29</f>
        <v>2.9427379494175348E-15</v>
      </c>
      <c r="AM29" s="1">
        <f>$B$1*'S-coe'!AM29</f>
        <v>2.9427379494175348E-15</v>
      </c>
      <c r="AN29" s="1">
        <f>$B$1*'S-coe'!AN29</f>
        <v>1.8073265679627596E-15</v>
      </c>
      <c r="AO29" s="1">
        <f>$B$1*'S-coe'!AO29</f>
        <v>2.8480593395230465E-15</v>
      </c>
      <c r="AP29" s="1">
        <f>$B$1*'S-coe'!AP29</f>
        <v>8.0514386270727438E-16</v>
      </c>
      <c r="AQ29" s="1">
        <f>$B$1*'S-coe'!AQ29</f>
        <v>8.5400463570606613E-16</v>
      </c>
      <c r="AR29" s="1">
        <f>$B$1*'S-coe'!AR29</f>
        <v>3.0568730486833289E-16</v>
      </c>
      <c r="AS29" s="1">
        <f>$B$1*'S-coe'!AS29</f>
        <v>3.0568730486833289E-16</v>
      </c>
      <c r="AT29" s="1">
        <f>$B$1*'S-coe'!AT29</f>
        <v>3.5194947058493255E-16</v>
      </c>
      <c r="AU29" s="1">
        <f>$B$1*'S-coe'!AU29</f>
        <v>3.5194947058493255E-16</v>
      </c>
      <c r="AV29" s="1">
        <f>$B$1*'S-coe'!AV29</f>
        <v>1.2954813355232472E-16</v>
      </c>
      <c r="AW29" s="1">
        <f>$B$1*'S-coe'!AW29</f>
        <v>4.819860839118912E-16</v>
      </c>
      <c r="AX29" s="1">
        <f>$B$1*'S-coe'!AX29</f>
        <v>8.4768901321119494E-16</v>
      </c>
      <c r="AY29" s="1">
        <f>$B$1*'S-coe'!AY29</f>
        <v>2.4719847822278836E-16</v>
      </c>
      <c r="AZ29" s="1">
        <f>$B$1*'S-coe'!AZ29</f>
        <v>1.637946575773267E-16</v>
      </c>
      <c r="BA29" s="1">
        <f>$B$1*'S-coe'!BA29</f>
        <v>9.6604965862753565E-14</v>
      </c>
      <c r="BB29" s="1">
        <f>$B$1*'S-coe'!BB29</f>
        <v>4.3706060755328996E-16</v>
      </c>
      <c r="BC29" s="1">
        <f>$B$1*'S-coe'!BC29</f>
        <v>9.5189159258731416E-16</v>
      </c>
      <c r="BD29" s="1">
        <f>$B$1*'S-coe'!BD29</f>
        <v>9.5012749267788614E-16</v>
      </c>
      <c r="BE29" s="1">
        <f>$B$1*'S-coe'!BE29</f>
        <v>4.0125970337096092E-15</v>
      </c>
      <c r="BF29" s="1">
        <f>$B$1*'S-coe'!BF29</f>
        <v>4.5059122494049087E-16</v>
      </c>
      <c r="BG29" s="1">
        <f>$B$1*'S-coe'!BG29</f>
        <v>1.4543710991840094E-15</v>
      </c>
      <c r="BH29" s="1">
        <f>$B$1*'S-coe'!BH29</f>
        <v>7.7958624018300981E-16</v>
      </c>
      <c r="BI29" s="1">
        <f>$B$1*'S-coe'!BI29</f>
        <v>2.0999801900186706E-17</v>
      </c>
      <c r="BJ29" s="1">
        <f>$B$1*'S-coe'!BJ29</f>
        <v>6.1655017997789799E-16</v>
      </c>
      <c r="BK29" s="1">
        <f>$B$1*'S-coe'!BK29</f>
        <v>3.0022499151782978E-16</v>
      </c>
      <c r="BL29" s="1">
        <f>$B$1*'S-coe'!BL29</f>
        <v>0</v>
      </c>
      <c r="BM29" s="1">
        <f>$B$1*'S-coe'!BM29</f>
        <v>5.7977399248494589E-16</v>
      </c>
      <c r="BN29" s="1">
        <f>$B$1*'S-coe'!BN29</f>
        <v>7.8161662376777056E-16</v>
      </c>
      <c r="BO29" s="1">
        <f>$B$1*'S-coe'!BO29</f>
        <v>8.7365954113164184E-16</v>
      </c>
      <c r="BP29" s="1">
        <f>$B$1*'S-coe'!BP29</f>
        <v>0</v>
      </c>
      <c r="BQ29" s="1">
        <f>$B$1*'S-coe'!BQ29</f>
        <v>2.6058408575764734E-15</v>
      </c>
      <c r="BR29" s="1">
        <f>$B$1*'S-coe'!BR29</f>
        <v>1.111187483662967E-15</v>
      </c>
      <c r="BS29" s="1">
        <f>$B$1*'S-coe'!BS29</f>
        <v>1.8887912425567794E-16</v>
      </c>
      <c r="BT29" s="1">
        <f>$B$1*'S-coe'!BT29</f>
        <v>2.2664862590003582E-17</v>
      </c>
      <c r="BU29" s="1">
        <f>$B$1*'S-coe'!BU29</f>
        <v>2.445786148485526E-17</v>
      </c>
      <c r="BV29" s="1">
        <f>$B$1*'S-coe'!BV29</f>
        <v>2.1475732499985185E-17</v>
      </c>
      <c r="BW29" s="1">
        <f>$B$1*'S-coe'!BW29</f>
        <v>3.9460987886195473E-16</v>
      </c>
      <c r="BX29" s="1">
        <f>$B$1*'S-coe'!BX29</f>
        <v>4.6751634371392373E-16</v>
      </c>
      <c r="BY29" s="1">
        <f>$B$1*'S-coe'!BY29</f>
        <v>3.9251205988501531E-16</v>
      </c>
      <c r="BZ29" s="1">
        <f>$B$1*'S-coe'!BZ29</f>
        <v>5.6760810224193985E-16</v>
      </c>
      <c r="CA29" s="1">
        <f>$B$1*'S-coe'!CA29</f>
        <v>5.6760810224193985E-16</v>
      </c>
      <c r="CB29" s="1">
        <f>$B$1*'S-coe'!CB29</f>
        <v>2.9063516230218884E-15</v>
      </c>
      <c r="CC29" s="1">
        <f>$B$1*'S-coe'!CC29</f>
        <v>2.9094599967986318E-15</v>
      </c>
    </row>
    <row r="30" spans="2:81" x14ac:dyDescent="0.15">
      <c r="B30" t="s">
        <v>35</v>
      </c>
      <c r="C30" s="1">
        <f>$B$1*'S-coe'!C30</f>
        <v>1.687021621364972E-15</v>
      </c>
      <c r="D30" s="1">
        <f>$B$1*'S-coe'!D30</f>
        <v>1.687021621364972E-15</v>
      </c>
      <c r="E30" s="1">
        <f>$B$1*'S-coe'!E30</f>
        <v>1.4442172787429629E-15</v>
      </c>
      <c r="F30" s="1">
        <f>$B$1*'S-coe'!F30</f>
        <v>1.4442172787429629E-15</v>
      </c>
      <c r="G30" s="1">
        <f>$B$1*'S-coe'!G30</f>
        <v>1.731475209328744E-15</v>
      </c>
      <c r="H30" s="1">
        <f>$B$1*'S-coe'!H30</f>
        <v>1.2137326556403007E-15</v>
      </c>
      <c r="I30" s="1">
        <f>$B$1*'S-coe'!I30</f>
        <v>1.0354815482623783E-14</v>
      </c>
      <c r="J30" s="1">
        <f>$B$1*'S-coe'!J30</f>
        <v>1.0354815482623783E-14</v>
      </c>
      <c r="K30" s="1">
        <f>$B$1*'S-coe'!K30</f>
        <v>1.0354815482623783E-14</v>
      </c>
      <c r="L30" s="1">
        <f>$B$1*'S-coe'!L30</f>
        <v>5.3165732417288036E-16</v>
      </c>
      <c r="M30" s="1">
        <f>$B$1*'S-coe'!M30</f>
        <v>4.5044407851760526E-16</v>
      </c>
      <c r="N30" s="1">
        <f>$B$1*'S-coe'!N30</f>
        <v>4.5044407851760526E-16</v>
      </c>
      <c r="O30" s="1">
        <f>$B$1*'S-coe'!O30</f>
        <v>1.2579692740064923E-16</v>
      </c>
      <c r="P30" s="1">
        <f>$B$1*'S-coe'!P30</f>
        <v>1.0625981131671244E-16</v>
      </c>
      <c r="Q30" s="1">
        <f>$B$1*'S-coe'!Q30</f>
        <v>1.0625981131671244E-16</v>
      </c>
      <c r="R30" s="1">
        <f>$B$1*'S-coe'!R30</f>
        <v>1.0625981131671244E-16</v>
      </c>
      <c r="S30" s="1">
        <f>$B$1*'S-coe'!S30</f>
        <v>8.7234188285709541E-17</v>
      </c>
      <c r="T30" s="1">
        <f>$B$1*'S-coe'!T30</f>
        <v>7.7544064540835012E-17</v>
      </c>
      <c r="U30" s="1">
        <f>$B$1*'S-coe'!U30</f>
        <v>7.7544064540835012E-17</v>
      </c>
      <c r="V30" s="1">
        <f>$B$1*'S-coe'!V30</f>
        <v>5.6126004443398953E-17</v>
      </c>
      <c r="W30" s="1">
        <f>$B$1*'S-coe'!W30</f>
        <v>5.2889503734414751E-17</v>
      </c>
      <c r="X30" s="1">
        <f>$B$1*'S-coe'!X30</f>
        <v>5.2875948292511197E-17</v>
      </c>
      <c r="Y30" s="1">
        <f>$B$1*'S-coe'!Y30</f>
        <v>1.5812024159198684E-17</v>
      </c>
      <c r="Z30" s="1">
        <f>$B$1*'S-coe'!Z30</f>
        <v>1.358625165170917E-17</v>
      </c>
      <c r="AA30" s="1">
        <f>$B$1*'S-coe'!AA30</f>
        <v>1.358625165170917E-17</v>
      </c>
      <c r="AB30" s="1">
        <f>$B$1*'S-coe'!AB30</f>
        <v>7.6008729371729381E-16</v>
      </c>
      <c r="AC30" s="1">
        <f>$B$1*'S-coe'!AC30</f>
        <v>1.927681754640581E-15</v>
      </c>
      <c r="AD30" s="1">
        <f>$B$1*'S-coe'!AD30</f>
        <v>1.927681754640581E-15</v>
      </c>
      <c r="AE30" s="1">
        <f>$B$1*'S-coe'!AE30</f>
        <v>1.927681754640581E-15</v>
      </c>
      <c r="AF30" s="1">
        <f>$B$1*'S-coe'!AF30</f>
        <v>3.0242171538309296E-15</v>
      </c>
      <c r="AG30" s="1">
        <f>$B$1*'S-coe'!AG30</f>
        <v>1.7150896462947135E-14</v>
      </c>
      <c r="AH30" s="1">
        <f>$B$1*'S-coe'!AH30</f>
        <v>1.7150896462947135E-14</v>
      </c>
      <c r="AI30" s="1">
        <f>$B$1*'S-coe'!AI30</f>
        <v>1.7150896462947135E-14</v>
      </c>
      <c r="AJ30" s="1">
        <f>$B$1*'S-coe'!AJ30</f>
        <v>5.8995952718688619E-15</v>
      </c>
      <c r="AK30" s="1">
        <f>$B$1*'S-coe'!AK30</f>
        <v>5.8995952718688619E-15</v>
      </c>
      <c r="AL30" s="1">
        <f>$B$1*'S-coe'!AL30</f>
        <v>5.8995952718688619E-15</v>
      </c>
      <c r="AM30" s="1">
        <f>$B$1*'S-coe'!AM30</f>
        <v>5.8995952718688619E-15</v>
      </c>
      <c r="AN30" s="1">
        <f>$B$1*'S-coe'!AN30</f>
        <v>1.9606235399508638E-14</v>
      </c>
      <c r="AO30" s="1">
        <f>$B$1*'S-coe'!AO30</f>
        <v>5.6984442453360843E-15</v>
      </c>
      <c r="AP30" s="1">
        <f>$B$1*'S-coe'!AP30</f>
        <v>5.0053303173963148E-16</v>
      </c>
      <c r="AQ30" s="1">
        <f>$B$1*'S-coe'!AQ30</f>
        <v>7.3027757112257525E-16</v>
      </c>
      <c r="AR30" s="1">
        <f>$B$1*'S-coe'!AR30</f>
        <v>9.5568375522532756E-16</v>
      </c>
      <c r="AS30" s="1">
        <f>$B$1*'S-coe'!AS30</f>
        <v>9.5568375522532756E-16</v>
      </c>
      <c r="AT30" s="1">
        <f>$B$1*'S-coe'!AT30</f>
        <v>1.1212417872433279E-15</v>
      </c>
      <c r="AU30" s="1">
        <f>$B$1*'S-coe'!AU30</f>
        <v>1.1212417872433279E-15</v>
      </c>
      <c r="AV30" s="1">
        <f>$B$1*'S-coe'!AV30</f>
        <v>1.2440562494097615E-16</v>
      </c>
      <c r="AW30" s="1">
        <f>$B$1*'S-coe'!AW30</f>
        <v>1.4730206091273503E-15</v>
      </c>
      <c r="AX30" s="1">
        <f>$B$1*'S-coe'!AX30</f>
        <v>2.6140916489411968E-15</v>
      </c>
      <c r="AY30" s="1">
        <f>$B$1*'S-coe'!AY30</f>
        <v>7.4489506961767288E-16</v>
      </c>
      <c r="AZ30" s="1">
        <f>$B$1*'S-coe'!AZ30</f>
        <v>3.0524945246611628E-16</v>
      </c>
      <c r="BA30" s="1">
        <f>$B$1*'S-coe'!BA30</f>
        <v>2.6292287149287325E-15</v>
      </c>
      <c r="BB30" s="1">
        <f>$B$1*'S-coe'!BB30</f>
        <v>4.9126051761367616E-16</v>
      </c>
      <c r="BC30" s="1">
        <f>$B$1*'S-coe'!BC30</f>
        <v>4.7755026787566453E-16</v>
      </c>
      <c r="BD30" s="1">
        <f>$B$1*'S-coe'!BD30</f>
        <v>4.7683935087794321E-16</v>
      </c>
      <c r="BE30" s="1">
        <f>$B$1*'S-coe'!BE30</f>
        <v>7.7284417552977235E-15</v>
      </c>
      <c r="BF30" s="1">
        <f>$B$1*'S-coe'!BF30</f>
        <v>2.6548166813869085E-16</v>
      </c>
      <c r="BG30" s="1">
        <f>$B$1*'S-coe'!BG30</f>
        <v>7.9089281889659353E-16</v>
      </c>
      <c r="BH30" s="1">
        <f>$B$1*'S-coe'!BH30</f>
        <v>4.4349468800661544E-15</v>
      </c>
      <c r="BI30" s="1">
        <f>$B$1*'S-coe'!BI30</f>
        <v>1.1025289407251455E-17</v>
      </c>
      <c r="BJ30" s="1">
        <f>$B$1*'S-coe'!BJ30</f>
        <v>2.9066764100910291E-16</v>
      </c>
      <c r="BK30" s="1">
        <f>$B$1*'S-coe'!BK30</f>
        <v>6.6691045559690417E-16</v>
      </c>
      <c r="BL30" s="1">
        <f>$B$1*'S-coe'!BL30</f>
        <v>0</v>
      </c>
      <c r="BM30" s="1">
        <f>$B$1*'S-coe'!BM30</f>
        <v>1.4051275262876587E-15</v>
      </c>
      <c r="BN30" s="1">
        <f>$B$1*'S-coe'!BN30</f>
        <v>4.4827882868737467E-16</v>
      </c>
      <c r="BO30" s="1">
        <f>$B$1*'S-coe'!BO30</f>
        <v>5.5800077272397374E-16</v>
      </c>
      <c r="BP30" s="1">
        <f>$B$1*'S-coe'!BP30</f>
        <v>0</v>
      </c>
      <c r="BQ30" s="1">
        <f>$B$1*'S-coe'!BQ30</f>
        <v>2.0156609727073898E-12</v>
      </c>
      <c r="BR30" s="1">
        <f>$B$1*'S-coe'!BR30</f>
        <v>1.9548098658448659E-14</v>
      </c>
      <c r="BS30" s="1">
        <f>$B$1*'S-coe'!BS30</f>
        <v>1.0132414376361322E-16</v>
      </c>
      <c r="BT30" s="1">
        <f>$B$1*'S-coe'!BT30</f>
        <v>1.3562058231661177E-17</v>
      </c>
      <c r="BU30" s="1">
        <f>$B$1*'S-coe'!BU30</f>
        <v>1.4032692469185847E-17</v>
      </c>
      <c r="BV30" s="1">
        <f>$B$1*'S-coe'!BV30</f>
        <v>1.2604228091989686E-17</v>
      </c>
      <c r="BW30" s="1">
        <f>$B$1*'S-coe'!BW30</f>
        <v>6.2659980694513161E-16</v>
      </c>
      <c r="BX30" s="1">
        <f>$B$1*'S-coe'!BX30</f>
        <v>1.0733184011040212E-15</v>
      </c>
      <c r="BY30" s="1">
        <f>$B$1*'S-coe'!BY30</f>
        <v>6.738028500164445E-16</v>
      </c>
      <c r="BZ30" s="1">
        <f>$B$1*'S-coe'!BZ30</f>
        <v>1.927681754640581E-15</v>
      </c>
      <c r="CA30" s="1">
        <f>$B$1*'S-coe'!CA30</f>
        <v>1.927681754640581E-15</v>
      </c>
      <c r="CB30" s="1">
        <f>$B$1*'S-coe'!CB30</f>
        <v>6.2749702796706232E-15</v>
      </c>
      <c r="CC30" s="1">
        <f>$B$1*'S-coe'!CC30</f>
        <v>5.9749501588450577E-15</v>
      </c>
    </row>
    <row r="31" spans="2:81" x14ac:dyDescent="0.15">
      <c r="B31" t="s">
        <v>12</v>
      </c>
      <c r="C31" s="1">
        <f>$B$1*'S-coe'!C31</f>
        <v>5.084351150060003E-16</v>
      </c>
      <c r="D31" s="1">
        <f>$B$1*'S-coe'!D31</f>
        <v>5.084351150060003E-16</v>
      </c>
      <c r="E31" s="1">
        <f>$B$1*'S-coe'!E31</f>
        <v>4.6445998166660224E-16</v>
      </c>
      <c r="F31" s="1">
        <f>$B$1*'S-coe'!F31</f>
        <v>4.6445998166660224E-16</v>
      </c>
      <c r="G31" s="1">
        <f>$B$1*'S-coe'!G31</f>
        <v>5.1255094440739067E-16</v>
      </c>
      <c r="H31" s="1">
        <f>$B$1*'S-coe'!H31</f>
        <v>3.8894464542054788E-16</v>
      </c>
      <c r="I31" s="1">
        <f>$B$1*'S-coe'!I31</f>
        <v>1.1456951204973324E-14</v>
      </c>
      <c r="J31" s="1">
        <f>$B$1*'S-coe'!J31</f>
        <v>1.1456951204973324E-14</v>
      </c>
      <c r="K31" s="1">
        <f>$B$1*'S-coe'!K31</f>
        <v>1.1456951204973324E-14</v>
      </c>
      <c r="L31" s="1">
        <f>$B$1*'S-coe'!L31</f>
        <v>4.5580664542315384E-15</v>
      </c>
      <c r="M31" s="1">
        <f>$B$1*'S-coe'!M31</f>
        <v>3.4962647066873609E-15</v>
      </c>
      <c r="N31" s="1">
        <f>$B$1*'S-coe'!N31</f>
        <v>3.4962647066873609E-15</v>
      </c>
      <c r="O31" s="1">
        <f>$B$1*'S-coe'!O31</f>
        <v>4.9892496165404876E-16</v>
      </c>
      <c r="P31" s="1">
        <f>$B$1*'S-coe'!P31</f>
        <v>3.9187469703701501E-16</v>
      </c>
      <c r="Q31" s="1">
        <f>$B$1*'S-coe'!Q31</f>
        <v>3.9187469703701501E-16</v>
      </c>
      <c r="R31" s="1">
        <f>$B$1*'S-coe'!R31</f>
        <v>3.9187469703701501E-16</v>
      </c>
      <c r="S31" s="1">
        <f>$B$1*'S-coe'!S31</f>
        <v>1.9902952135027811E-16</v>
      </c>
      <c r="T31" s="1">
        <f>$B$1*'S-coe'!T31</f>
        <v>2.0167142025703501E-16</v>
      </c>
      <c r="U31" s="1">
        <f>$B$1*'S-coe'!U31</f>
        <v>2.0167142025703501E-16</v>
      </c>
      <c r="V31" s="1">
        <f>$B$1*'S-coe'!V31</f>
        <v>2.0047471259040245E-16</v>
      </c>
      <c r="W31" s="1">
        <f>$B$1*'S-coe'!W31</f>
        <v>1.950311930217505E-16</v>
      </c>
      <c r="X31" s="1">
        <f>$B$1*'S-coe'!X31</f>
        <v>1.950311930217505E-16</v>
      </c>
      <c r="Y31" s="1">
        <f>$B$1*'S-coe'!Y31</f>
        <v>4.2891321049726343E-17</v>
      </c>
      <c r="Z31" s="1">
        <f>$B$1*'S-coe'!Z31</f>
        <v>3.7724569558292518E-17</v>
      </c>
      <c r="AA31" s="1">
        <f>$B$1*'S-coe'!AA31</f>
        <v>3.7724569558292518E-17</v>
      </c>
      <c r="AB31" s="1">
        <f>$B$1*'S-coe'!AB31</f>
        <v>3.1669059561898727E-16</v>
      </c>
      <c r="AC31" s="1">
        <f>$B$1*'S-coe'!AC31</f>
        <v>4.7506247682098691E-16</v>
      </c>
      <c r="AD31" s="1">
        <f>$B$1*'S-coe'!AD31</f>
        <v>4.7506247682098691E-16</v>
      </c>
      <c r="AE31" s="1">
        <f>$B$1*'S-coe'!AE31</f>
        <v>4.7506247682098691E-16</v>
      </c>
      <c r="AF31" s="1">
        <f>$B$1*'S-coe'!AF31</f>
        <v>6.8833494544915066E-16</v>
      </c>
      <c r="AG31" s="1">
        <f>$B$1*'S-coe'!AG31</f>
        <v>1.084357517042813E-14</v>
      </c>
      <c r="AH31" s="1">
        <f>$B$1*'S-coe'!AH31</f>
        <v>1.084357517042813E-14</v>
      </c>
      <c r="AI31" s="1">
        <f>$B$1*'S-coe'!AI31</f>
        <v>1.084357517042813E-14</v>
      </c>
      <c r="AJ31" s="1">
        <f>$B$1*'S-coe'!AJ31</f>
        <v>7.0510611985767273E-15</v>
      </c>
      <c r="AK31" s="1">
        <f>$B$1*'S-coe'!AK31</f>
        <v>7.0510611985767273E-15</v>
      </c>
      <c r="AL31" s="1">
        <f>$B$1*'S-coe'!AL31</f>
        <v>7.0510611985767273E-15</v>
      </c>
      <c r="AM31" s="1">
        <f>$B$1*'S-coe'!AM31</f>
        <v>7.0510611985767273E-15</v>
      </c>
      <c r="AN31" s="1">
        <f>$B$1*'S-coe'!AN31</f>
        <v>1.0453047803208429E-14</v>
      </c>
      <c r="AO31" s="1">
        <f>$B$1*'S-coe'!AO31</f>
        <v>7.073377944886599E-15</v>
      </c>
      <c r="AP31" s="1">
        <f>$B$1*'S-coe'!AP31</f>
        <v>2.0532584655486074E-15</v>
      </c>
      <c r="AQ31" s="1">
        <f>$B$1*'S-coe'!AQ31</f>
        <v>7.1773461003252415E-15</v>
      </c>
      <c r="AR31" s="1">
        <f>$B$1*'S-coe'!AR31</f>
        <v>6.0745781136847312E-16</v>
      </c>
      <c r="AS31" s="1">
        <f>$B$1*'S-coe'!AS31</f>
        <v>6.0745781136847312E-16</v>
      </c>
      <c r="AT31" s="1">
        <f>$B$1*'S-coe'!AT31</f>
        <v>6.2103155926421925E-16</v>
      </c>
      <c r="AU31" s="1">
        <f>$B$1*'S-coe'!AU31</f>
        <v>6.2103155926421925E-16</v>
      </c>
      <c r="AV31" s="1">
        <f>$B$1*'S-coe'!AV31</f>
        <v>1.6624987517643112E-16</v>
      </c>
      <c r="AW31" s="1">
        <f>$B$1*'S-coe'!AW31</f>
        <v>9.9811398253515818E-16</v>
      </c>
      <c r="AX31" s="1">
        <f>$B$1*'S-coe'!AX31</f>
        <v>1.8277759275392981E-15</v>
      </c>
      <c r="AY31" s="1">
        <f>$B$1*'S-coe'!AY31</f>
        <v>4.6530462402635123E-16</v>
      </c>
      <c r="AZ31" s="1">
        <f>$B$1*'S-coe'!AZ31</f>
        <v>1.1582631051084707E-16</v>
      </c>
      <c r="BA31" s="1">
        <f>$B$1*'S-coe'!BA31</f>
        <v>4.0289055594200944E-15</v>
      </c>
      <c r="BB31" s="1">
        <f>$B$1*'S-coe'!BB31</f>
        <v>2.3356923015900996E-16</v>
      </c>
      <c r="BC31" s="1">
        <f>$B$1*'S-coe'!BC31</f>
        <v>1.7863324005964951E-15</v>
      </c>
      <c r="BD31" s="1">
        <f>$B$1*'S-coe'!BD31</f>
        <v>1.7850235562305383E-15</v>
      </c>
      <c r="BE31" s="1">
        <f>$B$1*'S-coe'!BE31</f>
        <v>1.5274820132490848E-13</v>
      </c>
      <c r="BF31" s="1">
        <f>$B$1*'S-coe'!BF31</f>
        <v>9.9772707333873415E-16</v>
      </c>
      <c r="BG31" s="1">
        <f>$B$1*'S-coe'!BG31</f>
        <v>2.8635425476209757E-15</v>
      </c>
      <c r="BH31" s="1">
        <f>$B$1*'S-coe'!BH31</f>
        <v>2.7466830293361958E-15</v>
      </c>
      <c r="BI31" s="1">
        <f>$B$1*'S-coe'!BI31</f>
        <v>3.3743499245616032E-17</v>
      </c>
      <c r="BJ31" s="1">
        <f>$B$1*'S-coe'!BJ31</f>
        <v>1.2029478281695419E-15</v>
      </c>
      <c r="BK31" s="1">
        <f>$B$1*'S-coe'!BK31</f>
        <v>2.0163428692871004E-16</v>
      </c>
      <c r="BL31" s="1">
        <f>$B$1*'S-coe'!BL31</f>
        <v>0</v>
      </c>
      <c r="BM31" s="1">
        <f>$B$1*'S-coe'!BM31</f>
        <v>4.1910687592838584E-16</v>
      </c>
      <c r="BN31" s="1">
        <f>$B$1*'S-coe'!BN31</f>
        <v>4.0982437725120927E-16</v>
      </c>
      <c r="BO31" s="1">
        <f>$B$1*'S-coe'!BO31</f>
        <v>3.0287212991292666E-15</v>
      </c>
      <c r="BP31" s="1">
        <f>$B$1*'S-coe'!BP31</f>
        <v>0</v>
      </c>
      <c r="BQ31" s="1">
        <f>$B$1*'S-coe'!BQ31</f>
        <v>7.7247134714211734E-15</v>
      </c>
      <c r="BR31" s="1">
        <f>$B$1*'S-coe'!BR31</f>
        <v>1.739285130753377E-15</v>
      </c>
      <c r="BS31" s="1">
        <f>$B$1*'S-coe'!BS31</f>
        <v>3.4712821432608289E-16</v>
      </c>
      <c r="BT31" s="1">
        <f>$B$1*'S-coe'!BT31</f>
        <v>3.5456684614384667E-17</v>
      </c>
      <c r="BU31" s="1">
        <f>$B$1*'S-coe'!BU31</f>
        <v>3.808323534247837E-17</v>
      </c>
      <c r="BV31" s="1">
        <f>$B$1*'S-coe'!BV31</f>
        <v>3.4199197135115768E-17</v>
      </c>
      <c r="BW31" s="1">
        <f>$B$1*'S-coe'!BW31</f>
        <v>5.2824436514891119E-16</v>
      </c>
      <c r="BX31" s="1">
        <f>$B$1*'S-coe'!BX31</f>
        <v>9.1314529372441913E-16</v>
      </c>
      <c r="BY31" s="1">
        <f>$B$1*'S-coe'!BY31</f>
        <v>5.401857205091318E-16</v>
      </c>
      <c r="BZ31" s="1">
        <f>$B$1*'S-coe'!BZ31</f>
        <v>4.7506247682098691E-16</v>
      </c>
      <c r="CA31" s="1">
        <f>$B$1*'S-coe'!CA31</f>
        <v>4.7506247682098691E-16</v>
      </c>
      <c r="CB31" s="1">
        <f>$B$1*'S-coe'!CB31</f>
        <v>7.1771041186233303E-15</v>
      </c>
      <c r="CC31" s="1">
        <f>$B$1*'S-coe'!CC31</f>
        <v>7.0265384288577202E-15</v>
      </c>
    </row>
    <row r="32" spans="2:81" x14ac:dyDescent="0.15">
      <c r="B32" t="s">
        <v>0</v>
      </c>
      <c r="C32" s="1">
        <f>$B$1*'S-coe'!C32</f>
        <v>1.0799255035635721E-16</v>
      </c>
      <c r="D32" s="1">
        <f>$B$1*'S-coe'!D32</f>
        <v>1.0799255035635721E-16</v>
      </c>
      <c r="E32" s="1">
        <f>$B$1*'S-coe'!E32</f>
        <v>1.0624317830005581E-16</v>
      </c>
      <c r="F32" s="1">
        <f>$B$1*'S-coe'!F32</f>
        <v>1.0624317830005581E-16</v>
      </c>
      <c r="G32" s="1">
        <f>$B$1*'S-coe'!G32</f>
        <v>1.0837398358576596E-16</v>
      </c>
      <c r="H32" s="1">
        <f>$B$1*'S-coe'!H32</f>
        <v>8.1147456459560517E-17</v>
      </c>
      <c r="I32" s="1">
        <f>$B$1*'S-coe'!I32</f>
        <v>2.2850953985326324E-15</v>
      </c>
      <c r="J32" s="1">
        <f>$B$1*'S-coe'!J32</f>
        <v>2.2850953985326324E-15</v>
      </c>
      <c r="K32" s="1">
        <f>$B$1*'S-coe'!K32</f>
        <v>2.2850953985326324E-15</v>
      </c>
      <c r="L32" s="1">
        <f>$B$1*'S-coe'!L32</f>
        <v>6.5389939412893122E-15</v>
      </c>
      <c r="M32" s="1">
        <f>$B$1*'S-coe'!M32</f>
        <v>6.266126704725006E-15</v>
      </c>
      <c r="N32" s="1">
        <f>$B$1*'S-coe'!N32</f>
        <v>6.266126704725006E-15</v>
      </c>
      <c r="O32" s="1">
        <f>$B$1*'S-coe'!O32</f>
        <v>2.8927506947949066E-15</v>
      </c>
      <c r="P32" s="1">
        <f>$B$1*'S-coe'!P32</f>
        <v>2.4072268778206262E-15</v>
      </c>
      <c r="Q32" s="1">
        <f>$B$1*'S-coe'!Q32</f>
        <v>2.4072268778206262E-15</v>
      </c>
      <c r="R32" s="1">
        <f>$B$1*'S-coe'!R32</f>
        <v>2.4072268778206262E-15</v>
      </c>
      <c r="S32" s="1">
        <f>$B$1*'S-coe'!S32</f>
        <v>1.1692123547347722E-15</v>
      </c>
      <c r="T32" s="1">
        <f>$B$1*'S-coe'!T32</f>
        <v>1.2055380655863292E-15</v>
      </c>
      <c r="U32" s="1">
        <f>$B$1*'S-coe'!U32</f>
        <v>1.2055380655863292E-15</v>
      </c>
      <c r="V32" s="1">
        <f>$B$1*'S-coe'!V32</f>
        <v>7.1746783785013265E-16</v>
      </c>
      <c r="W32" s="1">
        <f>$B$1*'S-coe'!W32</f>
        <v>7.0625831125923024E-16</v>
      </c>
      <c r="X32" s="1">
        <f>$B$1*'S-coe'!X32</f>
        <v>7.0625831125923024E-16</v>
      </c>
      <c r="Y32" s="1">
        <f>$B$1*'S-coe'!Y32</f>
        <v>1.9662593378935506E-16</v>
      </c>
      <c r="Z32" s="1">
        <f>$B$1*'S-coe'!Z32</f>
        <v>1.598965187966258E-16</v>
      </c>
      <c r="AA32" s="1">
        <f>$B$1*'S-coe'!AA32</f>
        <v>1.598965187966258E-16</v>
      </c>
      <c r="AB32" s="1">
        <f>$B$1*'S-coe'!AB32</f>
        <v>8.4857337815112841E-17</v>
      </c>
      <c r="AC32" s="1">
        <f>$B$1*'S-coe'!AC32</f>
        <v>9.4935767454896637E-17</v>
      </c>
      <c r="AD32" s="1">
        <f>$B$1*'S-coe'!AD32</f>
        <v>9.4935767454896637E-17</v>
      </c>
      <c r="AE32" s="1">
        <f>$B$1*'S-coe'!AE32</f>
        <v>9.4935767454896637E-17</v>
      </c>
      <c r="AF32" s="1">
        <f>$B$1*'S-coe'!AF32</f>
        <v>1.3401071939490646E-16</v>
      </c>
      <c r="AG32" s="1">
        <f>$B$1*'S-coe'!AG32</f>
        <v>8.3594410850890052E-16</v>
      </c>
      <c r="AH32" s="1">
        <f>$B$1*'S-coe'!AH32</f>
        <v>8.3594410850890052E-16</v>
      </c>
      <c r="AI32" s="1">
        <f>$B$1*'S-coe'!AI32</f>
        <v>8.3594410850890052E-16</v>
      </c>
      <c r="AJ32" s="1">
        <f>$B$1*'S-coe'!AJ32</f>
        <v>1.5258901771390944E-15</v>
      </c>
      <c r="AK32" s="1">
        <f>$B$1*'S-coe'!AK32</f>
        <v>1.5258901771390944E-15</v>
      </c>
      <c r="AL32" s="1">
        <f>$B$1*'S-coe'!AL32</f>
        <v>1.5258901771390944E-15</v>
      </c>
      <c r="AM32" s="1">
        <f>$B$1*'S-coe'!AM32</f>
        <v>1.5258901771390944E-15</v>
      </c>
      <c r="AN32" s="1">
        <f>$B$1*'S-coe'!AN32</f>
        <v>7.1172024600383774E-16</v>
      </c>
      <c r="AO32" s="1">
        <f>$B$1*'S-coe'!AO32</f>
        <v>1.6020086568207079E-15</v>
      </c>
      <c r="AP32" s="1">
        <f>$B$1*'S-coe'!AP32</f>
        <v>2.6128112264075738E-12</v>
      </c>
      <c r="AQ32" s="1">
        <f>$B$1*'S-coe'!AQ32</f>
        <v>3.8119683785281463E-15</v>
      </c>
      <c r="AR32" s="1">
        <f>$B$1*'S-coe'!AR32</f>
        <v>1.1091189624530965E-15</v>
      </c>
      <c r="AS32" s="1">
        <f>$B$1*'S-coe'!AS32</f>
        <v>1.1091189624530965E-15</v>
      </c>
      <c r="AT32" s="1">
        <f>$B$1*'S-coe'!AT32</f>
        <v>1.2707248428350884E-15</v>
      </c>
      <c r="AU32" s="1">
        <f>$B$1*'S-coe'!AU32</f>
        <v>1.2707248428350884E-15</v>
      </c>
      <c r="AV32" s="1">
        <f>$B$1*'S-coe'!AV32</f>
        <v>1.2959391254235782E-16</v>
      </c>
      <c r="AW32" s="1">
        <f>$B$1*'S-coe'!AW32</f>
        <v>1.5834947414949048E-15</v>
      </c>
      <c r="AX32" s="1">
        <f>$B$1*'S-coe'!AX32</f>
        <v>3.013013130290589E-15</v>
      </c>
      <c r="AY32" s="1">
        <f>$B$1*'S-coe'!AY32</f>
        <v>7.0640413376027999E-16</v>
      </c>
      <c r="AZ32" s="1">
        <f>$B$1*'S-coe'!AZ32</f>
        <v>3.3853425433432393E-17</v>
      </c>
      <c r="BA32" s="1">
        <f>$B$1*'S-coe'!BA32</f>
        <v>8.3958634660814923E-16</v>
      </c>
      <c r="BB32" s="1">
        <f>$B$1*'S-coe'!BB32</f>
        <v>6.5068993154691429E-17</v>
      </c>
      <c r="BC32" s="1">
        <f>$B$1*'S-coe'!BC32</f>
        <v>2.2917158078965055E-14</v>
      </c>
      <c r="BD32" s="1">
        <f>$B$1*'S-coe'!BD32</f>
        <v>1.8687331538650863E-14</v>
      </c>
      <c r="BE32" s="1">
        <f>$B$1*'S-coe'!BE32</f>
        <v>2.026035292073775E-15</v>
      </c>
      <c r="BF32" s="1">
        <f>$B$1*'S-coe'!BF32</f>
        <v>1.5474550985707993E-14</v>
      </c>
      <c r="BG32" s="1">
        <f>$B$1*'S-coe'!BG32</f>
        <v>9.0610191001567159E-15</v>
      </c>
      <c r="BH32" s="1">
        <f>$B$1*'S-coe'!BH32</f>
        <v>4.1320730944001418E-15</v>
      </c>
      <c r="BI32" s="1">
        <f>$B$1*'S-coe'!BI32</f>
        <v>1.5262081368385229E-16</v>
      </c>
      <c r="BJ32" s="1">
        <f>$B$1*'S-coe'!BJ32</f>
        <v>7.8332439775663842E-15</v>
      </c>
      <c r="BK32" s="1">
        <f>$B$1*'S-coe'!BK32</f>
        <v>4.8853403706764504E-17</v>
      </c>
      <c r="BL32" s="1">
        <f>$B$1*'S-coe'!BL32</f>
        <v>0</v>
      </c>
      <c r="BM32" s="1">
        <f>$B$1*'S-coe'!BM32</f>
        <v>9.2449058347520245E-17</v>
      </c>
      <c r="BN32" s="1">
        <f>$B$1*'S-coe'!BN32</f>
        <v>3.7283648855965851E-16</v>
      </c>
      <c r="BO32" s="1">
        <f>$B$1*'S-coe'!BO32</f>
        <v>5.9533539751121552E-15</v>
      </c>
      <c r="BP32" s="1">
        <f>$B$1*'S-coe'!BP32</f>
        <v>0</v>
      </c>
      <c r="BQ32" s="1">
        <f>$B$1*'S-coe'!BQ32</f>
        <v>5.1522132442630641E-16</v>
      </c>
      <c r="BR32" s="1">
        <f>$B$1*'S-coe'!BR32</f>
        <v>2.5699252081932149E-16</v>
      </c>
      <c r="BS32" s="1">
        <f>$B$1*'S-coe'!BS32</f>
        <v>3.2099623777642725E-15</v>
      </c>
      <c r="BT32" s="1">
        <f>$B$1*'S-coe'!BT32</f>
        <v>1.3544196898740986E-16</v>
      </c>
      <c r="BU32" s="1">
        <f>$B$1*'S-coe'!BU32</f>
        <v>1.4769281884307454E-16</v>
      </c>
      <c r="BV32" s="1">
        <f>$B$1*'S-coe'!BV32</f>
        <v>1.4273955690188772E-16</v>
      </c>
      <c r="BW32" s="1">
        <f>$B$1*'S-coe'!BW32</f>
        <v>6.5640981864935938E-16</v>
      </c>
      <c r="BX32" s="1">
        <f>$B$1*'S-coe'!BX32</f>
        <v>1.4757875336043214E-15</v>
      </c>
      <c r="BY32" s="1">
        <f>$B$1*'S-coe'!BY32</f>
        <v>7.310961323175623E-16</v>
      </c>
      <c r="BZ32" s="1">
        <f>$B$1*'S-coe'!BZ32</f>
        <v>9.4935767454896637E-17</v>
      </c>
      <c r="CA32" s="1">
        <f>$B$1*'S-coe'!CA32</f>
        <v>9.4935767454896637E-17</v>
      </c>
      <c r="CB32" s="1">
        <f>$B$1*'S-coe'!CB32</f>
        <v>1.502814329841342E-15</v>
      </c>
      <c r="CC32" s="1">
        <f>$B$1*'S-coe'!CC32</f>
        <v>1.5053333294094003E-15</v>
      </c>
    </row>
    <row r="33" spans="2:81" x14ac:dyDescent="0.15">
      <c r="B33" t="s">
        <v>15</v>
      </c>
      <c r="C33" s="1">
        <f>$B$1*'S-coe'!C33</f>
        <v>1.7251890661887423E-16</v>
      </c>
      <c r="D33" s="1">
        <f>$B$1*'S-coe'!D33</f>
        <v>1.7251890661887423E-16</v>
      </c>
      <c r="E33" s="1">
        <f>$B$1*'S-coe'!E33</f>
        <v>1.6650397212470733E-16</v>
      </c>
      <c r="F33" s="1">
        <f>$B$1*'S-coe'!F33</f>
        <v>1.6650397212470733E-16</v>
      </c>
      <c r="G33" s="1">
        <f>$B$1*'S-coe'!G33</f>
        <v>1.7131157817362275E-16</v>
      </c>
      <c r="H33" s="1">
        <f>$B$1*'S-coe'!H33</f>
        <v>1.3225870935328521E-16</v>
      </c>
      <c r="I33" s="1">
        <f>$B$1*'S-coe'!I33</f>
        <v>2.4347099753639971E-15</v>
      </c>
      <c r="J33" s="1">
        <f>$B$1*'S-coe'!J33</f>
        <v>2.4347099753639971E-15</v>
      </c>
      <c r="K33" s="1">
        <f>$B$1*'S-coe'!K33</f>
        <v>2.4347099753639971E-15</v>
      </c>
      <c r="L33" s="1">
        <f>$B$1*'S-coe'!L33</f>
        <v>4.2116164166231155E-15</v>
      </c>
      <c r="M33" s="1">
        <f>$B$1*'S-coe'!M33</f>
        <v>4.5673322633508401E-15</v>
      </c>
      <c r="N33" s="1">
        <f>$B$1*'S-coe'!N33</f>
        <v>4.5673322633508401E-15</v>
      </c>
      <c r="O33" s="1">
        <f>$B$1*'S-coe'!O33</f>
        <v>1.7378840792093592E-15</v>
      </c>
      <c r="P33" s="1">
        <f>$B$1*'S-coe'!P33</f>
        <v>1.4969759637183906E-15</v>
      </c>
      <c r="Q33" s="1">
        <f>$B$1*'S-coe'!Q33</f>
        <v>1.4969759637183906E-15</v>
      </c>
      <c r="R33" s="1">
        <f>$B$1*'S-coe'!R33</f>
        <v>1.4969759637183906E-15</v>
      </c>
      <c r="S33" s="1">
        <f>$B$1*'S-coe'!S33</f>
        <v>1.236702827511347E-15</v>
      </c>
      <c r="T33" s="1">
        <f>$B$1*'S-coe'!T33</f>
        <v>1.2864636654240336E-15</v>
      </c>
      <c r="U33" s="1">
        <f>$B$1*'S-coe'!U33</f>
        <v>1.2864636654240336E-15</v>
      </c>
      <c r="V33" s="1">
        <f>$B$1*'S-coe'!V33</f>
        <v>5.0216944187771283E-16</v>
      </c>
      <c r="W33" s="1">
        <f>$B$1*'S-coe'!W33</f>
        <v>4.9170761228134165E-16</v>
      </c>
      <c r="X33" s="1">
        <f>$B$1*'S-coe'!X33</f>
        <v>4.9170761228134165E-16</v>
      </c>
      <c r="Y33" s="1">
        <f>$B$1*'S-coe'!Y33</f>
        <v>1.359911780398492E-16</v>
      </c>
      <c r="Z33" s="1">
        <f>$B$1*'S-coe'!Z33</f>
        <v>1.1783325538726702E-16</v>
      </c>
      <c r="AA33" s="1">
        <f>$B$1*'S-coe'!AA33</f>
        <v>1.1783325538726702E-16</v>
      </c>
      <c r="AB33" s="1">
        <f>$B$1*'S-coe'!AB33</f>
        <v>1.3233640371921278E-16</v>
      </c>
      <c r="AC33" s="1">
        <f>$B$1*'S-coe'!AC33</f>
        <v>1.4422003348964166E-16</v>
      </c>
      <c r="AD33" s="1">
        <f>$B$1*'S-coe'!AD33</f>
        <v>1.4422003348964166E-16</v>
      </c>
      <c r="AE33" s="1">
        <f>$B$1*'S-coe'!AE33</f>
        <v>1.4422003348964166E-16</v>
      </c>
      <c r="AF33" s="1">
        <f>$B$1*'S-coe'!AF33</f>
        <v>2.0182017801608746E-16</v>
      </c>
      <c r="AG33" s="1">
        <f>$B$1*'S-coe'!AG33</f>
        <v>1.1028105294144092E-15</v>
      </c>
      <c r="AH33" s="1">
        <f>$B$1*'S-coe'!AH33</f>
        <v>1.1028105294144092E-15</v>
      </c>
      <c r="AI33" s="1">
        <f>$B$1*'S-coe'!AI33</f>
        <v>1.1028105294144092E-15</v>
      </c>
      <c r="AJ33" s="1">
        <f>$B$1*'S-coe'!AJ33</f>
        <v>2.4445934875350403E-15</v>
      </c>
      <c r="AK33" s="1">
        <f>$B$1*'S-coe'!AK33</f>
        <v>2.4445934875350403E-15</v>
      </c>
      <c r="AL33" s="1">
        <f>$B$1*'S-coe'!AL33</f>
        <v>2.4445934875350403E-15</v>
      </c>
      <c r="AM33" s="1">
        <f>$B$1*'S-coe'!AM33</f>
        <v>2.4445934875350403E-15</v>
      </c>
      <c r="AN33" s="1">
        <f>$B$1*'S-coe'!AN33</f>
        <v>9.7390892665271949E-16</v>
      </c>
      <c r="AO33" s="1">
        <f>$B$1*'S-coe'!AO33</f>
        <v>2.4197117669007143E-15</v>
      </c>
      <c r="AP33" s="1">
        <f>$B$1*'S-coe'!AP33</f>
        <v>9.0852076398386894E-15</v>
      </c>
      <c r="AQ33" s="1">
        <f>$B$1*'S-coe'!AQ33</f>
        <v>4.3382896817495205E-15</v>
      </c>
      <c r="AR33" s="1">
        <f>$B$1*'S-coe'!AR33</f>
        <v>5.166010405990281E-16</v>
      </c>
      <c r="AS33" s="1">
        <f>$B$1*'S-coe'!AS33</f>
        <v>5.166010405990281E-16</v>
      </c>
      <c r="AT33" s="1">
        <f>$B$1*'S-coe'!AT33</f>
        <v>5.9783040476455433E-16</v>
      </c>
      <c r="AU33" s="1">
        <f>$B$1*'S-coe'!AU33</f>
        <v>5.9783040476455433E-16</v>
      </c>
      <c r="AV33" s="1">
        <f>$B$1*'S-coe'!AV33</f>
        <v>1.5857079842608906E-16</v>
      </c>
      <c r="AW33" s="1">
        <f>$B$1*'S-coe'!AW33</f>
        <v>8.4423898928589261E-16</v>
      </c>
      <c r="AX33" s="1">
        <f>$B$1*'S-coe'!AX33</f>
        <v>1.5509603092193324E-15</v>
      </c>
      <c r="AY33" s="1">
        <f>$B$1*'S-coe'!AY33</f>
        <v>3.9771729217281908E-16</v>
      </c>
      <c r="AZ33" s="1">
        <f>$B$1*'S-coe'!AZ33</f>
        <v>4.5756144705482849E-17</v>
      </c>
      <c r="BA33" s="1">
        <f>$B$1*'S-coe'!BA33</f>
        <v>1.4725423751099522E-15</v>
      </c>
      <c r="BB33" s="1">
        <f>$B$1*'S-coe'!BB33</f>
        <v>1.0531584201831886E-16</v>
      </c>
      <c r="BC33" s="1">
        <f>$B$1*'S-coe'!BC33</f>
        <v>1.4810656188158839E-14</v>
      </c>
      <c r="BD33" s="1">
        <f>$B$1*'S-coe'!BD33</f>
        <v>1.2285012659516069E-14</v>
      </c>
      <c r="BE33" s="1">
        <f>$B$1*'S-coe'!BE33</f>
        <v>2.8648293743923655E-15</v>
      </c>
      <c r="BF33" s="1">
        <f>$B$1*'S-coe'!BF33</f>
        <v>4.3138109258456688E-15</v>
      </c>
      <c r="BG33" s="1">
        <f>$B$1*'S-coe'!BG33</f>
        <v>3.4145809680727754E-14</v>
      </c>
      <c r="BH33" s="1">
        <f>$B$1*'S-coe'!BH33</f>
        <v>1.5095529980792086E-15</v>
      </c>
      <c r="BI33" s="1">
        <f>$B$1*'S-coe'!BI33</f>
        <v>1.1128820786797912E-16</v>
      </c>
      <c r="BJ33" s="1">
        <f>$B$1*'S-coe'!BJ33</f>
        <v>5.4366237358117849E-15</v>
      </c>
      <c r="BK33" s="1">
        <f>$B$1*'S-coe'!BK33</f>
        <v>6.9130940724026318E-17</v>
      </c>
      <c r="BL33" s="1">
        <f>$B$1*'S-coe'!BL33</f>
        <v>0</v>
      </c>
      <c r="BM33" s="1">
        <f>$B$1*'S-coe'!BM33</f>
        <v>1.3879585023665326E-16</v>
      </c>
      <c r="BN33" s="1">
        <f>$B$1*'S-coe'!BN33</f>
        <v>4.2433356870090937E-16</v>
      </c>
      <c r="BO33" s="1">
        <f>$B$1*'S-coe'!BO33</f>
        <v>1.9513305408975722E-15</v>
      </c>
      <c r="BP33" s="1">
        <f>$B$1*'S-coe'!BP33</f>
        <v>0</v>
      </c>
      <c r="BQ33" s="1">
        <f>$B$1*'S-coe'!BQ33</f>
        <v>7.9281239694373288E-16</v>
      </c>
      <c r="BR33" s="1">
        <f>$B$1*'S-coe'!BR33</f>
        <v>3.843738029258412E-16</v>
      </c>
      <c r="BS33" s="1">
        <f>$B$1*'S-coe'!BS33</f>
        <v>1.4777240014360467E-15</v>
      </c>
      <c r="BT33" s="1">
        <f>$B$1*'S-coe'!BT33</f>
        <v>1.1304660113864696E-16</v>
      </c>
      <c r="BU33" s="1">
        <f>$B$1*'S-coe'!BU33</f>
        <v>1.2380568259980513E-16</v>
      </c>
      <c r="BV33" s="1">
        <f>$B$1*'S-coe'!BV33</f>
        <v>1.1036150635740474E-16</v>
      </c>
      <c r="BW33" s="1">
        <f>$B$1*'S-coe'!BW33</f>
        <v>5.3996584598393056E-16</v>
      </c>
      <c r="BX33" s="1">
        <f>$B$1*'S-coe'!BX33</f>
        <v>9.5179385509509691E-16</v>
      </c>
      <c r="BY33" s="1">
        <f>$B$1*'S-coe'!BY33</f>
        <v>5.2692868787070044E-16</v>
      </c>
      <c r="BZ33" s="1">
        <f>$B$1*'S-coe'!BZ33</f>
        <v>1.4422003348964166E-16</v>
      </c>
      <c r="CA33" s="1">
        <f>$B$1*'S-coe'!CA33</f>
        <v>1.4422003348964166E-16</v>
      </c>
      <c r="CB33" s="1">
        <f>$B$1*'S-coe'!CB33</f>
        <v>2.3998300626419616E-15</v>
      </c>
      <c r="CC33" s="1">
        <f>$B$1*'S-coe'!CC33</f>
        <v>2.4086196491368427E-15</v>
      </c>
    </row>
    <row r="34" spans="2:81" x14ac:dyDescent="0.15">
      <c r="B34" t="s">
        <v>23</v>
      </c>
      <c r="C34" s="1">
        <f>$B$1*'S-coe'!C34</f>
        <v>7.9802738842485421E-17</v>
      </c>
      <c r="D34" s="1">
        <f>$B$1*'S-coe'!D34</f>
        <v>7.9802738842485421E-17</v>
      </c>
      <c r="E34" s="1">
        <f>$B$1*'S-coe'!E34</f>
        <v>7.9492918627417243E-17</v>
      </c>
      <c r="F34" s="1">
        <f>$B$1*'S-coe'!F34</f>
        <v>7.9492918627417243E-17</v>
      </c>
      <c r="G34" s="1">
        <f>$B$1*'S-coe'!G34</f>
        <v>8.0805468973634119E-17</v>
      </c>
      <c r="H34" s="1">
        <f>$B$1*'S-coe'!H34</f>
        <v>6.194024349713375E-17</v>
      </c>
      <c r="I34" s="1">
        <f>$B$1*'S-coe'!I34</f>
        <v>8.9984589398966656E-16</v>
      </c>
      <c r="J34" s="1">
        <f>$B$1*'S-coe'!J34</f>
        <v>8.9984589398966656E-16</v>
      </c>
      <c r="K34" s="1">
        <f>$B$1*'S-coe'!K34</f>
        <v>8.9984589398966656E-16</v>
      </c>
      <c r="L34" s="1">
        <f>$B$1*'S-coe'!L34</f>
        <v>9.6363066095223191E-15</v>
      </c>
      <c r="M34" s="1">
        <f>$B$1*'S-coe'!M34</f>
        <v>1.5033560964646264E-14</v>
      </c>
      <c r="N34" s="1">
        <f>$B$1*'S-coe'!N34</f>
        <v>1.5033560964646264E-14</v>
      </c>
      <c r="O34" s="1">
        <f>$B$1*'S-coe'!O34</f>
        <v>1.0138844430376173E-14</v>
      </c>
      <c r="P34" s="1">
        <f>$B$1*'S-coe'!P34</f>
        <v>7.5396820510046687E-15</v>
      </c>
      <c r="Q34" s="1">
        <f>$B$1*'S-coe'!Q34</f>
        <v>7.5396820510046687E-15</v>
      </c>
      <c r="R34" s="1">
        <f>$B$1*'S-coe'!R34</f>
        <v>7.5396820510046687E-15</v>
      </c>
      <c r="S34" s="1">
        <f>$B$1*'S-coe'!S34</f>
        <v>3.1009212743983915E-15</v>
      </c>
      <c r="T34" s="1">
        <f>$B$1*'S-coe'!T34</f>
        <v>3.298136000971264E-15</v>
      </c>
      <c r="U34" s="1">
        <f>$B$1*'S-coe'!U34</f>
        <v>3.298136000971264E-15</v>
      </c>
      <c r="V34" s="1">
        <f>$B$1*'S-coe'!V34</f>
        <v>1.7851495087253107E-15</v>
      </c>
      <c r="W34" s="1">
        <f>$B$1*'S-coe'!W34</f>
        <v>1.7346953968648272E-15</v>
      </c>
      <c r="X34" s="1">
        <f>$B$1*'S-coe'!X34</f>
        <v>1.7346953968648272E-15</v>
      </c>
      <c r="Y34" s="1">
        <f>$B$1*'S-coe'!Y34</f>
        <v>3.2381681554725257E-16</v>
      </c>
      <c r="Z34" s="1">
        <f>$B$1*'S-coe'!Z34</f>
        <v>2.7286038022983974E-16</v>
      </c>
      <c r="AA34" s="1">
        <f>$B$1*'S-coe'!AA34</f>
        <v>2.7286038022983974E-16</v>
      </c>
      <c r="AB34" s="1">
        <f>$B$1*'S-coe'!AB34</f>
        <v>7.0289654959796115E-17</v>
      </c>
      <c r="AC34" s="1">
        <f>$B$1*'S-coe'!AC34</f>
        <v>6.2574143720369711E-17</v>
      </c>
      <c r="AD34" s="1">
        <f>$B$1*'S-coe'!AD34</f>
        <v>6.2574143720369711E-17</v>
      </c>
      <c r="AE34" s="1">
        <f>$B$1*'S-coe'!AE34</f>
        <v>6.2574143720369711E-17</v>
      </c>
      <c r="AF34" s="1">
        <f>$B$1*'S-coe'!AF34</f>
        <v>8.554794941280053E-17</v>
      </c>
      <c r="AG34" s="1">
        <f>$B$1*'S-coe'!AG34</f>
        <v>4.1067663119762335E-16</v>
      </c>
      <c r="AH34" s="1">
        <f>$B$1*'S-coe'!AH34</f>
        <v>4.1067663119762335E-16</v>
      </c>
      <c r="AI34" s="1">
        <f>$B$1*'S-coe'!AI34</f>
        <v>4.1067663119762335E-16</v>
      </c>
      <c r="AJ34" s="1">
        <f>$B$1*'S-coe'!AJ34</f>
        <v>7.7418954288445466E-16</v>
      </c>
      <c r="AK34" s="1">
        <f>$B$1*'S-coe'!AK34</f>
        <v>7.7418954288445466E-16</v>
      </c>
      <c r="AL34" s="1">
        <f>$B$1*'S-coe'!AL34</f>
        <v>7.7418954288445466E-16</v>
      </c>
      <c r="AM34" s="1">
        <f>$B$1*'S-coe'!AM34</f>
        <v>7.7418954288445466E-16</v>
      </c>
      <c r="AN34" s="1">
        <f>$B$1*'S-coe'!AN34</f>
        <v>3.579647683474028E-16</v>
      </c>
      <c r="AO34" s="1">
        <f>$B$1*'S-coe'!AO34</f>
        <v>7.7818604372111502E-16</v>
      </c>
      <c r="AP34" s="1">
        <f>$B$1*'S-coe'!AP34</f>
        <v>7.8284966180309282E-15</v>
      </c>
      <c r="AQ34" s="1">
        <f>$B$1*'S-coe'!AQ34</f>
        <v>3.5979553169731634E-15</v>
      </c>
      <c r="AR34" s="1">
        <f>$B$1*'S-coe'!AR34</f>
        <v>5.5733205495264651E-16</v>
      </c>
      <c r="AS34" s="1">
        <f>$B$1*'S-coe'!AS34</f>
        <v>5.5733205495264651E-16</v>
      </c>
      <c r="AT34" s="1">
        <f>$B$1*'S-coe'!AT34</f>
        <v>8.7823806362727149E-16</v>
      </c>
      <c r="AU34" s="1">
        <f>$B$1*'S-coe'!AU34</f>
        <v>8.7823806362727149E-16</v>
      </c>
      <c r="AV34" s="1">
        <f>$B$1*'S-coe'!AV34</f>
        <v>1.0497574024472321E-16</v>
      </c>
      <c r="AW34" s="1">
        <f>$B$1*'S-coe'!AW34</f>
        <v>8.884975636122909E-16</v>
      </c>
      <c r="AX34" s="1">
        <f>$B$1*'S-coe'!AX34</f>
        <v>1.6085110933379939E-15</v>
      </c>
      <c r="AY34" s="1">
        <f>$B$1*'S-coe'!AY34</f>
        <v>4.1592164482322328E-16</v>
      </c>
      <c r="AZ34" s="1">
        <f>$B$1*'S-coe'!AZ34</f>
        <v>2.1096452339171015E-17</v>
      </c>
      <c r="BA34" s="1">
        <f>$B$1*'S-coe'!BA34</f>
        <v>6.3605936575315483E-16</v>
      </c>
      <c r="BB34" s="1">
        <f>$B$1*'S-coe'!BB34</f>
        <v>6.0316519772957718E-17</v>
      </c>
      <c r="BC34" s="1">
        <f>$B$1*'S-coe'!BC34</f>
        <v>1.860445626511978E-14</v>
      </c>
      <c r="BD34" s="1">
        <f>$B$1*'S-coe'!BD34</f>
        <v>1.9582583716036017E-14</v>
      </c>
      <c r="BE34" s="1">
        <f>$B$1*'S-coe'!BE34</f>
        <v>1.1995835985486588E-15</v>
      </c>
      <c r="BF34" s="1">
        <f>$B$1*'S-coe'!BF34</f>
        <v>1.0034385527919297E-14</v>
      </c>
      <c r="BG34" s="1">
        <f>$B$1*'S-coe'!BG34</f>
        <v>5.4557310717517073E-15</v>
      </c>
      <c r="BH34" s="1">
        <f>$B$1*'S-coe'!BH34</f>
        <v>4.6427884096022013E-15</v>
      </c>
      <c r="BI34" s="1">
        <f>$B$1*'S-coe'!BI34</f>
        <v>2.4984699486450609E-16</v>
      </c>
      <c r="BJ34" s="1">
        <f>$B$1*'S-coe'!BJ34</f>
        <v>3.2568563724337247E-13</v>
      </c>
      <c r="BK34" s="1">
        <f>$B$1*'S-coe'!BK34</f>
        <v>3.279949191561129E-17</v>
      </c>
      <c r="BL34" s="1">
        <f>$B$1*'S-coe'!BL34</f>
        <v>0</v>
      </c>
      <c r="BM34" s="1">
        <f>$B$1*'S-coe'!BM34</f>
        <v>6.0650037243459638E-17</v>
      </c>
      <c r="BN34" s="1">
        <f>$B$1*'S-coe'!BN34</f>
        <v>3.5428551225962521E-16</v>
      </c>
      <c r="BO34" s="1">
        <f>$B$1*'S-coe'!BO34</f>
        <v>3.1009463915919496E-15</v>
      </c>
      <c r="BP34" s="1">
        <f>$B$1*'S-coe'!BP34</f>
        <v>0</v>
      </c>
      <c r="BQ34" s="1">
        <f>$B$1*'S-coe'!BQ34</f>
        <v>2.971749066729857E-16</v>
      </c>
      <c r="BR34" s="1">
        <f>$B$1*'S-coe'!BR34</f>
        <v>1.4865518610766803E-16</v>
      </c>
      <c r="BS34" s="1">
        <f>$B$1*'S-coe'!BS34</f>
        <v>7.5412838683937871E-15</v>
      </c>
      <c r="BT34" s="1">
        <f>$B$1*'S-coe'!BT34</f>
        <v>2.7033417181204543E-16</v>
      </c>
      <c r="BU34" s="1">
        <f>$B$1*'S-coe'!BU34</f>
        <v>2.948865598198523E-16</v>
      </c>
      <c r="BV34" s="1">
        <f>$B$1*'S-coe'!BV34</f>
        <v>2.6070294924635349E-16</v>
      </c>
      <c r="BW34" s="1">
        <f>$B$1*'S-coe'!BW34</f>
        <v>6.6370433440014645E-16</v>
      </c>
      <c r="BX34" s="1">
        <f>$B$1*'S-coe'!BX34</f>
        <v>1.08366707915948E-15</v>
      </c>
      <c r="BY34" s="1">
        <f>$B$1*'S-coe'!BY34</f>
        <v>5.8755086642637825E-16</v>
      </c>
      <c r="BZ34" s="1">
        <f>$B$1*'S-coe'!BZ34</f>
        <v>6.2574143720369711E-17</v>
      </c>
      <c r="CA34" s="1">
        <f>$B$1*'S-coe'!CA34</f>
        <v>6.2574143720369711E-17</v>
      </c>
      <c r="CB34" s="1">
        <f>$B$1*'S-coe'!CB34</f>
        <v>7.6200889526623053E-16</v>
      </c>
      <c r="CC34" s="1">
        <f>$B$1*'S-coe'!CC34</f>
        <v>7.6374252279628206E-16</v>
      </c>
    </row>
    <row r="35" spans="2:81" x14ac:dyDescent="0.15">
      <c r="B35" t="s">
        <v>13</v>
      </c>
      <c r="C35" s="1">
        <f>$B$1*'S-coe'!C35</f>
        <v>6.752047109655991E-17</v>
      </c>
      <c r="D35" s="1">
        <f>$B$1*'S-coe'!D35</f>
        <v>6.752047109655991E-17</v>
      </c>
      <c r="E35" s="1">
        <f>$B$1*'S-coe'!E35</f>
        <v>6.6349932983111245E-17</v>
      </c>
      <c r="F35" s="1">
        <f>$B$1*'S-coe'!F35</f>
        <v>6.6349932983111245E-17</v>
      </c>
      <c r="G35" s="1">
        <f>$B$1*'S-coe'!G35</f>
        <v>6.7716041338916449E-17</v>
      </c>
      <c r="H35" s="1">
        <f>$B$1*'S-coe'!H35</f>
        <v>5.1497707093719844E-17</v>
      </c>
      <c r="I35" s="1">
        <f>$B$1*'S-coe'!I35</f>
        <v>8.5835751250689352E-16</v>
      </c>
      <c r="J35" s="1">
        <f>$B$1*'S-coe'!J35</f>
        <v>8.5835751250689352E-16</v>
      </c>
      <c r="K35" s="1">
        <f>$B$1*'S-coe'!K35</f>
        <v>8.5835751250689352E-16</v>
      </c>
      <c r="L35" s="1">
        <f>$B$1*'S-coe'!L35</f>
        <v>4.7584442262171028E-15</v>
      </c>
      <c r="M35" s="1">
        <f>$B$1*'S-coe'!M35</f>
        <v>4.7319260435110387E-15</v>
      </c>
      <c r="N35" s="1">
        <f>$B$1*'S-coe'!N35</f>
        <v>4.7319260435110387E-15</v>
      </c>
      <c r="O35" s="1">
        <f>$B$1*'S-coe'!O35</f>
        <v>4.7595584177088378E-15</v>
      </c>
      <c r="P35" s="1">
        <f>$B$1*'S-coe'!P35</f>
        <v>3.9243213369800215E-15</v>
      </c>
      <c r="Q35" s="1">
        <f>$B$1*'S-coe'!Q35</f>
        <v>3.9243213369800215E-15</v>
      </c>
      <c r="R35" s="1">
        <f>$B$1*'S-coe'!R35</f>
        <v>3.9243213369800215E-15</v>
      </c>
      <c r="S35" s="1">
        <f>$B$1*'S-coe'!S35</f>
        <v>3.0371152246600988E-15</v>
      </c>
      <c r="T35" s="1">
        <f>$B$1*'S-coe'!T35</f>
        <v>3.4821909725222574E-15</v>
      </c>
      <c r="U35" s="1">
        <f>$B$1*'S-coe'!U35</f>
        <v>3.4821909725222574E-15</v>
      </c>
      <c r="V35" s="1">
        <f>$B$1*'S-coe'!V35</f>
        <v>1.5531386996429496E-15</v>
      </c>
      <c r="W35" s="1">
        <f>$B$1*'S-coe'!W35</f>
        <v>1.516907295097158E-15</v>
      </c>
      <c r="X35" s="1">
        <f>$B$1*'S-coe'!X35</f>
        <v>1.516907295097158E-15</v>
      </c>
      <c r="Y35" s="1">
        <f>$B$1*'S-coe'!Y35</f>
        <v>3.5444378357028255E-16</v>
      </c>
      <c r="Z35" s="1">
        <f>$B$1*'S-coe'!Z35</f>
        <v>2.9871295493701087E-16</v>
      </c>
      <c r="AA35" s="1">
        <f>$B$1*'S-coe'!AA35</f>
        <v>2.9871295493701087E-16</v>
      </c>
      <c r="AB35" s="1">
        <f>$B$1*'S-coe'!AB35</f>
        <v>5.4493335243152442E-17</v>
      </c>
      <c r="AC35" s="1">
        <f>$B$1*'S-coe'!AC35</f>
        <v>5.9325407840130539E-17</v>
      </c>
      <c r="AD35" s="1">
        <f>$B$1*'S-coe'!AD35</f>
        <v>5.9325407840130539E-17</v>
      </c>
      <c r="AE35" s="1">
        <f>$B$1*'S-coe'!AE35</f>
        <v>5.9325407840130539E-17</v>
      </c>
      <c r="AF35" s="1">
        <f>$B$1*'S-coe'!AF35</f>
        <v>8.113844126782819E-17</v>
      </c>
      <c r="AG35" s="1">
        <f>$B$1*'S-coe'!AG35</f>
        <v>4.3435615568226738E-16</v>
      </c>
      <c r="AH35" s="1">
        <f>$B$1*'S-coe'!AH35</f>
        <v>4.3435615568226738E-16</v>
      </c>
      <c r="AI35" s="1">
        <f>$B$1*'S-coe'!AI35</f>
        <v>4.3435615568226738E-16</v>
      </c>
      <c r="AJ35" s="1">
        <f>$B$1*'S-coe'!AJ35</f>
        <v>7.9110550803905012E-16</v>
      </c>
      <c r="AK35" s="1">
        <f>$B$1*'S-coe'!AK35</f>
        <v>7.9110550803905012E-16</v>
      </c>
      <c r="AL35" s="1">
        <f>$B$1*'S-coe'!AL35</f>
        <v>7.9110550803905012E-16</v>
      </c>
      <c r="AM35" s="1">
        <f>$B$1*'S-coe'!AM35</f>
        <v>7.9110550803905012E-16</v>
      </c>
      <c r="AN35" s="1">
        <f>$B$1*'S-coe'!AN35</f>
        <v>3.6666182797067257E-16</v>
      </c>
      <c r="AO35" s="1">
        <f>$B$1*'S-coe'!AO35</f>
        <v>8.0935048161142899E-16</v>
      </c>
      <c r="AP35" s="1">
        <f>$B$1*'S-coe'!AP35</f>
        <v>1.5508352106517848E-14</v>
      </c>
      <c r="AQ35" s="1">
        <f>$B$1*'S-coe'!AQ35</f>
        <v>3.9640894096981528E-15</v>
      </c>
      <c r="AR35" s="1">
        <f>$B$1*'S-coe'!AR35</f>
        <v>6.2738311021755638E-16</v>
      </c>
      <c r="AS35" s="1">
        <f>$B$1*'S-coe'!AS35</f>
        <v>6.2738311021755638E-16</v>
      </c>
      <c r="AT35" s="1">
        <f>$B$1*'S-coe'!AT35</f>
        <v>8.6048160449603694E-16</v>
      </c>
      <c r="AU35" s="1">
        <f>$B$1*'S-coe'!AU35</f>
        <v>8.6048160449603694E-16</v>
      </c>
      <c r="AV35" s="1">
        <f>$B$1*'S-coe'!AV35</f>
        <v>1.4281721026290361E-16</v>
      </c>
      <c r="AW35" s="1">
        <f>$B$1*'S-coe'!AW35</f>
        <v>9.4522026665528257E-16</v>
      </c>
      <c r="AX35" s="1">
        <f>$B$1*'S-coe'!AX35</f>
        <v>1.7131296323179117E-15</v>
      </c>
      <c r="AY35" s="1">
        <f>$B$1*'S-coe'!AY35</f>
        <v>4.5521422400044626E-16</v>
      </c>
      <c r="AZ35" s="1">
        <f>$B$1*'S-coe'!AZ35</f>
        <v>1.9977085051539519E-17</v>
      </c>
      <c r="BA35" s="1">
        <f>$B$1*'S-coe'!BA35</f>
        <v>4.7307542675014365E-16</v>
      </c>
      <c r="BB35" s="1">
        <f>$B$1*'S-coe'!BB35</f>
        <v>4.3780880620276647E-17</v>
      </c>
      <c r="BC35" s="1">
        <f>$B$1*'S-coe'!BC35</f>
        <v>8.4966813927546829E-15</v>
      </c>
      <c r="BD35" s="1">
        <f>$B$1*'S-coe'!BD35</f>
        <v>7.9037153843337555E-15</v>
      </c>
      <c r="BE35" s="1">
        <f>$B$1*'S-coe'!BE35</f>
        <v>1.001922241874646E-15</v>
      </c>
      <c r="BF35" s="1">
        <f>$B$1*'S-coe'!BF35</f>
        <v>1.3944027871592199E-13</v>
      </c>
      <c r="BG35" s="1">
        <f>$B$1*'S-coe'!BG35</f>
        <v>4.3223750072547167E-15</v>
      </c>
      <c r="BH35" s="1">
        <f>$B$1*'S-coe'!BH35</f>
        <v>2.7001268380660019E-15</v>
      </c>
      <c r="BI35" s="1">
        <f>$B$1*'S-coe'!BI35</f>
        <v>2.6880316198044987E-16</v>
      </c>
      <c r="BJ35" s="1">
        <f>$B$1*'S-coe'!BJ35</f>
        <v>1.0040159220361674E-14</v>
      </c>
      <c r="BK35" s="1">
        <f>$B$1*'S-coe'!BK35</f>
        <v>2.8610642319529332E-17</v>
      </c>
      <c r="BL35" s="1">
        <f>$B$1*'S-coe'!BL35</f>
        <v>0</v>
      </c>
      <c r="BM35" s="1">
        <f>$B$1*'S-coe'!BM35</f>
        <v>5.7374777280221206E-17</v>
      </c>
      <c r="BN35" s="1">
        <f>$B$1*'S-coe'!BN35</f>
        <v>4.0415445813863256E-16</v>
      </c>
      <c r="BO35" s="1">
        <f>$B$1*'S-coe'!BO35</f>
        <v>6.0626989727212773E-15</v>
      </c>
      <c r="BP35" s="1">
        <f>$B$1*'S-coe'!BP35</f>
        <v>0</v>
      </c>
      <c r="BQ35" s="1">
        <f>$B$1*'S-coe'!BQ35</f>
        <v>2.734483863373258E-16</v>
      </c>
      <c r="BR35" s="1">
        <f>$B$1*'S-coe'!BR35</f>
        <v>1.4535266801295678E-16</v>
      </c>
      <c r="BS35" s="1">
        <f>$B$1*'S-coe'!BS35</f>
        <v>5.3859735996244844E-15</v>
      </c>
      <c r="BT35" s="1">
        <f>$B$1*'S-coe'!BT35</f>
        <v>2.5841268276618632E-16</v>
      </c>
      <c r="BU35" s="1">
        <f>$B$1*'S-coe'!BU35</f>
        <v>2.7984084077131321E-16</v>
      </c>
      <c r="BV35" s="1">
        <f>$B$1*'S-coe'!BV35</f>
        <v>2.7089381625251529E-16</v>
      </c>
      <c r="BW35" s="1">
        <f>$B$1*'S-coe'!BW35</f>
        <v>7.4640059610974926E-16</v>
      </c>
      <c r="BX35" s="1">
        <f>$B$1*'S-coe'!BX35</f>
        <v>9.7474088749367647E-16</v>
      </c>
      <c r="BY35" s="1">
        <f>$B$1*'S-coe'!BY35</f>
        <v>8.032338861291208E-16</v>
      </c>
      <c r="BZ35" s="1">
        <f>$B$1*'S-coe'!BZ35</f>
        <v>5.9325407840130539E-17</v>
      </c>
      <c r="CA35" s="1">
        <f>$B$1*'S-coe'!CA35</f>
        <v>5.9325407840130539E-17</v>
      </c>
      <c r="CB35" s="1">
        <f>$B$1*'S-coe'!CB35</f>
        <v>7.7926851756982357E-16</v>
      </c>
      <c r="CC35" s="1">
        <f>$B$1*'S-coe'!CC35</f>
        <v>7.8051837830116261E-16</v>
      </c>
    </row>
    <row r="36" spans="2:81" x14ac:dyDescent="0.15">
      <c r="B36" t="s">
        <v>32</v>
      </c>
      <c r="C36" s="1">
        <f>$B$1*'S-coe'!C36</f>
        <v>1.3860444753119687E-16</v>
      </c>
      <c r="D36" s="1">
        <f>$B$1*'S-coe'!D36</f>
        <v>1.3860444753119687E-16</v>
      </c>
      <c r="E36" s="1">
        <f>$B$1*'S-coe'!E36</f>
        <v>1.279419889767522E-16</v>
      </c>
      <c r="F36" s="1">
        <f>$B$1*'S-coe'!F36</f>
        <v>1.279419889767522E-16</v>
      </c>
      <c r="G36" s="1">
        <f>$B$1*'S-coe'!G36</f>
        <v>1.4030025332698319E-16</v>
      </c>
      <c r="H36" s="1">
        <f>$B$1*'S-coe'!H36</f>
        <v>1.169331246674023E-16</v>
      </c>
      <c r="I36" s="1">
        <f>$B$1*'S-coe'!I36</f>
        <v>2.2068079577129365E-15</v>
      </c>
      <c r="J36" s="1">
        <f>$B$1*'S-coe'!J36</f>
        <v>2.2068079577129365E-15</v>
      </c>
      <c r="K36" s="1">
        <f>$B$1*'S-coe'!K36</f>
        <v>2.2068079577129365E-15</v>
      </c>
      <c r="L36" s="1">
        <f>$B$1*'S-coe'!L36</f>
        <v>1.3337264550617886E-14</v>
      </c>
      <c r="M36" s="1">
        <f>$B$1*'S-coe'!M36</f>
        <v>1.2542468544452859E-14</v>
      </c>
      <c r="N36" s="1">
        <f>$B$1*'S-coe'!N36</f>
        <v>1.2542468544452859E-14</v>
      </c>
      <c r="O36" s="1">
        <f>$B$1*'S-coe'!O36</f>
        <v>1.9038379043115727E-15</v>
      </c>
      <c r="P36" s="1">
        <f>$B$1*'S-coe'!P36</f>
        <v>1.5570931361238091E-15</v>
      </c>
      <c r="Q36" s="1">
        <f>$B$1*'S-coe'!Q36</f>
        <v>1.5570931361238091E-15</v>
      </c>
      <c r="R36" s="1">
        <f>$B$1*'S-coe'!R36</f>
        <v>1.5570931361238091E-15</v>
      </c>
      <c r="S36" s="1">
        <f>$B$1*'S-coe'!S36</f>
        <v>3.5119629011842808E-16</v>
      </c>
      <c r="T36" s="1">
        <f>$B$1*'S-coe'!T36</f>
        <v>3.5306329762256074E-16</v>
      </c>
      <c r="U36" s="1">
        <f>$B$1*'S-coe'!U36</f>
        <v>3.5306329762256074E-16</v>
      </c>
      <c r="V36" s="1">
        <f>$B$1*'S-coe'!V36</f>
        <v>6.5214404372266611E-16</v>
      </c>
      <c r="W36" s="1">
        <f>$B$1*'S-coe'!W36</f>
        <v>6.3388194339141588E-16</v>
      </c>
      <c r="X36" s="1">
        <f>$B$1*'S-coe'!X36</f>
        <v>6.3388194339141588E-16</v>
      </c>
      <c r="Y36" s="1">
        <f>$B$1*'S-coe'!Y36</f>
        <v>1.2767618974604983E-16</v>
      </c>
      <c r="Z36" s="1">
        <f>$B$1*'S-coe'!Z36</f>
        <v>1.0761224621926914E-16</v>
      </c>
      <c r="AA36" s="1">
        <f>$B$1*'S-coe'!AA36</f>
        <v>1.0761224621926914E-16</v>
      </c>
      <c r="AB36" s="1">
        <f>$B$1*'S-coe'!AB36</f>
        <v>9.5925396652589657E-17</v>
      </c>
      <c r="AC36" s="1">
        <f>$B$1*'S-coe'!AC36</f>
        <v>1.3394623698681716E-16</v>
      </c>
      <c r="AD36" s="1">
        <f>$B$1*'S-coe'!AD36</f>
        <v>1.3394623698681716E-16</v>
      </c>
      <c r="AE36" s="1">
        <f>$B$1*'S-coe'!AE36</f>
        <v>1.3394623698681716E-16</v>
      </c>
      <c r="AF36" s="1">
        <f>$B$1*'S-coe'!AF36</f>
        <v>1.8041997906648018E-16</v>
      </c>
      <c r="AG36" s="1">
        <f>$B$1*'S-coe'!AG36</f>
        <v>1.104558091956499E-15</v>
      </c>
      <c r="AH36" s="1">
        <f>$B$1*'S-coe'!AH36</f>
        <v>1.104558091956499E-15</v>
      </c>
      <c r="AI36" s="1">
        <f>$B$1*'S-coe'!AI36</f>
        <v>1.104558091956499E-15</v>
      </c>
      <c r="AJ36" s="1">
        <f>$B$1*'S-coe'!AJ36</f>
        <v>2.7142610728381617E-15</v>
      </c>
      <c r="AK36" s="1">
        <f>$B$1*'S-coe'!AK36</f>
        <v>2.7142610728381617E-15</v>
      </c>
      <c r="AL36" s="1">
        <f>$B$1*'S-coe'!AL36</f>
        <v>2.7142610728381617E-15</v>
      </c>
      <c r="AM36" s="1">
        <f>$B$1*'S-coe'!AM36</f>
        <v>2.7142610728381617E-15</v>
      </c>
      <c r="AN36" s="1">
        <f>$B$1*'S-coe'!AN36</f>
        <v>8.6335812920776004E-16</v>
      </c>
      <c r="AO36" s="1">
        <f>$B$1*'S-coe'!AO36</f>
        <v>2.8048541731393472E-15</v>
      </c>
      <c r="AP36" s="1">
        <f>$B$1*'S-coe'!AP36</f>
        <v>5.9744972518492312E-15</v>
      </c>
      <c r="AQ36" s="1">
        <f>$B$1*'S-coe'!AQ36</f>
        <v>4.7220074340606702E-15</v>
      </c>
      <c r="AR36" s="1">
        <f>$B$1*'S-coe'!AR36</f>
        <v>5.3510540478092827E-16</v>
      </c>
      <c r="AS36" s="1">
        <f>$B$1*'S-coe'!AS36</f>
        <v>5.3510540478092827E-16</v>
      </c>
      <c r="AT36" s="1">
        <f>$B$1*'S-coe'!AT36</f>
        <v>5.8199682111854261E-16</v>
      </c>
      <c r="AU36" s="1">
        <f>$B$1*'S-coe'!AU36</f>
        <v>5.8199682111854261E-16</v>
      </c>
      <c r="AV36" s="1">
        <f>$B$1*'S-coe'!AV36</f>
        <v>1.9952593073691254E-16</v>
      </c>
      <c r="AW36" s="1">
        <f>$B$1*'S-coe'!AW36</f>
        <v>8.6654425156858581E-16</v>
      </c>
      <c r="AX36" s="1">
        <f>$B$1*'S-coe'!AX36</f>
        <v>1.5447327992842206E-15</v>
      </c>
      <c r="AY36" s="1">
        <f>$B$1*'S-coe'!AY36</f>
        <v>4.1945139570844288E-16</v>
      </c>
      <c r="AZ36" s="1">
        <f>$B$1*'S-coe'!AZ36</f>
        <v>4.5062116998293844E-17</v>
      </c>
      <c r="BA36" s="1">
        <f>$B$1*'S-coe'!BA36</f>
        <v>8.9060018611986544E-16</v>
      </c>
      <c r="BB36" s="1">
        <f>$B$1*'S-coe'!BB36</f>
        <v>7.7930766564714851E-17</v>
      </c>
      <c r="BC36" s="1">
        <f>$B$1*'S-coe'!BC36</f>
        <v>2.4558282428406982E-15</v>
      </c>
      <c r="BD36" s="1">
        <f>$B$1*'S-coe'!BD36</f>
        <v>2.4432366363500377E-15</v>
      </c>
      <c r="BE36" s="1">
        <f>$B$1*'S-coe'!BE36</f>
        <v>3.0325573712778606E-15</v>
      </c>
      <c r="BF36" s="1">
        <f>$B$1*'S-coe'!BF36</f>
        <v>6.0419003056248336E-15</v>
      </c>
      <c r="BG36" s="1">
        <f>$B$1*'S-coe'!BG36</f>
        <v>1.9511440472931382E-15</v>
      </c>
      <c r="BH36" s="1">
        <f>$B$1*'S-coe'!BH36</f>
        <v>1.7589817800294572E-15</v>
      </c>
      <c r="BI36" s="1">
        <f>$B$1*'S-coe'!BI36</f>
        <v>8.9341960894887748E-17</v>
      </c>
      <c r="BJ36" s="1">
        <f>$B$1*'S-coe'!BJ36</f>
        <v>3.0851368072306202E-15</v>
      </c>
      <c r="BK36" s="1">
        <f>$B$1*'S-coe'!BK36</f>
        <v>6.4997966073227012E-17</v>
      </c>
      <c r="BL36" s="1">
        <f>$B$1*'S-coe'!BL36</f>
        <v>0</v>
      </c>
      <c r="BM36" s="1">
        <f>$B$1*'S-coe'!BM36</f>
        <v>1.3329043117550396E-16</v>
      </c>
      <c r="BN36" s="1">
        <f>$B$1*'S-coe'!BN36</f>
        <v>4.962961126627923E-16</v>
      </c>
      <c r="BO36" s="1">
        <f>$B$1*'S-coe'!BO36</f>
        <v>2.5648728817541064E-13</v>
      </c>
      <c r="BP36" s="1">
        <f>$B$1*'S-coe'!BP36</f>
        <v>0</v>
      </c>
      <c r="BQ36" s="1">
        <f>$B$1*'S-coe'!BQ36</f>
        <v>5.5508124586507888E-16</v>
      </c>
      <c r="BR36" s="1">
        <f>$B$1*'S-coe'!BR36</f>
        <v>3.157966839924797E-16</v>
      </c>
      <c r="BS36" s="1">
        <f>$B$1*'S-coe'!BS36</f>
        <v>9.2969095665942803E-16</v>
      </c>
      <c r="BT36" s="1">
        <f>$B$1*'S-coe'!BT36</f>
        <v>9.0172778201898308E-17</v>
      </c>
      <c r="BU36" s="1">
        <f>$B$1*'S-coe'!BU36</f>
        <v>9.5794645406123912E-17</v>
      </c>
      <c r="BV36" s="1">
        <f>$B$1*'S-coe'!BV36</f>
        <v>9.5710073997512128E-17</v>
      </c>
      <c r="BW36" s="1">
        <f>$B$1*'S-coe'!BW36</f>
        <v>7.3828529142285202E-16</v>
      </c>
      <c r="BX36" s="1">
        <f>$B$1*'S-coe'!BX36</f>
        <v>6.9983265581204631E-16</v>
      </c>
      <c r="BY36" s="1">
        <f>$B$1*'S-coe'!BY36</f>
        <v>6.4044430346725048E-16</v>
      </c>
      <c r="BZ36" s="1">
        <f>$B$1*'S-coe'!BZ36</f>
        <v>1.3394623698681716E-16</v>
      </c>
      <c r="CA36" s="1">
        <f>$B$1*'S-coe'!CA36</f>
        <v>1.3394623698681716E-16</v>
      </c>
      <c r="CB36" s="1">
        <f>$B$1*'S-coe'!CB36</f>
        <v>2.6600463835519541E-15</v>
      </c>
      <c r="CC36" s="1">
        <f>$B$1*'S-coe'!CC36</f>
        <v>2.6735612581028918E-15</v>
      </c>
    </row>
    <row r="37" spans="2:81" x14ac:dyDescent="0.15">
      <c r="B37" t="s">
        <v>11</v>
      </c>
      <c r="C37" s="1">
        <f>$B$1*'S-coe'!C37</f>
        <v>1.2193460446061261E-16</v>
      </c>
      <c r="D37" s="1">
        <f>$B$1*'S-coe'!D37</f>
        <v>1.2194033320084528E-16</v>
      </c>
      <c r="E37" s="1">
        <f>$B$1*'S-coe'!E37</f>
        <v>1.2778731332756044E-16</v>
      </c>
      <c r="F37" s="1">
        <f>$B$1*'S-coe'!F37</f>
        <v>1.2778731332756044E-16</v>
      </c>
      <c r="G37" s="1">
        <f>$B$1*'S-coe'!G37</f>
        <v>1.2008969479601369E-16</v>
      </c>
      <c r="H37" s="1">
        <f>$B$1*'S-coe'!H37</f>
        <v>9.3718948164276154E-17</v>
      </c>
      <c r="I37" s="1">
        <f>$B$1*'S-coe'!I37</f>
        <v>1.6347835789609801E-15</v>
      </c>
      <c r="J37" s="1">
        <f>$B$1*'S-coe'!J37</f>
        <v>1.6347835789609801E-15</v>
      </c>
      <c r="K37" s="1">
        <f>$B$1*'S-coe'!K37</f>
        <v>1.6347835789609801E-15</v>
      </c>
      <c r="L37" s="1">
        <f>$B$1*'S-coe'!L37</f>
        <v>4.7797448842937973E-15</v>
      </c>
      <c r="M37" s="1">
        <f>$B$1*'S-coe'!M37</f>
        <v>6.4431391506974203E-15</v>
      </c>
      <c r="N37" s="1">
        <f>$B$1*'S-coe'!N37</f>
        <v>6.4431391506974203E-15</v>
      </c>
      <c r="O37" s="1">
        <f>$B$1*'S-coe'!O37</f>
        <v>4.0891944288216348E-15</v>
      </c>
      <c r="P37" s="1">
        <f>$B$1*'S-coe'!P37</f>
        <v>3.7132536320552062E-15</v>
      </c>
      <c r="Q37" s="1">
        <f>$B$1*'S-coe'!Q37</f>
        <v>3.7132536320552062E-15</v>
      </c>
      <c r="R37" s="1">
        <f>$B$1*'S-coe'!R37</f>
        <v>3.7132536320552062E-15</v>
      </c>
      <c r="S37" s="1">
        <f>$B$1*'S-coe'!S37</f>
        <v>1.7062835673934244E-15</v>
      </c>
      <c r="T37" s="1">
        <f>$B$1*'S-coe'!T37</f>
        <v>1.7580963912815201E-15</v>
      </c>
      <c r="U37" s="1">
        <f>$B$1*'S-coe'!U37</f>
        <v>1.7580963912815201E-15</v>
      </c>
      <c r="V37" s="1">
        <f>$B$1*'S-coe'!V37</f>
        <v>9.1195368336030773E-16</v>
      </c>
      <c r="W37" s="1">
        <f>$B$1*'S-coe'!W37</f>
        <v>8.7048267541109012E-16</v>
      </c>
      <c r="X37" s="1">
        <f>$B$1*'S-coe'!X37</f>
        <v>8.7048267541109012E-16</v>
      </c>
      <c r="Y37" s="1">
        <f>$B$1*'S-coe'!Y37</f>
        <v>2.02525270252026E-16</v>
      </c>
      <c r="Z37" s="1">
        <f>$B$1*'S-coe'!Z37</f>
        <v>1.7202810302130658E-16</v>
      </c>
      <c r="AA37" s="1">
        <f>$B$1*'S-coe'!AA37</f>
        <v>1.7203541689323994E-16</v>
      </c>
      <c r="AB37" s="1">
        <f>$B$1*'S-coe'!AB37</f>
        <v>1.0607780889162029E-16</v>
      </c>
      <c r="AC37" s="1">
        <f>$B$1*'S-coe'!AC37</f>
        <v>8.7425959577190311E-17</v>
      </c>
      <c r="AD37" s="1">
        <f>$B$1*'S-coe'!AD37</f>
        <v>8.7425959577190311E-17</v>
      </c>
      <c r="AE37" s="1">
        <f>$B$1*'S-coe'!AE37</f>
        <v>8.7425959577190311E-17</v>
      </c>
      <c r="AF37" s="1">
        <f>$B$1*'S-coe'!AF37</f>
        <v>1.4014716126283651E-16</v>
      </c>
      <c r="AG37" s="1">
        <f>$B$1*'S-coe'!AG37</f>
        <v>6.9519320368208615E-16</v>
      </c>
      <c r="AH37" s="1">
        <f>$B$1*'S-coe'!AH37</f>
        <v>6.9519320368208615E-16</v>
      </c>
      <c r="AI37" s="1">
        <f>$B$1*'S-coe'!AI37</f>
        <v>6.9519320368208615E-16</v>
      </c>
      <c r="AJ37" s="1">
        <f>$B$1*'S-coe'!AJ37</f>
        <v>1.2952553671883107E-15</v>
      </c>
      <c r="AK37" s="1">
        <f>$B$1*'S-coe'!AK37</f>
        <v>1.2952553671883107E-15</v>
      </c>
      <c r="AL37" s="1">
        <f>$B$1*'S-coe'!AL37</f>
        <v>1.2952553671883107E-15</v>
      </c>
      <c r="AM37" s="1">
        <f>$B$1*'S-coe'!AM37</f>
        <v>1.2952553671883107E-15</v>
      </c>
      <c r="AN37" s="1">
        <f>$B$1*'S-coe'!AN37</f>
        <v>6.1299756523728467E-16</v>
      </c>
      <c r="AO37" s="1">
        <f>$B$1*'S-coe'!AO37</f>
        <v>1.2836791953428286E-15</v>
      </c>
      <c r="AP37" s="1">
        <f>$B$1*'S-coe'!AP37</f>
        <v>2.2880245726794569E-14</v>
      </c>
      <c r="AQ37" s="1">
        <f>$B$1*'S-coe'!AQ37</f>
        <v>8.1941248560859247E-16</v>
      </c>
      <c r="AR37" s="1">
        <f>$B$1*'S-coe'!AR37</f>
        <v>7.819096997630731E-16</v>
      </c>
      <c r="AS37" s="1">
        <f>$B$1*'S-coe'!AS37</f>
        <v>7.819096997630731E-16</v>
      </c>
      <c r="AT37" s="1">
        <f>$B$1*'S-coe'!AT37</f>
        <v>9.9210075257409647E-16</v>
      </c>
      <c r="AU37" s="1">
        <f>$B$1*'S-coe'!AU37</f>
        <v>9.9210075257409647E-16</v>
      </c>
      <c r="AV37" s="1">
        <f>$B$1*'S-coe'!AV37</f>
        <v>1.1115215940569519E-16</v>
      </c>
      <c r="AW37" s="1">
        <f>$B$1*'S-coe'!AW37</f>
        <v>1.1437151069759207E-15</v>
      </c>
      <c r="AX37" s="1">
        <f>$B$1*'S-coe'!AX37</f>
        <v>2.122110413496099E-15</v>
      </c>
      <c r="AY37" s="1">
        <f>$B$1*'S-coe'!AY37</f>
        <v>5.0070386089962035E-16</v>
      </c>
      <c r="AZ37" s="1">
        <f>$B$1*'S-coe'!AZ37</f>
        <v>2.7528930318185092E-17</v>
      </c>
      <c r="BA37" s="1">
        <f>$B$1*'S-coe'!BA37</f>
        <v>9.7372705176283067E-16</v>
      </c>
      <c r="BB37" s="1">
        <f>$B$1*'S-coe'!BB37</f>
        <v>7.5991418422853436E-17</v>
      </c>
      <c r="BC37" s="1">
        <f>$B$1*'S-coe'!BC37</f>
        <v>3.910718027674368E-12</v>
      </c>
      <c r="BD37" s="1">
        <f>$B$1*'S-coe'!BD37</f>
        <v>1.7385449255275419E-13</v>
      </c>
      <c r="BE37" s="1">
        <f>$B$1*'S-coe'!BE37</f>
        <v>1.7938402920210675E-15</v>
      </c>
      <c r="BF37" s="1">
        <f>$B$1*'S-coe'!BF37</f>
        <v>8.5043936684747416E-15</v>
      </c>
      <c r="BG37" s="1">
        <f>$B$1*'S-coe'!BG37</f>
        <v>1.4810763060670747E-14</v>
      </c>
      <c r="BH37" s="1">
        <f>$B$1*'S-coe'!BH37</f>
        <v>4.265311234286598E-15</v>
      </c>
      <c r="BI37" s="1">
        <f>$B$1*'S-coe'!BI37</f>
        <v>1.6660983005984244E-16</v>
      </c>
      <c r="BJ37" s="1">
        <f>$B$1*'S-coe'!BJ37</f>
        <v>1.8630428233940621E-14</v>
      </c>
      <c r="BK37" s="1">
        <f>$B$1*'S-coe'!BK37</f>
        <v>4.6929350355444046E-17</v>
      </c>
      <c r="BL37" s="1">
        <f>$B$1*'S-coe'!BL37</f>
        <v>0</v>
      </c>
      <c r="BM37" s="1">
        <f>$B$1*'S-coe'!BM37</f>
        <v>9.4088242868891648E-17</v>
      </c>
      <c r="BN37" s="1">
        <f>$B$1*'S-coe'!BN37</f>
        <v>3.4917882726319249E-16</v>
      </c>
      <c r="BO37" s="1">
        <f>$B$1*'S-coe'!BO37</f>
        <v>2.4660995023768226E-15</v>
      </c>
      <c r="BP37" s="1">
        <f>$B$1*'S-coe'!BP37</f>
        <v>0</v>
      </c>
      <c r="BQ37" s="1">
        <f>$B$1*'S-coe'!BQ37</f>
        <v>4.8468207017279894E-16</v>
      </c>
      <c r="BR37" s="1">
        <f>$B$1*'S-coe'!BR37</f>
        <v>2.3485579620797615E-16</v>
      </c>
      <c r="BS37" s="1">
        <f>$B$1*'S-coe'!BS37</f>
        <v>5.1543881409085517E-15</v>
      </c>
      <c r="BT37" s="1">
        <f>$B$1*'S-coe'!BT37</f>
        <v>1.8267170310891023E-16</v>
      </c>
      <c r="BU37" s="1">
        <f>$B$1*'S-coe'!BU37</f>
        <v>1.7730890643306875E-16</v>
      </c>
      <c r="BV37" s="1">
        <f>$B$1*'S-coe'!BV37</f>
        <v>1.6033162715301708E-16</v>
      </c>
      <c r="BW37" s="1">
        <f>$B$1*'S-coe'!BW37</f>
        <v>5.702386065161686E-16</v>
      </c>
      <c r="BX37" s="1">
        <f>$B$1*'S-coe'!BX37</f>
        <v>1.2919889299697179E-15</v>
      </c>
      <c r="BY37" s="1">
        <f>$B$1*'S-coe'!BY37</f>
        <v>5.6024462538032775E-16</v>
      </c>
      <c r="BZ37" s="1">
        <f>$B$1*'S-coe'!BZ37</f>
        <v>8.7425959577190311E-17</v>
      </c>
      <c r="CA37" s="1">
        <f>$B$1*'S-coe'!CA37</f>
        <v>8.7425959577190311E-17</v>
      </c>
      <c r="CB37" s="1">
        <f>$B$1*'S-coe'!CB37</f>
        <v>1.2752959313503618E-15</v>
      </c>
      <c r="CC37" s="1">
        <f>$B$1*'S-coe'!CC37</f>
        <v>1.2778316969236588E-15</v>
      </c>
    </row>
    <row r="38" spans="2:81" x14ac:dyDescent="0.15">
      <c r="B38" t="s">
        <v>39</v>
      </c>
      <c r="C38" s="1">
        <f>$B$1*'S-coe'!C38</f>
        <v>2.7841662968833566E-17</v>
      </c>
      <c r="D38" s="1">
        <f>$B$1*'S-coe'!D38</f>
        <v>2.7841662968833566E-17</v>
      </c>
      <c r="E38" s="1">
        <f>$B$1*'S-coe'!E38</f>
        <v>3.0036845187755907E-17</v>
      </c>
      <c r="F38" s="1">
        <f>$B$1*'S-coe'!F38</f>
        <v>3.0036845187755907E-17</v>
      </c>
      <c r="G38" s="1">
        <f>$B$1*'S-coe'!G38</f>
        <v>2.7608568964198134E-17</v>
      </c>
      <c r="H38" s="1">
        <f>$B$1*'S-coe'!H38</f>
        <v>2.0273844599117009E-17</v>
      </c>
      <c r="I38" s="1">
        <f>$B$1*'S-coe'!I38</f>
        <v>2.6706314816128664E-16</v>
      </c>
      <c r="J38" s="1">
        <f>$B$1*'S-coe'!J38</f>
        <v>2.6706314816128664E-16</v>
      </c>
      <c r="K38" s="1">
        <f>$B$1*'S-coe'!K38</f>
        <v>2.6706314816128664E-16</v>
      </c>
      <c r="L38" s="1">
        <f>$B$1*'S-coe'!L38</f>
        <v>1.5609203352491537E-15</v>
      </c>
      <c r="M38" s="1">
        <f>$B$1*'S-coe'!M38</f>
        <v>2.049185626411985E-15</v>
      </c>
      <c r="N38" s="1">
        <f>$B$1*'S-coe'!N38</f>
        <v>2.049185626411985E-15</v>
      </c>
      <c r="O38" s="1">
        <f>$B$1*'S-coe'!O38</f>
        <v>6.7545089253239666E-15</v>
      </c>
      <c r="P38" s="1">
        <f>$B$1*'S-coe'!P38</f>
        <v>8.87215516569082E-15</v>
      </c>
      <c r="Q38" s="1">
        <f>$B$1*'S-coe'!Q38</f>
        <v>8.87215516569082E-15</v>
      </c>
      <c r="R38" s="1">
        <f>$B$1*'S-coe'!R38</f>
        <v>8.87215516569082E-15</v>
      </c>
      <c r="S38" s="1">
        <f>$B$1*'S-coe'!S38</f>
        <v>4.9370913125305606E-15</v>
      </c>
      <c r="T38" s="1">
        <f>$B$1*'S-coe'!T38</f>
        <v>5.0717077127826439E-15</v>
      </c>
      <c r="U38" s="1">
        <f>$B$1*'S-coe'!U38</f>
        <v>5.0717077127826439E-15</v>
      </c>
      <c r="V38" s="1">
        <f>$B$1*'S-coe'!V38</f>
        <v>5.0494229850265201E-15</v>
      </c>
      <c r="W38" s="1">
        <f>$B$1*'S-coe'!W38</f>
        <v>5.1772478426068783E-15</v>
      </c>
      <c r="X38" s="1">
        <f>$B$1*'S-coe'!X38</f>
        <v>5.1772478426068783E-15</v>
      </c>
      <c r="Y38" s="1">
        <f>$B$1*'S-coe'!Y38</f>
        <v>5.2538309077088334E-15</v>
      </c>
      <c r="Z38" s="1">
        <f>$B$1*'S-coe'!Z38</f>
        <v>4.9935576500387467E-15</v>
      </c>
      <c r="AA38" s="1">
        <f>$B$1*'S-coe'!AA38</f>
        <v>4.9935576500387467E-15</v>
      </c>
      <c r="AB38" s="1">
        <f>$B$1*'S-coe'!AB38</f>
        <v>2.7867589494482481E-17</v>
      </c>
      <c r="AC38" s="1">
        <f>$B$1*'S-coe'!AC38</f>
        <v>2.2745575517217662E-17</v>
      </c>
      <c r="AD38" s="1">
        <f>$B$1*'S-coe'!AD38</f>
        <v>2.2745575517217662E-17</v>
      </c>
      <c r="AE38" s="1">
        <f>$B$1*'S-coe'!AE38</f>
        <v>2.2745575517217662E-17</v>
      </c>
      <c r="AF38" s="1">
        <f>$B$1*'S-coe'!AF38</f>
        <v>3.0095078041446309E-17</v>
      </c>
      <c r="AG38" s="1">
        <f>$B$1*'S-coe'!AG38</f>
        <v>1.3997638976801446E-16</v>
      </c>
      <c r="AH38" s="1">
        <f>$B$1*'S-coe'!AH38</f>
        <v>1.3997638976801446E-16</v>
      </c>
      <c r="AI38" s="1">
        <f>$B$1*'S-coe'!AI38</f>
        <v>1.3997638976801446E-16</v>
      </c>
      <c r="AJ38" s="1">
        <f>$B$1*'S-coe'!AJ38</f>
        <v>2.6579833577951744E-16</v>
      </c>
      <c r="AK38" s="1">
        <f>$B$1*'S-coe'!AK38</f>
        <v>2.6579833577951744E-16</v>
      </c>
      <c r="AL38" s="1">
        <f>$B$1*'S-coe'!AL38</f>
        <v>2.6579833577951744E-16</v>
      </c>
      <c r="AM38" s="1">
        <f>$B$1*'S-coe'!AM38</f>
        <v>2.6580818783240632E-16</v>
      </c>
      <c r="AN38" s="1">
        <f>$B$1*'S-coe'!AN38</f>
        <v>1.2575323474720236E-16</v>
      </c>
      <c r="AO38" s="1">
        <f>$B$1*'S-coe'!AO38</f>
        <v>2.6303949356507264E-16</v>
      </c>
      <c r="AP38" s="1">
        <f>$B$1*'S-coe'!AP38</f>
        <v>3.227541422125346E-15</v>
      </c>
      <c r="AQ38" s="1">
        <f>$B$1*'S-coe'!AQ38</f>
        <v>6.3894924317102303E-16</v>
      </c>
      <c r="AR38" s="1">
        <f>$B$1*'S-coe'!AR38</f>
        <v>1.0212998595343769E-15</v>
      </c>
      <c r="AS38" s="1">
        <f>$B$1*'S-coe'!AS38</f>
        <v>1.0212998595343769E-15</v>
      </c>
      <c r="AT38" s="1">
        <f>$B$1*'S-coe'!AT38</f>
        <v>1.7357866750244053E-15</v>
      </c>
      <c r="AU38" s="1">
        <f>$B$1*'S-coe'!AU38</f>
        <v>1.7357866750244053E-15</v>
      </c>
      <c r="AV38" s="1">
        <f>$B$1*'S-coe'!AV38</f>
        <v>1.3091309066788209E-16</v>
      </c>
      <c r="AW38" s="1">
        <f>$B$1*'S-coe'!AW38</f>
        <v>1.9850812328715386E-15</v>
      </c>
      <c r="AX38" s="1">
        <f>$B$1*'S-coe'!AX38</f>
        <v>3.3321424657242462E-15</v>
      </c>
      <c r="AY38" s="1">
        <f>$B$1*'S-coe'!AY38</f>
        <v>1.0458245601397456E-15</v>
      </c>
      <c r="AZ38" s="1">
        <f>$B$1*'S-coe'!AZ38</f>
        <v>7.9555955767594935E-18</v>
      </c>
      <c r="BA38" s="1">
        <f>$B$1*'S-coe'!BA38</f>
        <v>1.9925371568901244E-16</v>
      </c>
      <c r="BB38" s="1">
        <f>$B$1*'S-coe'!BB38</f>
        <v>2.3569593522567345E-17</v>
      </c>
      <c r="BC38" s="1">
        <f>$B$1*'S-coe'!BC38</f>
        <v>5.1504860664464322E-15</v>
      </c>
      <c r="BD38" s="1">
        <f>$B$1*'S-coe'!BD38</f>
        <v>5.187528847380284E-15</v>
      </c>
      <c r="BE38" s="1">
        <f>$B$1*'S-coe'!BE38</f>
        <v>3.5447460647741512E-16</v>
      </c>
      <c r="BF38" s="1">
        <f>$B$1*'S-coe'!BF38</f>
        <v>5.3561726274669849E-15</v>
      </c>
      <c r="BG38" s="1">
        <f>$B$1*'S-coe'!BG38</f>
        <v>1.4630132371075333E-15</v>
      </c>
      <c r="BH38" s="1">
        <f>$B$1*'S-coe'!BH38</f>
        <v>4.9539066874482494E-15</v>
      </c>
      <c r="BI38" s="1">
        <f>$B$1*'S-coe'!BI38</f>
        <v>3.6149945120573311E-15</v>
      </c>
      <c r="BJ38" s="1">
        <f>$B$1*'S-coe'!BJ38</f>
        <v>7.5679751105466298E-15</v>
      </c>
      <c r="BK38" s="1">
        <f>$B$1*'S-coe'!BK38</f>
        <v>1.1102716171093828E-17</v>
      </c>
      <c r="BL38" s="1">
        <f>$B$1*'S-coe'!BL38</f>
        <v>0</v>
      </c>
      <c r="BM38" s="1">
        <f>$B$1*'S-coe'!BM38</f>
        <v>2.186867953023475E-17</v>
      </c>
      <c r="BN38" s="1">
        <f>$B$1*'S-coe'!BN38</f>
        <v>3.3391244954432435E-16</v>
      </c>
      <c r="BO38" s="1">
        <f>$B$1*'S-coe'!BO38</f>
        <v>9.5089755563744219E-16</v>
      </c>
      <c r="BP38" s="1">
        <f>$B$1*'S-coe'!BP38</f>
        <v>0</v>
      </c>
      <c r="BQ38" s="1">
        <f>$B$1*'S-coe'!BQ38</f>
        <v>1.0476571556477055E-16</v>
      </c>
      <c r="BR38" s="1">
        <f>$B$1*'S-coe'!BR38</f>
        <v>5.5973771551916777E-17</v>
      </c>
      <c r="BS38" s="1">
        <f>$B$1*'S-coe'!BS38</f>
        <v>2.3485230034723353E-12</v>
      </c>
      <c r="BT38" s="1">
        <f>$B$1*'S-coe'!BT38</f>
        <v>6.1476484262902427E-15</v>
      </c>
      <c r="BU38" s="1">
        <f>$B$1*'S-coe'!BU38</f>
        <v>4.5425394219817661E-15</v>
      </c>
      <c r="BV38" s="1">
        <f>$B$1*'S-coe'!BV38</f>
        <v>4.1246388389595036E-15</v>
      </c>
      <c r="BW38" s="1">
        <f>$B$1*'S-coe'!BW38</f>
        <v>1.0327160771775321E-15</v>
      </c>
      <c r="BX38" s="1">
        <f>$B$1*'S-coe'!BX38</f>
        <v>2.1774873835301777E-15</v>
      </c>
      <c r="BY38" s="1">
        <f>$B$1*'S-coe'!BY38</f>
        <v>1.0397799614158062E-15</v>
      </c>
      <c r="BZ38" s="1">
        <f>$B$1*'S-coe'!BZ38</f>
        <v>2.2745575517217662E-17</v>
      </c>
      <c r="CA38" s="1">
        <f>$B$1*'S-coe'!CA38</f>
        <v>2.2745575517217662E-17</v>
      </c>
      <c r="CB38" s="1">
        <f>$B$1*'S-coe'!CB38</f>
        <v>2.6167597122400465E-16</v>
      </c>
      <c r="CC38" s="1">
        <f>$B$1*'S-coe'!CC38</f>
        <v>2.6230977132449239E-16</v>
      </c>
    </row>
    <row r="39" spans="2:81" x14ac:dyDescent="0.15">
      <c r="B39" t="s">
        <v>40</v>
      </c>
      <c r="C39" s="1">
        <f>$B$1*'S-coe'!C39</f>
        <v>5.2011456807009226E-18</v>
      </c>
      <c r="D39" s="1">
        <f>$B$1*'S-coe'!D39</f>
        <v>5.2011456807009226E-18</v>
      </c>
      <c r="E39" s="1">
        <f>$B$1*'S-coe'!E39</f>
        <v>4.8701746834023033E-18</v>
      </c>
      <c r="F39" s="1">
        <f>$B$1*'S-coe'!F39</f>
        <v>4.8701746834023033E-18</v>
      </c>
      <c r="G39" s="1">
        <f>$B$1*'S-coe'!G39</f>
        <v>4.0507778828639077E-18</v>
      </c>
      <c r="H39" s="1">
        <f>$B$1*'S-coe'!H39</f>
        <v>3.3260396608746741E-18</v>
      </c>
      <c r="I39" s="1">
        <f>$B$1*'S-coe'!I39</f>
        <v>2.5482644750000406E-17</v>
      </c>
      <c r="J39" s="1">
        <f>$B$1*'S-coe'!J39</f>
        <v>2.5482644750000406E-17</v>
      </c>
      <c r="K39" s="1">
        <f>$B$1*'S-coe'!K39</f>
        <v>2.5482644750000406E-17</v>
      </c>
      <c r="L39" s="1">
        <f>$B$1*'S-coe'!L39</f>
        <v>1.282546949667954E-16</v>
      </c>
      <c r="M39" s="1">
        <f>$B$1*'S-coe'!M39</f>
        <v>1.6066434042311483E-16</v>
      </c>
      <c r="N39" s="1">
        <f>$B$1*'S-coe'!N39</f>
        <v>1.6066434042311483E-16</v>
      </c>
      <c r="O39" s="1">
        <f>$B$1*'S-coe'!O39</f>
        <v>4.0380125538030194E-15</v>
      </c>
      <c r="P39" s="1">
        <f>$B$1*'S-coe'!P39</f>
        <v>4.1431462759185403E-15</v>
      </c>
      <c r="Q39" s="1">
        <f>$B$1*'S-coe'!Q39</f>
        <v>4.1431462759185403E-15</v>
      </c>
      <c r="R39" s="1">
        <f>$B$1*'S-coe'!R39</f>
        <v>4.1431462759185403E-15</v>
      </c>
      <c r="S39" s="1">
        <f>$B$1*'S-coe'!S39</f>
        <v>1.510376602823058E-15</v>
      </c>
      <c r="T39" s="1">
        <f>$B$1*'S-coe'!T39</f>
        <v>1.5840835503616354E-15</v>
      </c>
      <c r="U39" s="1">
        <f>$B$1*'S-coe'!U39</f>
        <v>1.5840835503616354E-15</v>
      </c>
      <c r="V39" s="1">
        <f>$B$1*'S-coe'!V39</f>
        <v>1.850025194983332E-15</v>
      </c>
      <c r="W39" s="1">
        <f>$B$1*'S-coe'!W39</f>
        <v>2.1568624684449801E-15</v>
      </c>
      <c r="X39" s="1">
        <f>$B$1*'S-coe'!X39</f>
        <v>2.1568624684449801E-15</v>
      </c>
      <c r="Y39" s="1">
        <f>$B$1*'S-coe'!Y39</f>
        <v>9.633747942162818E-15</v>
      </c>
      <c r="Z39" s="1">
        <f>$B$1*'S-coe'!Z39</f>
        <v>1.2469028736698452E-14</v>
      </c>
      <c r="AA39" s="1">
        <f>$B$1*'S-coe'!AA39</f>
        <v>1.2469028736698452E-14</v>
      </c>
      <c r="AB39" s="1">
        <f>$B$1*'S-coe'!AB39</f>
        <v>6.2760918180500327E-18</v>
      </c>
      <c r="AC39" s="1">
        <f>$B$1*'S-coe'!AC39</f>
        <v>3.9828741368680274E-18</v>
      </c>
      <c r="AD39" s="1">
        <f>$B$1*'S-coe'!AD39</f>
        <v>3.9828741368680274E-18</v>
      </c>
      <c r="AE39" s="1">
        <f>$B$1*'S-coe'!AE39</f>
        <v>3.9828741368680274E-18</v>
      </c>
      <c r="AF39" s="1">
        <f>$B$1*'S-coe'!AF39</f>
        <v>5.3092335532625626E-18</v>
      </c>
      <c r="AG39" s="1">
        <f>$B$1*'S-coe'!AG39</f>
        <v>1.556839608662114E-17</v>
      </c>
      <c r="AH39" s="1">
        <f>$B$1*'S-coe'!AH39</f>
        <v>1.556839608662114E-17</v>
      </c>
      <c r="AI39" s="1">
        <f>$B$1*'S-coe'!AI39</f>
        <v>1.556839608662114E-17</v>
      </c>
      <c r="AJ39" s="1">
        <f>$B$1*'S-coe'!AJ39</f>
        <v>2.972248223960726E-17</v>
      </c>
      <c r="AK39" s="1">
        <f>$B$1*'S-coe'!AK39</f>
        <v>2.972248223960726E-17</v>
      </c>
      <c r="AL39" s="1">
        <f>$B$1*'S-coe'!AL39</f>
        <v>2.972248223960726E-17</v>
      </c>
      <c r="AM39" s="1">
        <f>$B$1*'S-coe'!AM39</f>
        <v>2.9723227994743944E-17</v>
      </c>
      <c r="AN39" s="1">
        <f>$B$1*'S-coe'!AN39</f>
        <v>1.4281276666750424E-17</v>
      </c>
      <c r="AO39" s="1">
        <f>$B$1*'S-coe'!AO39</f>
        <v>2.9044526460386083E-17</v>
      </c>
      <c r="AP39" s="1">
        <f>$B$1*'S-coe'!AP39</f>
        <v>1.4222028212375478E-16</v>
      </c>
      <c r="AQ39" s="1">
        <f>$B$1*'S-coe'!AQ39</f>
        <v>6.6266967961378251E-16</v>
      </c>
      <c r="AR39" s="1">
        <f>$B$1*'S-coe'!AR39</f>
        <v>8.0338711425333117E-16</v>
      </c>
      <c r="AS39" s="1">
        <f>$B$1*'S-coe'!AS39</f>
        <v>8.0338711425333117E-16</v>
      </c>
      <c r="AT39" s="1">
        <f>$B$1*'S-coe'!AT39</f>
        <v>8.4488813653237804E-16</v>
      </c>
      <c r="AU39" s="1">
        <f>$B$1*'S-coe'!AU39</f>
        <v>8.4488813653237804E-16</v>
      </c>
      <c r="AV39" s="1">
        <f>$B$1*'S-coe'!AV39</f>
        <v>2.4282349569387917E-16</v>
      </c>
      <c r="AW39" s="1">
        <f>$B$1*'S-coe'!AW39</f>
        <v>1.2785221499791127E-15</v>
      </c>
      <c r="AX39" s="1">
        <f>$B$1*'S-coe'!AX39</f>
        <v>1.6386366106757664E-15</v>
      </c>
      <c r="AY39" s="1">
        <f>$B$1*'S-coe'!AY39</f>
        <v>9.3158682614673199E-16</v>
      </c>
      <c r="AZ39" s="1">
        <f>$B$1*'S-coe'!AZ39</f>
        <v>1.7936561028487365E-18</v>
      </c>
      <c r="BA39" s="1">
        <f>$B$1*'S-coe'!BA39</f>
        <v>2.4056643838070342E-17</v>
      </c>
      <c r="BB39" s="1">
        <f>$B$1*'S-coe'!BB39</f>
        <v>5.3933303024171785E-18</v>
      </c>
      <c r="BC39" s="1">
        <f>$B$1*'S-coe'!BC39</f>
        <v>1.7194150762062506E-16</v>
      </c>
      <c r="BD39" s="1">
        <f>$B$1*'S-coe'!BD39</f>
        <v>1.7153888782204803E-16</v>
      </c>
      <c r="BE39" s="1">
        <f>$B$1*'S-coe'!BE39</f>
        <v>3.6322549798826443E-17</v>
      </c>
      <c r="BF39" s="1">
        <f>$B$1*'S-coe'!BF39</f>
        <v>2.5346631580027072E-16</v>
      </c>
      <c r="BG39" s="1">
        <f>$B$1*'S-coe'!BG39</f>
        <v>1.0914189003094597E-16</v>
      </c>
      <c r="BH39" s="1">
        <f>$B$1*'S-coe'!BH39</f>
        <v>2.466804599382197E-15</v>
      </c>
      <c r="BI39" s="1">
        <f>$B$1*'S-coe'!BI39</f>
        <v>1.2065954200976476E-14</v>
      </c>
      <c r="BJ39" s="1">
        <f>$B$1*'S-coe'!BJ39</f>
        <v>2.7054297743279315E-16</v>
      </c>
      <c r="BK39" s="1">
        <f>$B$1*'S-coe'!BK39</f>
        <v>1.8864113749241544E-18</v>
      </c>
      <c r="BL39" s="1">
        <f>$B$1*'S-coe'!BL39</f>
        <v>0</v>
      </c>
      <c r="BM39" s="1">
        <f>$B$1*'S-coe'!BM39</f>
        <v>3.4879622985042373E-18</v>
      </c>
      <c r="BN39" s="1">
        <f>$B$1*'S-coe'!BN39</f>
        <v>4.2923874500253449E-16</v>
      </c>
      <c r="BO39" s="1">
        <f>$B$1*'S-coe'!BO39</f>
        <v>9.2470196735710969E-17</v>
      </c>
      <c r="BP39" s="1">
        <f>$B$1*'S-coe'!BP39</f>
        <v>0</v>
      </c>
      <c r="BQ39" s="1">
        <f>$B$1*'S-coe'!BQ39</f>
        <v>1.3866642636210013E-17</v>
      </c>
      <c r="BR39" s="1">
        <f>$B$1*'S-coe'!BR39</f>
        <v>7.0180067703712082E-18</v>
      </c>
      <c r="BS39" s="1">
        <f>$B$1*'S-coe'!BS39</f>
        <v>6.1578427524156777E-15</v>
      </c>
      <c r="BT39" s="1">
        <f>$B$1*'S-coe'!BT39</f>
        <v>9.0053855435066335E-13</v>
      </c>
      <c r="BU39" s="1">
        <f>$B$1*'S-coe'!BU39</f>
        <v>4.9832555731231778E-14</v>
      </c>
      <c r="BV39" s="1">
        <f>$B$1*'S-coe'!BV39</f>
        <v>3.1460549797593641E-14</v>
      </c>
      <c r="BW39" s="1">
        <f>$B$1*'S-coe'!BW39</f>
        <v>9.0629148058587882E-16</v>
      </c>
      <c r="BX39" s="1">
        <f>$B$1*'S-coe'!BX39</f>
        <v>1.0492811086355224E-15</v>
      </c>
      <c r="BY39" s="1">
        <f>$B$1*'S-coe'!BY39</f>
        <v>9.775958280990173E-16</v>
      </c>
      <c r="BZ39" s="1">
        <f>$B$1*'S-coe'!BZ39</f>
        <v>3.9828741368680274E-18</v>
      </c>
      <c r="CA39" s="1">
        <f>$B$1*'S-coe'!CA39</f>
        <v>3.9828741368680274E-18</v>
      </c>
      <c r="CB39" s="1">
        <f>$B$1*'S-coe'!CB39</f>
        <v>2.9254262076732198E-17</v>
      </c>
      <c r="CC39" s="1">
        <f>$B$1*'S-coe'!CC39</f>
        <v>2.9336504863029231E-17</v>
      </c>
    </row>
    <row r="40" spans="2:81" x14ac:dyDescent="0.15">
      <c r="B40" t="s">
        <v>22</v>
      </c>
      <c r="C40" s="1">
        <f>$B$1*'S-coe'!C40</f>
        <v>2.9545469142100039E-18</v>
      </c>
      <c r="D40" s="1">
        <f>$B$1*'S-coe'!D40</f>
        <v>4.3387132788950959E-18</v>
      </c>
      <c r="E40" s="1">
        <f>$B$1*'S-coe'!E40</f>
        <v>4.6711024925213606E-18</v>
      </c>
      <c r="F40" s="1">
        <f>$B$1*'S-coe'!F40</f>
        <v>4.6711024925213606E-18</v>
      </c>
      <c r="G40" s="1">
        <f>$B$1*'S-coe'!G40</f>
        <v>5.5524230750137443E-18</v>
      </c>
      <c r="H40" s="1">
        <f>$B$1*'S-coe'!H40</f>
        <v>3.7914022158286585E-18</v>
      </c>
      <c r="I40" s="1">
        <f>$B$1*'S-coe'!I40</f>
        <v>2.6242576381642005E-17</v>
      </c>
      <c r="J40" s="1">
        <f>$B$1*'S-coe'!J40</f>
        <v>2.6242576381642005E-17</v>
      </c>
      <c r="K40" s="1">
        <f>$B$1*'S-coe'!K40</f>
        <v>2.6242595692343234E-17</v>
      </c>
      <c r="L40" s="1">
        <f>$B$1*'S-coe'!L40</f>
        <v>1.2434680784756023E-16</v>
      </c>
      <c r="M40" s="1">
        <f>$B$1*'S-coe'!M40</f>
        <v>1.4713285947056546E-16</v>
      </c>
      <c r="N40" s="1">
        <f>$B$1*'S-coe'!N40</f>
        <v>1.4714734326311519E-16</v>
      </c>
      <c r="O40" s="1">
        <f>$B$1*'S-coe'!O40</f>
        <v>4.5985576064350113E-15</v>
      </c>
      <c r="P40" s="1">
        <f>$B$1*'S-coe'!P40</f>
        <v>4.5236184385406068E-15</v>
      </c>
      <c r="Q40" s="1">
        <f>$B$1*'S-coe'!Q40</f>
        <v>4.5236184385406068E-15</v>
      </c>
      <c r="R40" s="1">
        <f>$B$1*'S-coe'!R40</f>
        <v>4.5236184385406068E-15</v>
      </c>
      <c r="S40" s="1">
        <f>$B$1*'S-coe'!S40</f>
        <v>1.1780883677018288E-15</v>
      </c>
      <c r="T40" s="1">
        <f>$B$1*'S-coe'!T40</f>
        <v>1.2201323865642316E-15</v>
      </c>
      <c r="U40" s="1">
        <f>$B$1*'S-coe'!U40</f>
        <v>1.2201323865642316E-15</v>
      </c>
      <c r="V40" s="1">
        <f>$B$1*'S-coe'!V40</f>
        <v>1.2230494174769451E-15</v>
      </c>
      <c r="W40" s="1">
        <f>$B$1*'S-coe'!W40</f>
        <v>1.3176145124707578E-15</v>
      </c>
      <c r="X40" s="1">
        <f>$B$1*'S-coe'!X40</f>
        <v>1.3176145124707578E-15</v>
      </c>
      <c r="Y40" s="1">
        <f>$B$1*'S-coe'!Y40</f>
        <v>1.5630083577810014E-14</v>
      </c>
      <c r="Z40" s="1">
        <f>$B$1*'S-coe'!Z40</f>
        <v>2.488133604614468E-14</v>
      </c>
      <c r="AA40" s="1">
        <f>$B$1*'S-coe'!AA40</f>
        <v>2.488133604614468E-14</v>
      </c>
      <c r="AB40" s="1">
        <f>$B$1*'S-coe'!AB40</f>
        <v>5.1036266503283252E-18</v>
      </c>
      <c r="AC40" s="1">
        <f>$B$1*'S-coe'!AC40</f>
        <v>2.9809584174805074E-18</v>
      </c>
      <c r="AD40" s="1">
        <f>$B$1*'S-coe'!AD40</f>
        <v>2.9809584174805074E-18</v>
      </c>
      <c r="AE40" s="1">
        <f>$B$1*'S-coe'!AE40</f>
        <v>2.9809584174805074E-18</v>
      </c>
      <c r="AF40" s="1">
        <f>$B$1*'S-coe'!AF40</f>
        <v>4.420141690971312E-18</v>
      </c>
      <c r="AG40" s="1">
        <f>$B$1*'S-coe'!AG40</f>
        <v>1.705839117110298E-17</v>
      </c>
      <c r="AH40" s="1">
        <f>$B$1*'S-coe'!AH40</f>
        <v>1.705839117110298E-17</v>
      </c>
      <c r="AI40" s="1">
        <f>$B$1*'S-coe'!AI40</f>
        <v>1.705839117110298E-17</v>
      </c>
      <c r="AJ40" s="1">
        <f>$B$1*'S-coe'!AJ40</f>
        <v>2.9593349549102352E-17</v>
      </c>
      <c r="AK40" s="1">
        <f>$B$1*'S-coe'!AK40</f>
        <v>2.9593349549102352E-17</v>
      </c>
      <c r="AL40" s="1">
        <f>$B$1*'S-coe'!AL40</f>
        <v>2.9593349549102352E-17</v>
      </c>
      <c r="AM40" s="1">
        <f>$B$1*'S-coe'!AM40</f>
        <v>2.9595129550983169E-17</v>
      </c>
      <c r="AN40" s="1">
        <f>$B$1*'S-coe'!AN40</f>
        <v>1.7149912360017032E-17</v>
      </c>
      <c r="AO40" s="1">
        <f>$B$1*'S-coe'!AO40</f>
        <v>3.0009267251818821E-17</v>
      </c>
      <c r="AP40" s="1">
        <f>$B$1*'S-coe'!AP40</f>
        <v>1.4256502594084539E-16</v>
      </c>
      <c r="AQ40" s="1">
        <f>$B$1*'S-coe'!AQ40</f>
        <v>2.7954496376372383E-15</v>
      </c>
      <c r="AR40" s="1">
        <f>$B$1*'S-coe'!AR40</f>
        <v>7.8926581582868425E-16</v>
      </c>
      <c r="AS40" s="1">
        <f>$B$1*'S-coe'!AS40</f>
        <v>7.8926581582868425E-16</v>
      </c>
      <c r="AT40" s="1">
        <f>$B$1*'S-coe'!AT40</f>
        <v>9.145865309145067E-16</v>
      </c>
      <c r="AU40" s="1">
        <f>$B$1*'S-coe'!AU40</f>
        <v>9.145865309145067E-16</v>
      </c>
      <c r="AV40" s="1">
        <f>$B$1*'S-coe'!AV40</f>
        <v>2.7785612106938576E-16</v>
      </c>
      <c r="AW40" s="1">
        <f>$B$1*'S-coe'!AW40</f>
        <v>1.4092280340434639E-15</v>
      </c>
      <c r="AX40" s="1">
        <f>$B$1*'S-coe'!AX40</f>
        <v>1.8411495674685919E-15</v>
      </c>
      <c r="AY40" s="1">
        <f>$B$1*'S-coe'!AY40</f>
        <v>1.0571785227591377E-15</v>
      </c>
      <c r="AZ40" s="1">
        <f>$B$1*'S-coe'!AZ40</f>
        <v>5.3281873549984588E-19</v>
      </c>
      <c r="BA40" s="1">
        <f>$B$1*'S-coe'!BA40</f>
        <v>2.4466135356038622E-17</v>
      </c>
      <c r="BB40" s="1">
        <f>$B$1*'S-coe'!BB40</f>
        <v>3.7401896718941518E-18</v>
      </c>
      <c r="BC40" s="1">
        <f>$B$1*'S-coe'!BC40</f>
        <v>1.6075408426300434E-16</v>
      </c>
      <c r="BD40" s="1">
        <f>$B$1*'S-coe'!BD40</f>
        <v>1.65805107496538E-16</v>
      </c>
      <c r="BE40" s="1">
        <f>$B$1*'S-coe'!BE40</f>
        <v>3.112042560226801E-17</v>
      </c>
      <c r="BF40" s="1">
        <f>$B$1*'S-coe'!BF40</f>
        <v>2.7004287281011589E-16</v>
      </c>
      <c r="BG40" s="1">
        <f>$B$1*'S-coe'!BG40</f>
        <v>1.1375345385756273E-16</v>
      </c>
      <c r="BH40" s="1">
        <f>$B$1*'S-coe'!BH40</f>
        <v>3.2130344651855177E-15</v>
      </c>
      <c r="BI40" s="1">
        <f>$B$1*'S-coe'!BI40</f>
        <v>3.4309706580827867E-12</v>
      </c>
      <c r="BJ40" s="1">
        <f>$B$1*'S-coe'!BJ40</f>
        <v>2.5334565020437158E-16</v>
      </c>
      <c r="BK40" s="1">
        <f>$B$1*'S-coe'!BK40</f>
        <v>1.465762483790596E-18</v>
      </c>
      <c r="BL40" s="1">
        <f>$B$1*'S-coe'!BL40</f>
        <v>0</v>
      </c>
      <c r="BM40" s="1">
        <f>$B$1*'S-coe'!BM40</f>
        <v>3.5301541723630063E-18</v>
      </c>
      <c r="BN40" s="1">
        <f>$B$1*'S-coe'!BN40</f>
        <v>3.658632885392773E-16</v>
      </c>
      <c r="BO40" s="1">
        <f>$B$1*'S-coe'!BO40</f>
        <v>9.283113296444297E-17</v>
      </c>
      <c r="BP40" s="1">
        <f>$B$1*'S-coe'!BP40</f>
        <v>0</v>
      </c>
      <c r="BQ40" s="1">
        <f>$B$1*'S-coe'!BQ40</f>
        <v>1.310419567006617E-17</v>
      </c>
      <c r="BR40" s="1">
        <f>$B$1*'S-coe'!BR40</f>
        <v>7.1861103420690862E-18</v>
      </c>
      <c r="BS40" s="1">
        <f>$B$1*'S-coe'!BS40</f>
        <v>3.6590622548778996E-15</v>
      </c>
      <c r="BT40" s="1">
        <f>$B$1*'S-coe'!BT40</f>
        <v>1.2051816215315568E-14</v>
      </c>
      <c r="BU40" s="1">
        <f>$B$1*'S-coe'!BU40</f>
        <v>1.0032282347058679E-14</v>
      </c>
      <c r="BV40" s="1">
        <f>$B$1*'S-coe'!BV40</f>
        <v>4.0755236074179596E-14</v>
      </c>
      <c r="BW40" s="1">
        <f>$B$1*'S-coe'!BW40</f>
        <v>1.1857739523581934E-15</v>
      </c>
      <c r="BX40" s="1">
        <f>$B$1*'S-coe'!BX40</f>
        <v>1.0455787468973199E-15</v>
      </c>
      <c r="BY40" s="1">
        <f>$B$1*'S-coe'!BY40</f>
        <v>1.186463246084405E-15</v>
      </c>
      <c r="BZ40" s="1">
        <f>$B$1*'S-coe'!BZ40</f>
        <v>2.9809584174805074E-18</v>
      </c>
      <c r="CA40" s="1">
        <f>$B$1*'S-coe'!CA40</f>
        <v>2.9809584174805074E-18</v>
      </c>
      <c r="CB40" s="1">
        <f>$B$1*'S-coe'!CB40</f>
        <v>2.917518271487946E-17</v>
      </c>
      <c r="CC40" s="1">
        <f>$B$1*'S-coe'!CC40</f>
        <v>2.9215328269902932E-17</v>
      </c>
    </row>
    <row r="41" spans="2:81" x14ac:dyDescent="0.15">
      <c r="B41" t="s">
        <v>34</v>
      </c>
      <c r="C41" s="1">
        <f>$B$1*'S-coe'!C41</f>
        <v>0</v>
      </c>
      <c r="D41" s="1">
        <f>$B$1*'S-coe'!D41</f>
        <v>0</v>
      </c>
      <c r="E41" s="1">
        <f>$B$1*'S-coe'!E41</f>
        <v>0</v>
      </c>
      <c r="F41" s="1">
        <f>$B$1*'S-coe'!F41</f>
        <v>0</v>
      </c>
      <c r="G41" s="1">
        <f>$B$1*'S-coe'!G41</f>
        <v>0</v>
      </c>
      <c r="H41" s="1">
        <f>$B$1*'S-coe'!H41</f>
        <v>0</v>
      </c>
      <c r="I41" s="1">
        <f>$B$1*'S-coe'!I41</f>
        <v>0</v>
      </c>
      <c r="J41" s="1">
        <f>$B$1*'S-coe'!J41</f>
        <v>0</v>
      </c>
      <c r="K41" s="1">
        <f>$B$1*'S-coe'!K41</f>
        <v>0</v>
      </c>
      <c r="L41" s="1">
        <f>$B$1*'S-coe'!L41</f>
        <v>0</v>
      </c>
      <c r="M41" s="1">
        <f>$B$1*'S-coe'!M41</f>
        <v>0</v>
      </c>
      <c r="N41" s="1">
        <f>$B$1*'S-coe'!N41</f>
        <v>0</v>
      </c>
      <c r="O41" s="1">
        <f>$B$1*'S-coe'!O41</f>
        <v>0</v>
      </c>
      <c r="P41" s="1">
        <f>$B$1*'S-coe'!P41</f>
        <v>0</v>
      </c>
      <c r="Q41" s="1">
        <f>$B$1*'S-coe'!Q41</f>
        <v>0</v>
      </c>
      <c r="R41" s="1">
        <f>$B$1*'S-coe'!R41</f>
        <v>0</v>
      </c>
      <c r="S41" s="1">
        <f>$B$1*'S-coe'!S41</f>
        <v>0</v>
      </c>
      <c r="T41" s="1">
        <f>$B$1*'S-coe'!T41</f>
        <v>0</v>
      </c>
      <c r="U41" s="1">
        <f>$B$1*'S-coe'!U41</f>
        <v>0</v>
      </c>
      <c r="V41" s="1">
        <f>$B$1*'S-coe'!V41</f>
        <v>0</v>
      </c>
      <c r="W41" s="1">
        <f>$B$1*'S-coe'!W41</f>
        <v>0</v>
      </c>
      <c r="X41" s="1">
        <f>$B$1*'S-coe'!X41</f>
        <v>0</v>
      </c>
      <c r="Y41" s="1">
        <f>$B$1*'S-coe'!Y41</f>
        <v>0</v>
      </c>
      <c r="Z41" s="1">
        <f>$B$1*'S-coe'!Z41</f>
        <v>0</v>
      </c>
      <c r="AA41" s="1">
        <f>$B$1*'S-coe'!AA41</f>
        <v>0</v>
      </c>
      <c r="AB41" s="1">
        <f>$B$1*'S-coe'!AB41</f>
        <v>0</v>
      </c>
      <c r="AC41" s="1">
        <f>$B$1*'S-coe'!AC41</f>
        <v>0</v>
      </c>
      <c r="AD41" s="1">
        <f>$B$1*'S-coe'!AD41</f>
        <v>0</v>
      </c>
      <c r="AE41" s="1">
        <f>$B$1*'S-coe'!AE41</f>
        <v>0</v>
      </c>
      <c r="AF41" s="1">
        <f>$B$1*'S-coe'!AF41</f>
        <v>0</v>
      </c>
      <c r="AG41" s="1">
        <f>$B$1*'S-coe'!AG41</f>
        <v>0</v>
      </c>
      <c r="AH41" s="1">
        <f>$B$1*'S-coe'!AH41</f>
        <v>0</v>
      </c>
      <c r="AI41" s="1">
        <f>$B$1*'S-coe'!AI41</f>
        <v>0</v>
      </c>
      <c r="AJ41" s="1">
        <f>$B$1*'S-coe'!AJ41</f>
        <v>0</v>
      </c>
      <c r="AK41" s="1">
        <f>$B$1*'S-coe'!AK41</f>
        <v>0</v>
      </c>
      <c r="AL41" s="1">
        <f>$B$1*'S-coe'!AL41</f>
        <v>0</v>
      </c>
      <c r="AM41" s="1">
        <f>$B$1*'S-coe'!AM41</f>
        <v>0</v>
      </c>
      <c r="AN41" s="1">
        <f>$B$1*'S-coe'!AN41</f>
        <v>0</v>
      </c>
      <c r="AO41" s="1">
        <f>$B$1*'S-coe'!AO41</f>
        <v>0</v>
      </c>
      <c r="AP41" s="1">
        <f>$B$1*'S-coe'!AP41</f>
        <v>0</v>
      </c>
      <c r="AQ41" s="1">
        <f>$B$1*'S-coe'!AQ41</f>
        <v>0</v>
      </c>
      <c r="AR41" s="1">
        <f>$B$1*'S-coe'!AR41</f>
        <v>0</v>
      </c>
      <c r="AS41" s="1">
        <f>$B$1*'S-coe'!AS41</f>
        <v>0</v>
      </c>
      <c r="AT41" s="1">
        <f>$B$1*'S-coe'!AT41</f>
        <v>0</v>
      </c>
      <c r="AU41" s="1">
        <f>$B$1*'S-coe'!AU41</f>
        <v>0</v>
      </c>
      <c r="AV41" s="1">
        <f>$B$1*'S-coe'!AV41</f>
        <v>0</v>
      </c>
      <c r="AW41" s="1">
        <f>$B$1*'S-coe'!AW41</f>
        <v>0</v>
      </c>
      <c r="AX41" s="1">
        <f>$B$1*'S-coe'!AX41</f>
        <v>0</v>
      </c>
      <c r="AY41" s="1">
        <f>$B$1*'S-coe'!AY41</f>
        <v>0</v>
      </c>
      <c r="AZ41" s="1">
        <f>$B$1*'S-coe'!AZ41</f>
        <v>0</v>
      </c>
      <c r="BA41" s="1">
        <f>$B$1*'S-coe'!BA41</f>
        <v>0</v>
      </c>
      <c r="BB41" s="1">
        <f>$B$1*'S-coe'!BB41</f>
        <v>0</v>
      </c>
      <c r="BC41" s="1">
        <f>$B$1*'S-coe'!BC41</f>
        <v>0</v>
      </c>
      <c r="BD41" s="1">
        <f>$B$1*'S-coe'!BD41</f>
        <v>0</v>
      </c>
      <c r="BE41" s="1">
        <f>$B$1*'S-coe'!BE41</f>
        <v>0</v>
      </c>
      <c r="BF41" s="1">
        <f>$B$1*'S-coe'!BF41</f>
        <v>0</v>
      </c>
      <c r="BG41" s="1">
        <f>$B$1*'S-coe'!BG41</f>
        <v>0</v>
      </c>
      <c r="BH41" s="1">
        <f>$B$1*'S-coe'!BH41</f>
        <v>0</v>
      </c>
      <c r="BI41" s="1">
        <f>$B$1*'S-coe'!BI41</f>
        <v>0</v>
      </c>
      <c r="BJ41" s="1">
        <f>$B$1*'S-coe'!BJ41</f>
        <v>0</v>
      </c>
      <c r="BK41" s="1">
        <f>$B$1*'S-coe'!BK41</f>
        <v>0</v>
      </c>
      <c r="BL41" s="1">
        <f>$B$1*'S-coe'!BL41</f>
        <v>0</v>
      </c>
      <c r="BM41" s="1">
        <f>$B$1*'S-coe'!BM41</f>
        <v>0</v>
      </c>
      <c r="BN41" s="1">
        <f>$B$1*'S-coe'!BN41</f>
        <v>0</v>
      </c>
      <c r="BO41" s="1">
        <f>$B$1*'S-coe'!BO41</f>
        <v>0</v>
      </c>
      <c r="BP41" s="1">
        <f>$B$1*'S-coe'!BP41</f>
        <v>0</v>
      </c>
      <c r="BQ41" s="1">
        <f>$B$1*'S-coe'!BQ41</f>
        <v>0</v>
      </c>
      <c r="BR41" s="1">
        <f>$B$1*'S-coe'!BR41</f>
        <v>0</v>
      </c>
      <c r="BS41" s="1">
        <f>$B$1*'S-coe'!BS41</f>
        <v>0</v>
      </c>
      <c r="BT41" s="1">
        <f>$B$1*'S-coe'!BT41</f>
        <v>0</v>
      </c>
      <c r="BU41" s="1">
        <f>$B$1*'S-coe'!BU41</f>
        <v>0</v>
      </c>
      <c r="BV41" s="1">
        <f>$B$1*'S-coe'!BV41</f>
        <v>0</v>
      </c>
      <c r="BW41" s="1">
        <f>$B$1*'S-coe'!BW41</f>
        <v>0</v>
      </c>
      <c r="BX41" s="1">
        <f>$B$1*'S-coe'!BX41</f>
        <v>0</v>
      </c>
      <c r="BY41" s="1">
        <f>$B$1*'S-coe'!BY41</f>
        <v>0</v>
      </c>
      <c r="BZ41" s="1">
        <f>$B$1*'S-coe'!BZ41</f>
        <v>0</v>
      </c>
      <c r="CA41" s="1">
        <f>$B$1*'S-coe'!CA41</f>
        <v>0</v>
      </c>
      <c r="CB41" s="1">
        <f>$B$1*'S-coe'!CB41</f>
        <v>0</v>
      </c>
      <c r="CC41" s="1">
        <f>$B$1*'S-coe'!CC41</f>
        <v>0</v>
      </c>
    </row>
    <row r="42" spans="2:81" x14ac:dyDescent="0.15">
      <c r="B42" t="s">
        <v>25</v>
      </c>
      <c r="C42" s="1">
        <f>$B$1*'S-coe'!C42</f>
        <v>0</v>
      </c>
      <c r="D42" s="1">
        <f>$B$1*'S-coe'!D42</f>
        <v>0</v>
      </c>
      <c r="E42" s="1">
        <f>$B$1*'S-coe'!E42</f>
        <v>0</v>
      </c>
      <c r="F42" s="1">
        <f>$B$1*'S-coe'!F42</f>
        <v>0</v>
      </c>
      <c r="G42" s="1">
        <f>$B$1*'S-coe'!G42</f>
        <v>0</v>
      </c>
      <c r="H42" s="1">
        <f>$B$1*'S-coe'!H42</f>
        <v>0</v>
      </c>
      <c r="I42" s="1">
        <f>$B$1*'S-coe'!I42</f>
        <v>0</v>
      </c>
      <c r="J42" s="1">
        <f>$B$1*'S-coe'!J42</f>
        <v>0</v>
      </c>
      <c r="K42" s="1">
        <f>$B$1*'S-coe'!K42</f>
        <v>0</v>
      </c>
      <c r="L42" s="1">
        <f>$B$1*'S-coe'!L42</f>
        <v>0</v>
      </c>
      <c r="M42" s="1">
        <f>$B$1*'S-coe'!M42</f>
        <v>0</v>
      </c>
      <c r="N42" s="1">
        <f>$B$1*'S-coe'!N42</f>
        <v>0</v>
      </c>
      <c r="O42" s="1">
        <f>$B$1*'S-coe'!O42</f>
        <v>0</v>
      </c>
      <c r="P42" s="1">
        <f>$B$1*'S-coe'!P42</f>
        <v>0</v>
      </c>
      <c r="Q42" s="1">
        <f>$B$1*'S-coe'!Q42</f>
        <v>0</v>
      </c>
      <c r="R42" s="1">
        <f>$B$1*'S-coe'!R42</f>
        <v>0</v>
      </c>
      <c r="S42" s="1">
        <f>$B$1*'S-coe'!S42</f>
        <v>0</v>
      </c>
      <c r="T42" s="1">
        <f>$B$1*'S-coe'!T42</f>
        <v>0</v>
      </c>
      <c r="U42" s="1">
        <f>$B$1*'S-coe'!U42</f>
        <v>0</v>
      </c>
      <c r="V42" s="1">
        <f>$B$1*'S-coe'!V42</f>
        <v>0</v>
      </c>
      <c r="W42" s="1">
        <f>$B$1*'S-coe'!W42</f>
        <v>0</v>
      </c>
      <c r="X42" s="1">
        <f>$B$1*'S-coe'!X42</f>
        <v>0</v>
      </c>
      <c r="Y42" s="1">
        <f>$B$1*'S-coe'!Y42</f>
        <v>0</v>
      </c>
      <c r="Z42" s="1">
        <f>$B$1*'S-coe'!Z42</f>
        <v>0</v>
      </c>
      <c r="AA42" s="1">
        <f>$B$1*'S-coe'!AA42</f>
        <v>0</v>
      </c>
      <c r="AB42" s="1">
        <f>$B$1*'S-coe'!AB42</f>
        <v>0</v>
      </c>
      <c r="AC42" s="1">
        <f>$B$1*'S-coe'!AC42</f>
        <v>0</v>
      </c>
      <c r="AD42" s="1">
        <f>$B$1*'S-coe'!AD42</f>
        <v>0</v>
      </c>
      <c r="AE42" s="1">
        <f>$B$1*'S-coe'!AE42</f>
        <v>0</v>
      </c>
      <c r="AF42" s="1">
        <f>$B$1*'S-coe'!AF42</f>
        <v>0</v>
      </c>
      <c r="AG42" s="1">
        <f>$B$1*'S-coe'!AG42</f>
        <v>0</v>
      </c>
      <c r="AH42" s="1">
        <f>$B$1*'S-coe'!AH42</f>
        <v>0</v>
      </c>
      <c r="AI42" s="1">
        <f>$B$1*'S-coe'!AI42</f>
        <v>0</v>
      </c>
      <c r="AJ42" s="1">
        <f>$B$1*'S-coe'!AJ42</f>
        <v>0</v>
      </c>
      <c r="AK42" s="1">
        <f>$B$1*'S-coe'!AK42</f>
        <v>0</v>
      </c>
      <c r="AL42" s="1">
        <f>$B$1*'S-coe'!AL42</f>
        <v>0</v>
      </c>
      <c r="AM42" s="1">
        <f>$B$1*'S-coe'!AM42</f>
        <v>0</v>
      </c>
      <c r="AN42" s="1">
        <f>$B$1*'S-coe'!AN42</f>
        <v>0</v>
      </c>
      <c r="AO42" s="1">
        <f>$B$1*'S-coe'!AO42</f>
        <v>0</v>
      </c>
      <c r="AP42" s="1">
        <f>$B$1*'S-coe'!AP42</f>
        <v>0</v>
      </c>
      <c r="AQ42" s="1">
        <f>$B$1*'S-coe'!AQ42</f>
        <v>0</v>
      </c>
      <c r="AR42" s="1">
        <f>$B$1*'S-coe'!AR42</f>
        <v>0</v>
      </c>
      <c r="AS42" s="1">
        <f>$B$1*'S-coe'!AS42</f>
        <v>0</v>
      </c>
      <c r="AT42" s="1">
        <f>$B$1*'S-coe'!AT42</f>
        <v>0</v>
      </c>
      <c r="AU42" s="1">
        <f>$B$1*'S-coe'!AU42</f>
        <v>0</v>
      </c>
      <c r="AV42" s="1">
        <f>$B$1*'S-coe'!AV42</f>
        <v>0</v>
      </c>
      <c r="AW42" s="1">
        <f>$B$1*'S-coe'!AW42</f>
        <v>0</v>
      </c>
      <c r="AX42" s="1">
        <f>$B$1*'S-coe'!AX42</f>
        <v>0</v>
      </c>
      <c r="AY42" s="1">
        <f>$B$1*'S-coe'!AY42</f>
        <v>0</v>
      </c>
      <c r="AZ42" s="1">
        <f>$B$1*'S-coe'!AZ42</f>
        <v>0</v>
      </c>
      <c r="BA42" s="1">
        <f>$B$1*'S-coe'!BA42</f>
        <v>0</v>
      </c>
      <c r="BB42" s="1">
        <f>$B$1*'S-coe'!BB42</f>
        <v>0</v>
      </c>
      <c r="BC42" s="1">
        <f>$B$1*'S-coe'!BC42</f>
        <v>0</v>
      </c>
      <c r="BD42" s="1">
        <f>$B$1*'S-coe'!BD42</f>
        <v>0</v>
      </c>
      <c r="BE42" s="1">
        <f>$B$1*'S-coe'!BE42</f>
        <v>0</v>
      </c>
      <c r="BF42" s="1">
        <f>$B$1*'S-coe'!BF42</f>
        <v>0</v>
      </c>
      <c r="BG42" s="1">
        <f>$B$1*'S-coe'!BG42</f>
        <v>0</v>
      </c>
      <c r="BH42" s="1">
        <f>$B$1*'S-coe'!BH42</f>
        <v>0</v>
      </c>
      <c r="BI42" s="1">
        <f>$B$1*'S-coe'!BI42</f>
        <v>0</v>
      </c>
      <c r="BJ42" s="1">
        <f>$B$1*'S-coe'!BJ42</f>
        <v>0</v>
      </c>
      <c r="BK42" s="1">
        <f>$B$1*'S-coe'!BK42</f>
        <v>0</v>
      </c>
      <c r="BL42" s="1">
        <f>$B$1*'S-coe'!BL42</f>
        <v>0</v>
      </c>
      <c r="BM42" s="1">
        <f>$B$1*'S-coe'!BM42</f>
        <v>0</v>
      </c>
      <c r="BN42" s="1">
        <f>$B$1*'S-coe'!BN42</f>
        <v>0</v>
      </c>
      <c r="BO42" s="1">
        <f>$B$1*'S-coe'!BO42</f>
        <v>0</v>
      </c>
      <c r="BP42" s="1">
        <f>$B$1*'S-coe'!BP42</f>
        <v>0</v>
      </c>
      <c r="BQ42" s="1">
        <f>$B$1*'S-coe'!BQ42</f>
        <v>0</v>
      </c>
      <c r="BR42" s="1">
        <f>$B$1*'S-coe'!BR42</f>
        <v>0</v>
      </c>
      <c r="BS42" s="1">
        <f>$B$1*'S-coe'!BS42</f>
        <v>0</v>
      </c>
      <c r="BT42" s="1">
        <f>$B$1*'S-coe'!BT42</f>
        <v>0</v>
      </c>
      <c r="BU42" s="1">
        <f>$B$1*'S-coe'!BU42</f>
        <v>0</v>
      </c>
      <c r="BV42" s="1">
        <f>$B$1*'S-coe'!BV42</f>
        <v>0</v>
      </c>
      <c r="BW42" s="1">
        <f>$B$1*'S-coe'!BW42</f>
        <v>0</v>
      </c>
      <c r="BX42" s="1">
        <f>$B$1*'S-coe'!BX42</f>
        <v>0</v>
      </c>
      <c r="BY42" s="1">
        <f>$B$1*'S-coe'!BY42</f>
        <v>0</v>
      </c>
      <c r="BZ42" s="1">
        <f>$B$1*'S-coe'!BZ42</f>
        <v>0</v>
      </c>
      <c r="CA42" s="1">
        <f>$B$1*'S-coe'!CA42</f>
        <v>0</v>
      </c>
      <c r="CB42" s="1">
        <f>$B$1*'S-coe'!CB42</f>
        <v>0</v>
      </c>
      <c r="CC42" s="1">
        <f>$B$1*'S-coe'!CC42</f>
        <v>0</v>
      </c>
    </row>
    <row r="43" spans="2:81" x14ac:dyDescent="0.15">
      <c r="B43" t="s">
        <v>41</v>
      </c>
      <c r="C43" s="1">
        <f>$B$1*'S-coe'!C43</f>
        <v>4.4192182357227796E-18</v>
      </c>
      <c r="D43" s="1">
        <f>$B$1*'S-coe'!D43</f>
        <v>4.4192182357227796E-18</v>
      </c>
      <c r="E43" s="1">
        <f>$B$1*'S-coe'!E43</f>
        <v>4.0649027091205604E-18</v>
      </c>
      <c r="F43" s="1">
        <f>$B$1*'S-coe'!F43</f>
        <v>4.0649027091205604E-18</v>
      </c>
      <c r="G43" s="1">
        <f>$B$1*'S-coe'!G43</f>
        <v>4.1631838592723048E-18</v>
      </c>
      <c r="H43" s="1">
        <f>$B$1*'S-coe'!H43</f>
        <v>3.0071923629688945E-18</v>
      </c>
      <c r="I43" s="1">
        <f>$B$1*'S-coe'!I43</f>
        <v>2.3745204020847468E-17</v>
      </c>
      <c r="J43" s="1">
        <f>$B$1*'S-coe'!J43</f>
        <v>2.3745204020847468E-17</v>
      </c>
      <c r="K43" s="1">
        <f>$B$1*'S-coe'!K43</f>
        <v>2.3745204020847468E-17</v>
      </c>
      <c r="L43" s="1">
        <f>$B$1*'S-coe'!L43</f>
        <v>1.2709162045112657E-16</v>
      </c>
      <c r="M43" s="1">
        <f>$B$1*'S-coe'!M43</f>
        <v>1.5893323977087728E-16</v>
      </c>
      <c r="N43" s="1">
        <f>$B$1*'S-coe'!N43</f>
        <v>1.5893323977087728E-16</v>
      </c>
      <c r="O43" s="1">
        <f>$B$1*'S-coe'!O43</f>
        <v>5.2396431377831615E-15</v>
      </c>
      <c r="P43" s="1">
        <f>$B$1*'S-coe'!P43</f>
        <v>4.1632337604791609E-15</v>
      </c>
      <c r="Q43" s="1">
        <f>$B$1*'S-coe'!Q43</f>
        <v>4.1632337604791609E-15</v>
      </c>
      <c r="R43" s="1">
        <f>$B$1*'S-coe'!R43</f>
        <v>4.1632337604791609E-15</v>
      </c>
      <c r="S43" s="1">
        <f>$B$1*'S-coe'!S43</f>
        <v>1.1529199254301639E-15</v>
      </c>
      <c r="T43" s="1">
        <f>$B$1*'S-coe'!T43</f>
        <v>1.1769565990555303E-15</v>
      </c>
      <c r="U43" s="1">
        <f>$B$1*'S-coe'!U43</f>
        <v>1.1769565990555303E-15</v>
      </c>
      <c r="V43" s="1">
        <f>$B$1*'S-coe'!V43</f>
        <v>1.4328041513965275E-15</v>
      </c>
      <c r="W43" s="1">
        <f>$B$1*'S-coe'!W43</f>
        <v>1.6033238165420129E-15</v>
      </c>
      <c r="X43" s="1">
        <f>$B$1*'S-coe'!X43</f>
        <v>1.6033238165420129E-15</v>
      </c>
      <c r="Y43" s="1">
        <f>$B$1*'S-coe'!Y43</f>
        <v>1.9683359131706035E-14</v>
      </c>
      <c r="Z43" s="1">
        <f>$B$1*'S-coe'!Z43</f>
        <v>3.0219978404953189E-14</v>
      </c>
      <c r="AA43" s="1">
        <f>$B$1*'S-coe'!AA43</f>
        <v>3.0219978404953189E-14</v>
      </c>
      <c r="AB43" s="1">
        <f>$B$1*'S-coe'!AB43</f>
        <v>4.1395791257213966E-18</v>
      </c>
      <c r="AC43" s="1">
        <f>$B$1*'S-coe'!AC43</f>
        <v>3.1108736506636849E-18</v>
      </c>
      <c r="AD43" s="1">
        <f>$B$1*'S-coe'!AD43</f>
        <v>3.1108736506636849E-18</v>
      </c>
      <c r="AE43" s="1">
        <f>$B$1*'S-coe'!AE43</f>
        <v>3.1108736506636849E-18</v>
      </c>
      <c r="AF43" s="1">
        <f>$B$1*'S-coe'!AF43</f>
        <v>4.3542259983323511E-18</v>
      </c>
      <c r="AG43" s="1">
        <f>$B$1*'S-coe'!AG43</f>
        <v>1.7059322642201751E-17</v>
      </c>
      <c r="AH43" s="1">
        <f>$B$1*'S-coe'!AH43</f>
        <v>1.7059322642201751E-17</v>
      </c>
      <c r="AI43" s="1">
        <f>$B$1*'S-coe'!AI43</f>
        <v>1.7059322642201751E-17</v>
      </c>
      <c r="AJ43" s="1">
        <f>$B$1*'S-coe'!AJ43</f>
        <v>2.9790283649307117E-17</v>
      </c>
      <c r="AK43" s="1">
        <f>$B$1*'S-coe'!AK43</f>
        <v>2.9790283649307117E-17</v>
      </c>
      <c r="AL43" s="1">
        <f>$B$1*'S-coe'!AL43</f>
        <v>2.9790283649307117E-17</v>
      </c>
      <c r="AM43" s="1">
        <f>$B$1*'S-coe'!AM43</f>
        <v>2.9790937036104949E-17</v>
      </c>
      <c r="AN43" s="1">
        <f>$B$1*'S-coe'!AN43</f>
        <v>1.506754104916339E-17</v>
      </c>
      <c r="AO43" s="1">
        <f>$B$1*'S-coe'!AO43</f>
        <v>3.0931802540742638E-17</v>
      </c>
      <c r="AP43" s="1">
        <f>$B$1*'S-coe'!AP43</f>
        <v>1.511329265751815E-16</v>
      </c>
      <c r="AQ43" s="1">
        <f>$B$1*'S-coe'!AQ43</f>
        <v>5.0940122006741313E-16</v>
      </c>
      <c r="AR43" s="1">
        <f>$B$1*'S-coe'!AR43</f>
        <v>7.4431547327834663E-16</v>
      </c>
      <c r="AS43" s="1">
        <f>$B$1*'S-coe'!AS43</f>
        <v>7.4431547327834663E-16</v>
      </c>
      <c r="AT43" s="1">
        <f>$B$1*'S-coe'!AT43</f>
        <v>8.3226414583775952E-16</v>
      </c>
      <c r="AU43" s="1">
        <f>$B$1*'S-coe'!AU43</f>
        <v>8.3226414583775952E-16</v>
      </c>
      <c r="AV43" s="1">
        <f>$B$1*'S-coe'!AV43</f>
        <v>2.7337151825957776E-16</v>
      </c>
      <c r="AW43" s="1">
        <f>$B$1*'S-coe'!AW43</f>
        <v>1.3008089991228832E-15</v>
      </c>
      <c r="AX43" s="1">
        <f>$B$1*'S-coe'!AX43</f>
        <v>1.717222103953774E-15</v>
      </c>
      <c r="AY43" s="1">
        <f>$B$1*'S-coe'!AY43</f>
        <v>9.4988520459861556E-16</v>
      </c>
      <c r="AZ43" s="1">
        <f>$B$1*'S-coe'!AZ43</f>
        <v>1.1111328400880288E-18</v>
      </c>
      <c r="BA43" s="1">
        <f>$B$1*'S-coe'!BA43</f>
        <v>2.366791061563955E-17</v>
      </c>
      <c r="BB43" s="1">
        <f>$B$1*'S-coe'!BB43</f>
        <v>3.7642653084757973E-18</v>
      </c>
      <c r="BC43" s="1">
        <f>$B$1*'S-coe'!BC43</f>
        <v>1.6425220497799562E-16</v>
      </c>
      <c r="BD43" s="1">
        <f>$B$1*'S-coe'!BD43</f>
        <v>1.6385769615937735E-16</v>
      </c>
      <c r="BE43" s="1">
        <f>$B$1*'S-coe'!BE43</f>
        <v>3.6527914821868476E-17</v>
      </c>
      <c r="BF43" s="1">
        <f>$B$1*'S-coe'!BF43</f>
        <v>2.7451722354025276E-16</v>
      </c>
      <c r="BG43" s="1">
        <f>$B$1*'S-coe'!BG43</f>
        <v>1.1564623943250283E-16</v>
      </c>
      <c r="BH43" s="1">
        <f>$B$1*'S-coe'!BH43</f>
        <v>3.1566748846923442E-15</v>
      </c>
      <c r="BI43" s="1">
        <f>$B$1*'S-coe'!BI43</f>
        <v>4.07783848704742E-14</v>
      </c>
      <c r="BJ43" s="1">
        <f>$B$1*'S-coe'!BJ43</f>
        <v>2.5984213109766589E-16</v>
      </c>
      <c r="BK43" s="1">
        <f>$B$1*'S-coe'!BK43</f>
        <v>1.9189424315371447E-18</v>
      </c>
      <c r="BL43" s="1">
        <f>$B$1*'S-coe'!BL43</f>
        <v>0</v>
      </c>
      <c r="BM43" s="1">
        <f>$B$1*'S-coe'!BM43</f>
        <v>3.4407401453252092E-18</v>
      </c>
      <c r="BN43" s="1">
        <f>$B$1*'S-coe'!BN43</f>
        <v>3.6236669523599865E-16</v>
      </c>
      <c r="BO43" s="1">
        <f>$B$1*'S-coe'!BO43</f>
        <v>9.9228756307723617E-17</v>
      </c>
      <c r="BP43" s="1">
        <f>$B$1*'S-coe'!BP43</f>
        <v>0</v>
      </c>
      <c r="BQ43" s="1">
        <f>$B$1*'S-coe'!BQ43</f>
        <v>1.2542034726992375E-17</v>
      </c>
      <c r="BR43" s="1">
        <f>$B$1*'S-coe'!BR43</f>
        <v>7.0845806059872123E-18</v>
      </c>
      <c r="BS43" s="1">
        <f>$B$1*'S-coe'!BS43</f>
        <v>4.1607276091183411E-15</v>
      </c>
      <c r="BT43" s="1">
        <f>$B$1*'S-coe'!BT43</f>
        <v>3.1518599268226946E-14</v>
      </c>
      <c r="BU43" s="1">
        <f>$B$1*'S-coe'!BU43</f>
        <v>1.9493509774504981E-14</v>
      </c>
      <c r="BV43" s="1">
        <f>$B$1*'S-coe'!BV43</f>
        <v>5.5573360818777081E-13</v>
      </c>
      <c r="BW43" s="1">
        <f>$B$1*'S-coe'!BW43</f>
        <v>1.0157510582568497E-15</v>
      </c>
      <c r="BX43" s="1">
        <f>$B$1*'S-coe'!BX43</f>
        <v>1.0135726783278603E-15</v>
      </c>
      <c r="BY43" s="1">
        <f>$B$1*'S-coe'!BY43</f>
        <v>1.0919562041747077E-15</v>
      </c>
      <c r="BZ43" s="1">
        <f>$B$1*'S-coe'!BZ43</f>
        <v>3.1108736506636849E-18</v>
      </c>
      <c r="CA43" s="1">
        <f>$B$1*'S-coe'!CA43</f>
        <v>3.1108736506636849E-18</v>
      </c>
      <c r="CB43" s="1">
        <f>$B$1*'S-coe'!CB43</f>
        <v>2.9360418256500447E-17</v>
      </c>
      <c r="CC43" s="1">
        <f>$B$1*'S-coe'!CC43</f>
        <v>2.9406649659868568E-17</v>
      </c>
    </row>
    <row r="44" spans="2:81" x14ac:dyDescent="0.15">
      <c r="B44" t="s">
        <v>17</v>
      </c>
      <c r="C44" s="1">
        <f>$B$1*'S-coe'!C44</f>
        <v>6.1628238495282562E-16</v>
      </c>
      <c r="D44" s="1">
        <f>$B$1*'S-coe'!D44</f>
        <v>6.1628238495282562E-16</v>
      </c>
      <c r="E44" s="1">
        <f>$B$1*'S-coe'!E44</f>
        <v>4.4233520191905348E-16</v>
      </c>
      <c r="F44" s="1">
        <f>$B$1*'S-coe'!F44</f>
        <v>4.4233520191905348E-16</v>
      </c>
      <c r="G44" s="1">
        <f>$B$1*'S-coe'!G44</f>
        <v>6.6809712604405581E-16</v>
      </c>
      <c r="H44" s="1">
        <f>$B$1*'S-coe'!H44</f>
        <v>6.547002348961526E-16</v>
      </c>
      <c r="I44" s="1">
        <f>$B$1*'S-coe'!I44</f>
        <v>4.4976688339768259E-15</v>
      </c>
      <c r="J44" s="1">
        <f>$B$1*'S-coe'!J44</f>
        <v>4.4976688339768259E-15</v>
      </c>
      <c r="K44" s="1">
        <f>$B$1*'S-coe'!K44</f>
        <v>4.4976688339768259E-15</v>
      </c>
      <c r="L44" s="1">
        <f>$B$1*'S-coe'!L44</f>
        <v>2.4816059438502814E-15</v>
      </c>
      <c r="M44" s="1">
        <f>$B$1*'S-coe'!M44</f>
        <v>3.2644923746529934E-15</v>
      </c>
      <c r="N44" s="1">
        <f>$B$1*'S-coe'!N44</f>
        <v>3.2644923746529934E-15</v>
      </c>
      <c r="O44" s="1">
        <f>$B$1*'S-coe'!O44</f>
        <v>3.8407410158645726E-15</v>
      </c>
      <c r="P44" s="1">
        <f>$B$1*'S-coe'!P44</f>
        <v>4.9993226694800772E-15</v>
      </c>
      <c r="Q44" s="1">
        <f>$B$1*'S-coe'!Q44</f>
        <v>4.9993226694800772E-15</v>
      </c>
      <c r="R44" s="1">
        <f>$B$1*'S-coe'!R44</f>
        <v>4.9993226694800772E-15</v>
      </c>
      <c r="S44" s="1">
        <f>$B$1*'S-coe'!S44</f>
        <v>2.5861277159372442E-15</v>
      </c>
      <c r="T44" s="1">
        <f>$B$1*'S-coe'!T44</f>
        <v>3.3476341653936061E-15</v>
      </c>
      <c r="U44" s="1">
        <f>$B$1*'S-coe'!U44</f>
        <v>3.3476341653936061E-15</v>
      </c>
      <c r="V44" s="1">
        <f>$B$1*'S-coe'!V44</f>
        <v>3.0705215090211098E-15</v>
      </c>
      <c r="W44" s="1">
        <f>$B$1*'S-coe'!W44</f>
        <v>3.6245675015133461E-15</v>
      </c>
      <c r="X44" s="1">
        <f>$B$1*'S-coe'!X44</f>
        <v>3.6245675015133461E-15</v>
      </c>
      <c r="Y44" s="1">
        <f>$B$1*'S-coe'!Y44</f>
        <v>2.8138185610805429E-15</v>
      </c>
      <c r="Z44" s="1">
        <f>$B$1*'S-coe'!Z44</f>
        <v>3.6737228211025336E-15</v>
      </c>
      <c r="AA44" s="1">
        <f>$B$1*'S-coe'!AA44</f>
        <v>3.6737228211025336E-15</v>
      </c>
      <c r="AB44" s="1">
        <f>$B$1*'S-coe'!AB44</f>
        <v>2.4474269547838267E-16</v>
      </c>
      <c r="AC44" s="1">
        <f>$B$1*'S-coe'!AC44</f>
        <v>8.6466176503383514E-16</v>
      </c>
      <c r="AD44" s="1">
        <f>$B$1*'S-coe'!AD44</f>
        <v>8.6466176503383514E-16</v>
      </c>
      <c r="AE44" s="1">
        <f>$B$1*'S-coe'!AE44</f>
        <v>8.6466176503383514E-16</v>
      </c>
      <c r="AF44" s="1">
        <f>$B$1*'S-coe'!AF44</f>
        <v>1.1445124496340221E-15</v>
      </c>
      <c r="AG44" s="1">
        <f>$B$1*'S-coe'!AG44</f>
        <v>3.6955532056116024E-15</v>
      </c>
      <c r="AH44" s="1">
        <f>$B$1*'S-coe'!AH44</f>
        <v>3.6955532056116024E-15</v>
      </c>
      <c r="AI44" s="1">
        <f>$B$1*'S-coe'!AI44</f>
        <v>3.6955532056116024E-15</v>
      </c>
      <c r="AJ44" s="1">
        <f>$B$1*'S-coe'!AJ44</f>
        <v>1.8636865187124464E-15</v>
      </c>
      <c r="AK44" s="1">
        <f>$B$1*'S-coe'!AK44</f>
        <v>1.8636865187124464E-15</v>
      </c>
      <c r="AL44" s="1">
        <f>$B$1*'S-coe'!AL44</f>
        <v>1.8636865187124464E-15</v>
      </c>
      <c r="AM44" s="1">
        <f>$B$1*'S-coe'!AM44</f>
        <v>1.8636865187124464E-15</v>
      </c>
      <c r="AN44" s="1">
        <f>$B$1*'S-coe'!AN44</f>
        <v>3.4065441781642721E-15</v>
      </c>
      <c r="AO44" s="1">
        <f>$B$1*'S-coe'!AO44</f>
        <v>1.8507835521262845E-15</v>
      </c>
      <c r="AP44" s="1">
        <f>$B$1*'S-coe'!AP44</f>
        <v>4.156204748134762E-15</v>
      </c>
      <c r="AQ44" s="1">
        <f>$B$1*'S-coe'!AQ44</f>
        <v>2.1703606528318086E-15</v>
      </c>
      <c r="AR44" s="1">
        <f>$B$1*'S-coe'!AR44</f>
        <v>7.7148126048716503E-16</v>
      </c>
      <c r="AS44" s="1">
        <f>$B$1*'S-coe'!AS44</f>
        <v>7.7148126048716503E-16</v>
      </c>
      <c r="AT44" s="1">
        <f>$B$1*'S-coe'!AT44</f>
        <v>8.7583077332775208E-16</v>
      </c>
      <c r="AU44" s="1">
        <f>$B$1*'S-coe'!AU44</f>
        <v>8.7583077332775208E-16</v>
      </c>
      <c r="AV44" s="1">
        <f>$B$1*'S-coe'!AV44</f>
        <v>3.163684772153271E-16</v>
      </c>
      <c r="AW44" s="1">
        <f>$B$1*'S-coe'!AW44</f>
        <v>1.0895035724293601E-15</v>
      </c>
      <c r="AX44" s="1">
        <f>$B$1*'S-coe'!AX44</f>
        <v>1.720959365436188E-15</v>
      </c>
      <c r="AY44" s="1">
        <f>$B$1*'S-coe'!AY44</f>
        <v>6.6888682151126125E-16</v>
      </c>
      <c r="AZ44" s="1">
        <f>$B$1*'S-coe'!AZ44</f>
        <v>2.1340600489667436E-16</v>
      </c>
      <c r="BA44" s="1">
        <f>$B$1*'S-coe'!BA44</f>
        <v>7.9052287694230448E-16</v>
      </c>
      <c r="BB44" s="1">
        <f>$B$1*'S-coe'!BB44</f>
        <v>1.9175879456486546E-16</v>
      </c>
      <c r="BC44" s="1">
        <f>$B$1*'S-coe'!BC44</f>
        <v>4.2492557124588731E-15</v>
      </c>
      <c r="BD44" s="1">
        <f>$B$1*'S-coe'!BD44</f>
        <v>3.2152600362715946E-15</v>
      </c>
      <c r="BE44" s="1">
        <f>$B$1*'S-coe'!BE44</f>
        <v>2.767763136488654E-15</v>
      </c>
      <c r="BF44" s="1">
        <f>$B$1*'S-coe'!BF44</f>
        <v>2.7217276620804934E-15</v>
      </c>
      <c r="BG44" s="1">
        <f>$B$1*'S-coe'!BG44</f>
        <v>1.5090300885828106E-15</v>
      </c>
      <c r="BH44" s="1">
        <f>$B$1*'S-coe'!BH44</f>
        <v>2.7093277252526768E-13</v>
      </c>
      <c r="BI44" s="1">
        <f>$B$1*'S-coe'!BI44</f>
        <v>3.1637139976586395E-15</v>
      </c>
      <c r="BJ44" s="1">
        <f>$B$1*'S-coe'!BJ44</f>
        <v>4.6215488784005858E-15</v>
      </c>
      <c r="BK44" s="1">
        <f>$B$1*'S-coe'!BK44</f>
        <v>3.8929781217166508E-16</v>
      </c>
      <c r="BL44" s="1">
        <f>$B$1*'S-coe'!BL44</f>
        <v>0</v>
      </c>
      <c r="BM44" s="1">
        <f>$B$1*'S-coe'!BM44</f>
        <v>1.2777596734895849E-15</v>
      </c>
      <c r="BN44" s="1">
        <f>$B$1*'S-coe'!BN44</f>
        <v>4.6447539254678482E-16</v>
      </c>
      <c r="BO44" s="1">
        <f>$B$1*'S-coe'!BO44</f>
        <v>1.7506134725896219E-15</v>
      </c>
      <c r="BP44" s="1">
        <f>$B$1*'S-coe'!BP44</f>
        <v>0</v>
      </c>
      <c r="BQ44" s="1">
        <f>$B$1*'S-coe'!BQ44</f>
        <v>4.4426772373116744E-15</v>
      </c>
      <c r="BR44" s="1">
        <f>$B$1*'S-coe'!BR44</f>
        <v>3.1218891595380352E-15</v>
      </c>
      <c r="BS44" s="1">
        <f>$B$1*'S-coe'!BS44</f>
        <v>4.9346633969505554E-15</v>
      </c>
      <c r="BT44" s="1">
        <f>$B$1*'S-coe'!BT44</f>
        <v>2.4595002855706925E-15</v>
      </c>
      <c r="BU44" s="1">
        <f>$B$1*'S-coe'!BU44</f>
        <v>2.1746409256270809E-15</v>
      </c>
      <c r="BV44" s="1">
        <f>$B$1*'S-coe'!BV44</f>
        <v>3.1642806381289191E-15</v>
      </c>
      <c r="BW44" s="1">
        <f>$B$1*'S-coe'!BW44</f>
        <v>1.0188009882926771E-15</v>
      </c>
      <c r="BX44" s="1">
        <f>$B$1*'S-coe'!BX44</f>
        <v>1.0248284124461263E-15</v>
      </c>
      <c r="BY44" s="1">
        <f>$B$1*'S-coe'!BY44</f>
        <v>8.916239749027265E-16</v>
      </c>
      <c r="BZ44" s="1">
        <f>$B$1*'S-coe'!BZ44</f>
        <v>8.6466176503383514E-16</v>
      </c>
      <c r="CA44" s="1">
        <f>$B$1*'S-coe'!CA44</f>
        <v>8.6466176503383514E-16</v>
      </c>
      <c r="CB44" s="1">
        <f>$B$1*'S-coe'!CB44</f>
        <v>1.9241850085491976E-15</v>
      </c>
      <c r="CC44" s="1">
        <f>$B$1*'S-coe'!CC44</f>
        <v>1.8729309778278656E-15</v>
      </c>
    </row>
    <row r="45" spans="2:81" x14ac:dyDescent="0.15">
      <c r="B45" t="s">
        <v>30</v>
      </c>
      <c r="C45" s="1">
        <f>$B$1*'S-coe'!C45</f>
        <v>4.1645418137528381E-16</v>
      </c>
      <c r="D45" s="1">
        <f>$B$1*'S-coe'!D45</f>
        <v>4.1645418137528381E-16</v>
      </c>
      <c r="E45" s="1">
        <f>$B$1*'S-coe'!E45</f>
        <v>4.2270319399237472E-16</v>
      </c>
      <c r="F45" s="1">
        <f>$B$1*'S-coe'!F45</f>
        <v>4.2270319399237472E-16</v>
      </c>
      <c r="G45" s="1">
        <f>$B$1*'S-coe'!G45</f>
        <v>3.9872455382253721E-16</v>
      </c>
      <c r="H45" s="1">
        <f>$B$1*'S-coe'!H45</f>
        <v>3.8112159122338154E-16</v>
      </c>
      <c r="I45" s="1">
        <f>$B$1*'S-coe'!I45</f>
        <v>3.7865748550585921E-16</v>
      </c>
      <c r="J45" s="1">
        <f>$B$1*'S-coe'!J45</f>
        <v>3.7865748550585921E-16</v>
      </c>
      <c r="K45" s="1">
        <f>$B$1*'S-coe'!K45</f>
        <v>3.7865748550585921E-16</v>
      </c>
      <c r="L45" s="1">
        <f>$B$1*'S-coe'!L45</f>
        <v>3.9286135188744546E-16</v>
      </c>
      <c r="M45" s="1">
        <f>$B$1*'S-coe'!M45</f>
        <v>3.9872620664891948E-16</v>
      </c>
      <c r="N45" s="1">
        <f>$B$1*'S-coe'!N45</f>
        <v>3.9872620664891948E-16</v>
      </c>
      <c r="O45" s="1">
        <f>$B$1*'S-coe'!O45</f>
        <v>3.5143292581401363E-16</v>
      </c>
      <c r="P45" s="1">
        <f>$B$1*'S-coe'!P45</f>
        <v>3.5159764095109179E-16</v>
      </c>
      <c r="Q45" s="1">
        <f>$B$1*'S-coe'!Q45</f>
        <v>3.5159764095109179E-16</v>
      </c>
      <c r="R45" s="1">
        <f>$B$1*'S-coe'!R45</f>
        <v>3.5159764095109179E-16</v>
      </c>
      <c r="S45" s="1">
        <f>$B$1*'S-coe'!S45</f>
        <v>3.7076963367144866E-16</v>
      </c>
      <c r="T45" s="1">
        <f>$B$1*'S-coe'!T45</f>
        <v>3.7811798102774568E-16</v>
      </c>
      <c r="U45" s="1">
        <f>$B$1*'S-coe'!U45</f>
        <v>3.7811798102774568E-16</v>
      </c>
      <c r="V45" s="1">
        <f>$B$1*'S-coe'!V45</f>
        <v>3.6782683706444922E-16</v>
      </c>
      <c r="W45" s="1">
        <f>$B$1*'S-coe'!W45</f>
        <v>3.7070450763966922E-16</v>
      </c>
      <c r="X45" s="1">
        <f>$B$1*'S-coe'!X45</f>
        <v>3.7070450763966922E-16</v>
      </c>
      <c r="Y45" s="1">
        <f>$B$1*'S-coe'!Y45</f>
        <v>3.530886732156503E-16</v>
      </c>
      <c r="Z45" s="1">
        <f>$B$1*'S-coe'!Z45</f>
        <v>3.5976795157515323E-16</v>
      </c>
      <c r="AA45" s="1">
        <f>$B$1*'S-coe'!AA45</f>
        <v>3.5976795157515323E-16</v>
      </c>
      <c r="AB45" s="1">
        <f>$B$1*'S-coe'!AB45</f>
        <v>5.3245082661214923E-16</v>
      </c>
      <c r="AC45" s="1">
        <f>$B$1*'S-coe'!AC45</f>
        <v>3.8035451723684382E-16</v>
      </c>
      <c r="AD45" s="1">
        <f>$B$1*'S-coe'!AD45</f>
        <v>3.8035451723684382E-16</v>
      </c>
      <c r="AE45" s="1">
        <f>$B$1*'S-coe'!AE45</f>
        <v>3.8035451723684382E-16</v>
      </c>
      <c r="AF45" s="1">
        <f>$B$1*'S-coe'!AF45</f>
        <v>4.4023798789531654E-16</v>
      </c>
      <c r="AG45" s="1">
        <f>$B$1*'S-coe'!AG45</f>
        <v>4.0680417360800618E-16</v>
      </c>
      <c r="AH45" s="1">
        <f>$B$1*'S-coe'!AH45</f>
        <v>4.0680417360800618E-16</v>
      </c>
      <c r="AI45" s="1">
        <f>$B$1*'S-coe'!AI45</f>
        <v>4.0680417360800618E-16</v>
      </c>
      <c r="AJ45" s="1">
        <f>$B$1*'S-coe'!AJ45</f>
        <v>4.4530816974505541E-16</v>
      </c>
      <c r="AK45" s="1">
        <f>$B$1*'S-coe'!AK45</f>
        <v>4.4530816974505541E-16</v>
      </c>
      <c r="AL45" s="1">
        <f>$B$1*'S-coe'!AL45</f>
        <v>4.4530816974505541E-16</v>
      </c>
      <c r="AM45" s="1">
        <f>$B$1*'S-coe'!AM45</f>
        <v>4.4530816974505541E-16</v>
      </c>
      <c r="AN45" s="1">
        <f>$B$1*'S-coe'!AN45</f>
        <v>4.0603453661793344E-16</v>
      </c>
      <c r="AO45" s="1">
        <f>$B$1*'S-coe'!AO45</f>
        <v>4.4401423307841645E-16</v>
      </c>
      <c r="AP45" s="1">
        <f>$B$1*'S-coe'!AP45</f>
        <v>3.5685860207491688E-16</v>
      </c>
      <c r="AQ45" s="1">
        <f>$B$1*'S-coe'!AQ45</f>
        <v>9.5088044005485098E-16</v>
      </c>
      <c r="AR45" s="1">
        <f>$B$1*'S-coe'!AR45</f>
        <v>4.6973458050530279E-16</v>
      </c>
      <c r="AS45" s="1">
        <f>$B$1*'S-coe'!AS45</f>
        <v>4.6973458050530279E-16</v>
      </c>
      <c r="AT45" s="1">
        <f>$B$1*'S-coe'!AT45</f>
        <v>4.362423531543039E-16</v>
      </c>
      <c r="AU45" s="1">
        <f>$B$1*'S-coe'!AU45</f>
        <v>4.362423531543039E-16</v>
      </c>
      <c r="AV45" s="1">
        <f>$B$1*'S-coe'!AV45</f>
        <v>4.9408179845114863E-16</v>
      </c>
      <c r="AW45" s="1">
        <f>$B$1*'S-coe'!AW45</f>
        <v>4.3420777161519686E-16</v>
      </c>
      <c r="AX45" s="1">
        <f>$B$1*'S-coe'!AX45</f>
        <v>3.9215415453145223E-16</v>
      </c>
      <c r="AY45" s="1">
        <f>$B$1*'S-coe'!AY45</f>
        <v>4.6284431309148076E-16</v>
      </c>
      <c r="AZ45" s="1">
        <f>$B$1*'S-coe'!AZ45</f>
        <v>3.2535109803257223E-16</v>
      </c>
      <c r="BA45" s="1">
        <f>$B$1*'S-coe'!BA45</f>
        <v>7.5524243028952978E-16</v>
      </c>
      <c r="BB45" s="1">
        <f>$B$1*'S-coe'!BB45</f>
        <v>5.8286990648406061E-16</v>
      </c>
      <c r="BC45" s="1">
        <f>$B$1*'S-coe'!BC45</f>
        <v>3.4004331566902933E-16</v>
      </c>
      <c r="BD45" s="1">
        <f>$B$1*'S-coe'!BD45</f>
        <v>3.3592769026729796E-16</v>
      </c>
      <c r="BE45" s="1">
        <f>$B$1*'S-coe'!BE45</f>
        <v>3.9225336296869554E-16</v>
      </c>
      <c r="BF45" s="1">
        <f>$B$1*'S-coe'!BF45</f>
        <v>3.8110929358013663E-16</v>
      </c>
      <c r="BG45" s="1">
        <f>$B$1*'S-coe'!BG45</f>
        <v>4.0880205947109596E-16</v>
      </c>
      <c r="BH45" s="1">
        <f>$B$1*'S-coe'!BH45</f>
        <v>4.4816413059388379E-16</v>
      </c>
      <c r="BI45" s="1">
        <f>$B$1*'S-coe'!BI45</f>
        <v>3.4030716675992686E-16</v>
      </c>
      <c r="BJ45" s="1">
        <f>$B$1*'S-coe'!BJ45</f>
        <v>3.4007721225452089E-16</v>
      </c>
      <c r="BK45" s="1">
        <f>$B$1*'S-coe'!BK45</f>
        <v>3.0735477549456701E-16</v>
      </c>
      <c r="BL45" s="1">
        <f>$B$1*'S-coe'!BL45</f>
        <v>0</v>
      </c>
      <c r="BM45" s="1">
        <f>$B$1*'S-coe'!BM45</f>
        <v>5.0710309136605202E-16</v>
      </c>
      <c r="BN45" s="1">
        <f>$B$1*'S-coe'!BN45</f>
        <v>1.4472060002583155E-14</v>
      </c>
      <c r="BO45" s="1">
        <f>$B$1*'S-coe'!BO45</f>
        <v>4.7828809671554861E-16</v>
      </c>
      <c r="BP45" s="1">
        <f>$B$1*'S-coe'!BP45</f>
        <v>0</v>
      </c>
      <c r="BQ45" s="1">
        <f>$B$1*'S-coe'!BQ45</f>
        <v>4.3645944543120123E-16</v>
      </c>
      <c r="BR45" s="1">
        <f>$B$1*'S-coe'!BR45</f>
        <v>4.873208192375222E-16</v>
      </c>
      <c r="BS45" s="1">
        <f>$B$1*'S-coe'!BS45</f>
        <v>3.1830756864813511E-16</v>
      </c>
      <c r="BT45" s="1">
        <f>$B$1*'S-coe'!BT45</f>
        <v>4.108160519414752E-16</v>
      </c>
      <c r="BU45" s="1">
        <f>$B$1*'S-coe'!BU45</f>
        <v>3.8868618089591254E-16</v>
      </c>
      <c r="BV45" s="1">
        <f>$B$1*'S-coe'!BV45</f>
        <v>3.4341491088280881E-16</v>
      </c>
      <c r="BW45" s="1">
        <f>$B$1*'S-coe'!BW45</f>
        <v>7.6398695998359354E-16</v>
      </c>
      <c r="BX45" s="1">
        <f>$B$1*'S-coe'!BX45</f>
        <v>4.5707451006647142E-16</v>
      </c>
      <c r="BY45" s="1">
        <f>$B$1*'S-coe'!BY45</f>
        <v>4.7544461073040113E-16</v>
      </c>
      <c r="BZ45" s="1">
        <f>$B$1*'S-coe'!BZ45</f>
        <v>3.8035451723684382E-16</v>
      </c>
      <c r="CA45" s="1">
        <f>$B$1*'S-coe'!CA45</f>
        <v>3.8035451723684382E-16</v>
      </c>
      <c r="CB45" s="1">
        <f>$B$1*'S-coe'!CB45</f>
        <v>4.4404043649621866E-16</v>
      </c>
      <c r="CC45" s="1">
        <f>$B$1*'S-coe'!CC45</f>
        <v>4.4404051746235641E-16</v>
      </c>
    </row>
    <row r="46" spans="2:81" x14ac:dyDescent="0.15">
      <c r="B46" t="s">
        <v>48</v>
      </c>
      <c r="C46" s="1">
        <f>$B$1*'S-coe'!C46</f>
        <v>5.06209171361919E-16</v>
      </c>
      <c r="D46" s="1">
        <f>$B$1*'S-coe'!D46</f>
        <v>5.06209171361919E-16</v>
      </c>
      <c r="E46" s="1">
        <f>$B$1*'S-coe'!E46</f>
        <v>4.4686372402806444E-16</v>
      </c>
      <c r="F46" s="1">
        <f>$B$1*'S-coe'!F46</f>
        <v>4.4686372402806444E-16</v>
      </c>
      <c r="G46" s="1">
        <f>$B$1*'S-coe'!G46</f>
        <v>4.7225430042961567E-16</v>
      </c>
      <c r="H46" s="1">
        <f>$B$1*'S-coe'!H46</f>
        <v>5.977506532228917E-16</v>
      </c>
      <c r="I46" s="1">
        <f>$B$1*'S-coe'!I46</f>
        <v>5.3876461480528463E-16</v>
      </c>
      <c r="J46" s="1">
        <f>$B$1*'S-coe'!J46</f>
        <v>5.3876461480528463E-16</v>
      </c>
      <c r="K46" s="1">
        <f>$B$1*'S-coe'!K46</f>
        <v>5.3876461480528463E-16</v>
      </c>
      <c r="L46" s="1">
        <f>$B$1*'S-coe'!L46</f>
        <v>5.937660719126547E-16</v>
      </c>
      <c r="M46" s="1">
        <f>$B$1*'S-coe'!M46</f>
        <v>6.6777211772319292E-16</v>
      </c>
      <c r="N46" s="1">
        <f>$B$1*'S-coe'!N46</f>
        <v>6.6777211772319292E-16</v>
      </c>
      <c r="O46" s="1">
        <f>$B$1*'S-coe'!O46</f>
        <v>8.4194680159754863E-16</v>
      </c>
      <c r="P46" s="1">
        <f>$B$1*'S-coe'!P46</f>
        <v>9.4407031981308544E-16</v>
      </c>
      <c r="Q46" s="1">
        <f>$B$1*'S-coe'!Q46</f>
        <v>9.4407031981308544E-16</v>
      </c>
      <c r="R46" s="1">
        <f>$B$1*'S-coe'!R46</f>
        <v>9.4407031981308544E-16</v>
      </c>
      <c r="S46" s="1">
        <f>$B$1*'S-coe'!S46</f>
        <v>7.8110062469977176E-16</v>
      </c>
      <c r="T46" s="1">
        <f>$B$1*'S-coe'!T46</f>
        <v>8.4271654579868049E-16</v>
      </c>
      <c r="U46" s="1">
        <f>$B$1*'S-coe'!U46</f>
        <v>8.4271654579868049E-16</v>
      </c>
      <c r="V46" s="1">
        <f>$B$1*'S-coe'!V46</f>
        <v>8.394768274656008E-16</v>
      </c>
      <c r="W46" s="1">
        <f>$B$1*'S-coe'!W46</f>
        <v>8.9313342925052786E-16</v>
      </c>
      <c r="X46" s="1">
        <f>$B$1*'S-coe'!X46</f>
        <v>8.9313342925052786E-16</v>
      </c>
      <c r="Y46" s="1">
        <f>$B$1*'S-coe'!Y46</f>
        <v>1.0389308582960288E-15</v>
      </c>
      <c r="Z46" s="1">
        <f>$B$1*'S-coe'!Z46</f>
        <v>1.1251126444718073E-15</v>
      </c>
      <c r="AA46" s="1">
        <f>$B$1*'S-coe'!AA46</f>
        <v>1.1251126444718073E-15</v>
      </c>
      <c r="AB46" s="1">
        <f>$B$1*'S-coe'!AB46</f>
        <v>7.5340926933987427E-16</v>
      </c>
      <c r="AC46" s="1">
        <f>$B$1*'S-coe'!AC46</f>
        <v>6.5044788255535391E-16</v>
      </c>
      <c r="AD46" s="1">
        <f>$B$1*'S-coe'!AD46</f>
        <v>6.5044788255535391E-16</v>
      </c>
      <c r="AE46" s="1">
        <f>$B$1*'S-coe'!AE46</f>
        <v>6.5044788255535391E-16</v>
      </c>
      <c r="AF46" s="1">
        <f>$B$1*'S-coe'!AF46</f>
        <v>5.78233022178253E-16</v>
      </c>
      <c r="AG46" s="1">
        <f>$B$1*'S-coe'!AG46</f>
        <v>6.2662382006002582E-16</v>
      </c>
      <c r="AH46" s="1">
        <f>$B$1*'S-coe'!AH46</f>
        <v>6.2662382006002582E-16</v>
      </c>
      <c r="AI46" s="1">
        <f>$B$1*'S-coe'!AI46</f>
        <v>6.2662382006002582E-16</v>
      </c>
      <c r="AJ46" s="1">
        <f>$B$1*'S-coe'!AJ46</f>
        <v>5.7706251674962781E-16</v>
      </c>
      <c r="AK46" s="1">
        <f>$B$1*'S-coe'!AK46</f>
        <v>5.7706251674962781E-16</v>
      </c>
      <c r="AL46" s="1">
        <f>$B$1*'S-coe'!AL46</f>
        <v>5.7706251674962781E-16</v>
      </c>
      <c r="AM46" s="1">
        <f>$B$1*'S-coe'!AM46</f>
        <v>5.7706251674962781E-16</v>
      </c>
      <c r="AN46" s="1">
        <f>$B$1*'S-coe'!AN46</f>
        <v>7.0853503912690342E-16</v>
      </c>
      <c r="AO46" s="1">
        <f>$B$1*'S-coe'!AO46</f>
        <v>5.7224207829167223E-16</v>
      </c>
      <c r="AP46" s="1">
        <f>$B$1*'S-coe'!AP46</f>
        <v>6.5645888506395682E-16</v>
      </c>
      <c r="AQ46" s="1">
        <f>$B$1*'S-coe'!AQ46</f>
        <v>5.6223025484113576E-16</v>
      </c>
      <c r="AR46" s="1">
        <f>$B$1*'S-coe'!AR46</f>
        <v>5.6128293486391714E-16</v>
      </c>
      <c r="AS46" s="1">
        <f>$B$1*'S-coe'!AS46</f>
        <v>5.6128293486391714E-16</v>
      </c>
      <c r="AT46" s="1">
        <f>$B$1*'S-coe'!AT46</f>
        <v>5.2566026158906316E-16</v>
      </c>
      <c r="AU46" s="1">
        <f>$B$1*'S-coe'!AU46</f>
        <v>5.2566026158906316E-16</v>
      </c>
      <c r="AV46" s="1">
        <f>$B$1*'S-coe'!AV46</f>
        <v>5.4778864105919034E-16</v>
      </c>
      <c r="AW46" s="1">
        <f>$B$1*'S-coe'!AW46</f>
        <v>6.0186847032004505E-16</v>
      </c>
      <c r="AX46" s="1">
        <f>$B$1*'S-coe'!AX46</f>
        <v>6.7504521322558535E-16</v>
      </c>
      <c r="AY46" s="1">
        <f>$B$1*'S-coe'!AY46</f>
        <v>5.5782067362254753E-16</v>
      </c>
      <c r="AZ46" s="1">
        <f>$B$1*'S-coe'!AZ46</f>
        <v>2.2892905436264287E-16</v>
      </c>
      <c r="BA46" s="1">
        <f>$B$1*'S-coe'!BA46</f>
        <v>1.6132158713006375E-15</v>
      </c>
      <c r="BB46" s="1">
        <f>$B$1*'S-coe'!BB46</f>
        <v>4.0955717504141703E-16</v>
      </c>
      <c r="BC46" s="1">
        <f>$B$1*'S-coe'!BC46</f>
        <v>5.5391137179213737E-16</v>
      </c>
      <c r="BD46" s="1">
        <f>$B$1*'S-coe'!BD46</f>
        <v>5.3457550178438071E-16</v>
      </c>
      <c r="BE46" s="1">
        <f>$B$1*'S-coe'!BE46</f>
        <v>5.2395923349254516E-16</v>
      </c>
      <c r="BF46" s="1">
        <f>$B$1*'S-coe'!BF46</f>
        <v>7.4018239068094946E-16</v>
      </c>
      <c r="BG46" s="1">
        <f>$B$1*'S-coe'!BG46</f>
        <v>5.3402518415271685E-16</v>
      </c>
      <c r="BH46" s="1">
        <f>$B$1*'S-coe'!BH46</f>
        <v>1.0095841528076145E-15</v>
      </c>
      <c r="BI46" s="1">
        <f>$B$1*'S-coe'!BI46</f>
        <v>1.1721063928216769E-15</v>
      </c>
      <c r="BJ46" s="1">
        <f>$B$1*'S-coe'!BJ46</f>
        <v>6.5008807263676061E-16</v>
      </c>
      <c r="BK46" s="1">
        <f>$B$1*'S-coe'!BK46</f>
        <v>3.7485496747168626E-16</v>
      </c>
      <c r="BL46" s="1">
        <f>$B$1*'S-coe'!BL46</f>
        <v>0</v>
      </c>
      <c r="BM46" s="1">
        <f>$B$1*'S-coe'!BM46</f>
        <v>5.0780729352612518E-16</v>
      </c>
      <c r="BN46" s="1">
        <f>$B$1*'S-coe'!BN46</f>
        <v>7.8691400469976267E-16</v>
      </c>
      <c r="BO46" s="1">
        <f>$B$1*'S-coe'!BO46</f>
        <v>7.3374933092293804E-16</v>
      </c>
      <c r="BP46" s="1">
        <f>$B$1*'S-coe'!BP46</f>
        <v>0</v>
      </c>
      <c r="BQ46" s="1">
        <f>$B$1*'S-coe'!BQ46</f>
        <v>6.3437131583167293E-16</v>
      </c>
      <c r="BR46" s="1">
        <f>$B$1*'S-coe'!BR46</f>
        <v>5.9299789978763012E-16</v>
      </c>
      <c r="BS46" s="1">
        <f>$B$1*'S-coe'!BS46</f>
        <v>1.0462873346246418E-15</v>
      </c>
      <c r="BT46" s="1">
        <f>$B$1*'S-coe'!BT46</f>
        <v>9.1112574789217259E-16</v>
      </c>
      <c r="BU46" s="1">
        <f>$B$1*'S-coe'!BU46</f>
        <v>8.0943566256692192E-16</v>
      </c>
      <c r="BV46" s="1">
        <f>$B$1*'S-coe'!BV46</f>
        <v>1.0135319490579091E-15</v>
      </c>
      <c r="BW46" s="1">
        <f>$B$1*'S-coe'!BW46</f>
        <v>2.6749961303761456E-15</v>
      </c>
      <c r="BX46" s="1">
        <f>$B$1*'S-coe'!BX46</f>
        <v>6.1407644951672286E-16</v>
      </c>
      <c r="BY46" s="1">
        <f>$B$1*'S-coe'!BY46</f>
        <v>7.3565350428254717E-16</v>
      </c>
      <c r="BZ46" s="1">
        <f>$B$1*'S-coe'!BZ46</f>
        <v>6.5044788255535391E-16</v>
      </c>
      <c r="CA46" s="1">
        <f>$B$1*'S-coe'!CA46</f>
        <v>6.5044788255535391E-16</v>
      </c>
      <c r="CB46" s="1">
        <f>$B$1*'S-coe'!CB46</f>
        <v>5.7871542052451184E-16</v>
      </c>
      <c r="CC46" s="1">
        <f>$B$1*'S-coe'!CC46</f>
        <v>5.7789678289480198E-16</v>
      </c>
    </row>
    <row r="47" spans="2:81" x14ac:dyDescent="0.15">
      <c r="B47" t="s">
        <v>19</v>
      </c>
      <c r="C47" s="1">
        <f>$B$1*'S-coe'!C47</f>
        <v>5.6111458158222436E-16</v>
      </c>
      <c r="D47" s="1">
        <f>$B$1*'S-coe'!D47</f>
        <v>5.6111458158222436E-16</v>
      </c>
      <c r="E47" s="1">
        <f>$B$1*'S-coe'!E47</f>
        <v>3.8626177576226171E-16</v>
      </c>
      <c r="F47" s="1">
        <f>$B$1*'S-coe'!F47</f>
        <v>3.8626177576226171E-16</v>
      </c>
      <c r="G47" s="1">
        <f>$B$1*'S-coe'!G47</f>
        <v>5.2117635919459972E-16</v>
      </c>
      <c r="H47" s="1">
        <f>$B$1*'S-coe'!H47</f>
        <v>6.8132684223068648E-16</v>
      </c>
      <c r="I47" s="1">
        <f>$B$1*'S-coe'!I47</f>
        <v>7.3519299794042437E-16</v>
      </c>
      <c r="J47" s="1">
        <f>$B$1*'S-coe'!J47</f>
        <v>7.3519299794042437E-16</v>
      </c>
      <c r="K47" s="1">
        <f>$B$1*'S-coe'!K47</f>
        <v>7.3519299794042437E-16</v>
      </c>
      <c r="L47" s="1">
        <f>$B$1*'S-coe'!L47</f>
        <v>5.0252229529649683E-16</v>
      </c>
      <c r="M47" s="1">
        <f>$B$1*'S-coe'!M47</f>
        <v>5.4427990487537404E-16</v>
      </c>
      <c r="N47" s="1">
        <f>$B$1*'S-coe'!N47</f>
        <v>5.4427990487537404E-16</v>
      </c>
      <c r="O47" s="1">
        <f>$B$1*'S-coe'!O47</f>
        <v>7.512928790698898E-16</v>
      </c>
      <c r="P47" s="1">
        <f>$B$1*'S-coe'!P47</f>
        <v>8.2613301937053123E-16</v>
      </c>
      <c r="Q47" s="1">
        <f>$B$1*'S-coe'!Q47</f>
        <v>8.2613301937053123E-16</v>
      </c>
      <c r="R47" s="1">
        <f>$B$1*'S-coe'!R47</f>
        <v>8.2613301937053123E-16</v>
      </c>
      <c r="S47" s="1">
        <f>$B$1*'S-coe'!S47</f>
        <v>8.6357685370296772E-16</v>
      </c>
      <c r="T47" s="1">
        <f>$B$1*'S-coe'!T47</f>
        <v>9.2377786123497771E-16</v>
      </c>
      <c r="U47" s="1">
        <f>$B$1*'S-coe'!U47</f>
        <v>9.2377786123497771E-16</v>
      </c>
      <c r="V47" s="1">
        <f>$B$1*'S-coe'!V47</f>
        <v>8.6676230878894881E-16</v>
      </c>
      <c r="W47" s="1">
        <f>$B$1*'S-coe'!W47</f>
        <v>9.2215049967751141E-16</v>
      </c>
      <c r="X47" s="1">
        <f>$B$1*'S-coe'!X47</f>
        <v>9.0551793487534592E-16</v>
      </c>
      <c r="Y47" s="1">
        <f>$B$1*'S-coe'!Y47</f>
        <v>9.7279869625912593E-16</v>
      </c>
      <c r="Z47" s="1">
        <f>$B$1*'S-coe'!Z47</f>
        <v>1.0881851355272548E-15</v>
      </c>
      <c r="AA47" s="1">
        <f>$B$1*'S-coe'!AA47</f>
        <v>1.0881851355272548E-15</v>
      </c>
      <c r="AB47" s="1">
        <f>$B$1*'S-coe'!AB47</f>
        <v>2.3161168283214863E-16</v>
      </c>
      <c r="AC47" s="1">
        <f>$B$1*'S-coe'!AC47</f>
        <v>6.2364099110228336E-16</v>
      </c>
      <c r="AD47" s="1">
        <f>$B$1*'S-coe'!AD47</f>
        <v>6.2364099110228336E-16</v>
      </c>
      <c r="AE47" s="1">
        <f>$B$1*'S-coe'!AE47</f>
        <v>6.2364099110228336E-16</v>
      </c>
      <c r="AF47" s="1">
        <f>$B$1*'S-coe'!AF47</f>
        <v>9.0168810367176079E-16</v>
      </c>
      <c r="AG47" s="1">
        <f>$B$1*'S-coe'!AG47</f>
        <v>7.2024021681110779E-16</v>
      </c>
      <c r="AH47" s="1">
        <f>$B$1*'S-coe'!AH47</f>
        <v>7.2024021681110779E-16</v>
      </c>
      <c r="AI47" s="1">
        <f>$B$1*'S-coe'!AI47</f>
        <v>7.2024021681110779E-16</v>
      </c>
      <c r="AJ47" s="1">
        <f>$B$1*'S-coe'!AJ47</f>
        <v>7.0919122919881331E-16</v>
      </c>
      <c r="AK47" s="1">
        <f>$B$1*'S-coe'!AK47</f>
        <v>7.0919122919881331E-16</v>
      </c>
      <c r="AL47" s="1">
        <f>$B$1*'S-coe'!AL47</f>
        <v>7.0919122919881331E-16</v>
      </c>
      <c r="AM47" s="1">
        <f>$B$1*'S-coe'!AM47</f>
        <v>7.0919122919881331E-16</v>
      </c>
      <c r="AN47" s="1">
        <f>$B$1*'S-coe'!AN47</f>
        <v>7.4338445320685147E-16</v>
      </c>
      <c r="AO47" s="1">
        <f>$B$1*'S-coe'!AO47</f>
        <v>7.0298109038616993E-16</v>
      </c>
      <c r="AP47" s="1">
        <f>$B$1*'S-coe'!AP47</f>
        <v>7.2222805257985073E-16</v>
      </c>
      <c r="AQ47" s="1">
        <f>$B$1*'S-coe'!AQ47</f>
        <v>7.9449912190099006E-16</v>
      </c>
      <c r="AR47" s="1">
        <f>$B$1*'S-coe'!AR47</f>
        <v>9.2391325319326621E-16</v>
      </c>
      <c r="AS47" s="1">
        <f>$B$1*'S-coe'!AS47</f>
        <v>9.2391325319326621E-16</v>
      </c>
      <c r="AT47" s="1">
        <f>$B$1*'S-coe'!AT47</f>
        <v>6.949964658899981E-16</v>
      </c>
      <c r="AU47" s="1">
        <f>$B$1*'S-coe'!AU47</f>
        <v>6.949964658899981E-16</v>
      </c>
      <c r="AV47" s="1">
        <f>$B$1*'S-coe'!AV47</f>
        <v>1.036161792612855E-15</v>
      </c>
      <c r="AW47" s="1">
        <f>$B$1*'S-coe'!AW47</f>
        <v>8.2901059624939201E-16</v>
      </c>
      <c r="AX47" s="1">
        <f>$B$1*'S-coe'!AX47</f>
        <v>9.6140620524544704E-16</v>
      </c>
      <c r="AY47" s="1">
        <f>$B$1*'S-coe'!AY47</f>
        <v>7.9225011977741302E-16</v>
      </c>
      <c r="AZ47" s="1">
        <f>$B$1*'S-coe'!AZ47</f>
        <v>1.6102458539753498E-16</v>
      </c>
      <c r="BA47" s="1">
        <f>$B$1*'S-coe'!BA47</f>
        <v>3.9604707582688911E-16</v>
      </c>
      <c r="BB47" s="1">
        <f>$B$1*'S-coe'!BB47</f>
        <v>1.9728908850557656E-16</v>
      </c>
      <c r="BC47" s="1">
        <f>$B$1*'S-coe'!BC47</f>
        <v>5.5306091837086318E-16</v>
      </c>
      <c r="BD47" s="1">
        <f>$B$1*'S-coe'!BD47</f>
        <v>5.3945094977152098E-16</v>
      </c>
      <c r="BE47" s="1">
        <f>$B$1*'S-coe'!BE47</f>
        <v>5.3200340467016783E-16</v>
      </c>
      <c r="BF47" s="1">
        <f>$B$1*'S-coe'!BF47</f>
        <v>7.9898267575988874E-16</v>
      </c>
      <c r="BG47" s="1">
        <f>$B$1*'S-coe'!BG47</f>
        <v>5.2388832158153913E-16</v>
      </c>
      <c r="BH47" s="1">
        <f>$B$1*'S-coe'!BH47</f>
        <v>8.918732258656818E-16</v>
      </c>
      <c r="BI47" s="1">
        <f>$B$1*'S-coe'!BI47</f>
        <v>1.175157872280283E-15</v>
      </c>
      <c r="BJ47" s="1">
        <f>$B$1*'S-coe'!BJ47</f>
        <v>5.8464269508441224E-16</v>
      </c>
      <c r="BK47" s="1">
        <f>$B$1*'S-coe'!BK47</f>
        <v>2.911461888690614E-16</v>
      </c>
      <c r="BL47" s="1">
        <f>$B$1*'S-coe'!BL47</f>
        <v>0</v>
      </c>
      <c r="BM47" s="1">
        <f>$B$1*'S-coe'!BM47</f>
        <v>5.6295283792098419E-16</v>
      </c>
      <c r="BN47" s="1">
        <f>$B$1*'S-coe'!BN47</f>
        <v>4.8892801206445925E-16</v>
      </c>
      <c r="BO47" s="1">
        <f>$B$1*'S-coe'!BO47</f>
        <v>6.3317498307722864E-16</v>
      </c>
      <c r="BP47" s="1">
        <f>$B$1*'S-coe'!BP47</f>
        <v>0</v>
      </c>
      <c r="BQ47" s="1">
        <f>$B$1*'S-coe'!BQ47</f>
        <v>6.7780824251124648E-16</v>
      </c>
      <c r="BR47" s="1">
        <f>$B$1*'S-coe'!BR47</f>
        <v>9.1763419743698275E-16</v>
      </c>
      <c r="BS47" s="1">
        <f>$B$1*'S-coe'!BS47</f>
        <v>1.0009440184339026E-15</v>
      </c>
      <c r="BT47" s="1">
        <f>$B$1*'S-coe'!BT47</f>
        <v>9.6493436262135036E-16</v>
      </c>
      <c r="BU47" s="1">
        <f>$B$1*'S-coe'!BU47</f>
        <v>8.8968667457796935E-16</v>
      </c>
      <c r="BV47" s="1">
        <f>$B$1*'S-coe'!BV47</f>
        <v>1.0820158848156126E-15</v>
      </c>
      <c r="BW47" s="1">
        <f>$B$1*'S-coe'!BW47</f>
        <v>7.3471381136066009E-16</v>
      </c>
      <c r="BX47" s="1">
        <f>$B$1*'S-coe'!BX47</f>
        <v>8.7103552194612692E-16</v>
      </c>
      <c r="BY47" s="1">
        <f>$B$1*'S-coe'!BY47</f>
        <v>3.391239153009377E-15</v>
      </c>
      <c r="BZ47" s="1">
        <f>$B$1*'S-coe'!BZ47</f>
        <v>6.2364099110228336E-16</v>
      </c>
      <c r="CA47" s="1">
        <f>$B$1*'S-coe'!CA47</f>
        <v>6.2364099110228336E-16</v>
      </c>
      <c r="CB47" s="1">
        <f>$B$1*'S-coe'!CB47</f>
        <v>7.0961215142198757E-16</v>
      </c>
      <c r="CC47" s="1">
        <f>$B$1*'S-coe'!CC47</f>
        <v>7.0804322893752286E-16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8B28-E71B-49D6-AB31-37B2124C484E}">
  <sheetPr codeName="Sheet4"/>
  <dimension ref="A2:CC47"/>
  <sheetViews>
    <sheetView zoomScaleNormal="100" workbookViewId="0"/>
  </sheetViews>
  <sheetFormatPr defaultRowHeight="12" x14ac:dyDescent="0.15"/>
  <cols>
    <col min="2" max="2" width="11.85546875" bestFit="1" customWidth="1"/>
    <col min="3" max="7" width="13" bestFit="1" customWidth="1"/>
    <col min="9" max="10" width="13" bestFit="1" customWidth="1"/>
    <col min="17" max="18" width="11.85546875" bestFit="1" customWidth="1"/>
    <col min="33" max="33" width="13" bestFit="1" customWidth="1"/>
  </cols>
  <sheetData>
    <row r="2" spans="1:81" x14ac:dyDescent="0.15">
      <c r="C2" t="s">
        <v>100</v>
      </c>
    </row>
    <row r="4" spans="1:81" x14ac:dyDescent="0.15">
      <c r="C4" t="s">
        <v>43</v>
      </c>
      <c r="D4" t="s">
        <v>0</v>
      </c>
      <c r="E4" t="s">
        <v>98</v>
      </c>
      <c r="F4" t="s">
        <v>50</v>
      </c>
      <c r="G4" t="s">
        <v>2</v>
      </c>
      <c r="H4" t="s">
        <v>3</v>
      </c>
      <c r="I4" t="s">
        <v>51</v>
      </c>
      <c r="J4" t="s">
        <v>52</v>
      </c>
      <c r="K4" t="s">
        <v>53</v>
      </c>
      <c r="L4" t="s">
        <v>54</v>
      </c>
      <c r="M4" t="s">
        <v>55</v>
      </c>
      <c r="N4" t="s">
        <v>56</v>
      </c>
      <c r="O4" t="s">
        <v>57</v>
      </c>
      <c r="P4" t="s">
        <v>59</v>
      </c>
      <c r="Q4" t="s">
        <v>58</v>
      </c>
      <c r="R4" t="s">
        <v>60</v>
      </c>
      <c r="S4" t="s">
        <v>62</v>
      </c>
      <c r="T4" t="s">
        <v>61</v>
      </c>
      <c r="U4" t="s">
        <v>63</v>
      </c>
      <c r="V4" t="s">
        <v>64</v>
      </c>
      <c r="W4" t="s">
        <v>65</v>
      </c>
      <c r="X4" t="s">
        <v>66</v>
      </c>
      <c r="Y4" t="s">
        <v>10</v>
      </c>
      <c r="Z4" t="s">
        <v>67</v>
      </c>
      <c r="AA4" t="s">
        <v>11</v>
      </c>
      <c r="AB4" t="s">
        <v>12</v>
      </c>
      <c r="AC4" t="s">
        <v>13</v>
      </c>
      <c r="AD4" t="s">
        <v>68</v>
      </c>
      <c r="AE4" t="s">
        <v>69</v>
      </c>
      <c r="AF4" t="s">
        <v>70</v>
      </c>
      <c r="AG4" t="s">
        <v>15</v>
      </c>
      <c r="AH4" t="s">
        <v>71</v>
      </c>
      <c r="AI4" t="s">
        <v>72</v>
      </c>
      <c r="AJ4" t="s">
        <v>16</v>
      </c>
      <c r="AK4" t="s">
        <v>17</v>
      </c>
      <c r="AL4" t="s">
        <v>18</v>
      </c>
      <c r="AM4" t="s">
        <v>19</v>
      </c>
      <c r="AN4" t="s">
        <v>73</v>
      </c>
      <c r="AO4" t="s">
        <v>74</v>
      </c>
      <c r="AP4" t="s">
        <v>75</v>
      </c>
      <c r="AQ4" t="s">
        <v>76</v>
      </c>
      <c r="AR4" t="s">
        <v>21</v>
      </c>
      <c r="AS4" t="s">
        <v>22</v>
      </c>
      <c r="AT4" t="s">
        <v>23</v>
      </c>
      <c r="AU4" t="s">
        <v>24</v>
      </c>
      <c r="AV4" t="s">
        <v>25</v>
      </c>
      <c r="AW4" t="s">
        <v>77</v>
      </c>
      <c r="AX4" t="s">
        <v>78</v>
      </c>
      <c r="AY4" t="s">
        <v>79</v>
      </c>
      <c r="AZ4" t="s">
        <v>27</v>
      </c>
      <c r="BA4" t="s">
        <v>80</v>
      </c>
      <c r="BB4" t="s">
        <v>81</v>
      </c>
      <c r="BC4" t="s">
        <v>82</v>
      </c>
      <c r="BD4" t="s">
        <v>83</v>
      </c>
      <c r="BE4" t="s">
        <v>29</v>
      </c>
      <c r="BF4" t="s">
        <v>30</v>
      </c>
      <c r="BG4" t="s">
        <v>84</v>
      </c>
      <c r="BH4" t="s">
        <v>85</v>
      </c>
      <c r="BI4" t="s">
        <v>86</v>
      </c>
      <c r="BJ4" t="s">
        <v>44</v>
      </c>
      <c r="BK4" t="s">
        <v>32</v>
      </c>
      <c r="BL4" t="s">
        <v>87</v>
      </c>
      <c r="BM4" t="s">
        <v>88</v>
      </c>
      <c r="BN4" t="s">
        <v>89</v>
      </c>
      <c r="BO4" t="s">
        <v>90</v>
      </c>
      <c r="BP4" t="s">
        <v>91</v>
      </c>
      <c r="BQ4" t="s">
        <v>34</v>
      </c>
      <c r="BR4" t="s">
        <v>35</v>
      </c>
      <c r="BS4" t="s">
        <v>36</v>
      </c>
      <c r="BT4" t="s">
        <v>37</v>
      </c>
      <c r="BU4" t="s">
        <v>38</v>
      </c>
      <c r="BV4" t="s">
        <v>92</v>
      </c>
      <c r="BW4" t="s">
        <v>93</v>
      </c>
      <c r="BX4" t="s">
        <v>94</v>
      </c>
      <c r="BY4" t="s">
        <v>39</v>
      </c>
      <c r="BZ4" t="s">
        <v>95</v>
      </c>
      <c r="CA4" t="s">
        <v>40</v>
      </c>
      <c r="CB4" t="s">
        <v>41</v>
      </c>
      <c r="CC4" t="s">
        <v>96</v>
      </c>
    </row>
    <row r="5" spans="1:81" x14ac:dyDescent="0.15">
      <c r="A5">
        <v>2</v>
      </c>
      <c r="B5" t="s">
        <v>21</v>
      </c>
      <c r="C5">
        <f>HLOOKUP($C$4,Conversion!$C$4:$CC$47,$A5,)</f>
        <v>5.0310922934086377E-16</v>
      </c>
      <c r="D5">
        <f>HLOOKUP($D$4,Conversion!$C$4:$CC$47,$A5,)</f>
        <v>1.0215306457750732E-16</v>
      </c>
      <c r="E5">
        <f>HLOOKUP($E$4,Conversion!$C$4:$CC$47,$A5,)</f>
        <v>5.9751145330046609E-16</v>
      </c>
      <c r="F5">
        <f>HLOOKUP($F$4,Conversion!$C$4:$CC$47,$A5,)</f>
        <v>9.6978510272287512E-16</v>
      </c>
      <c r="G5">
        <f>HLOOKUP($G$4,Conversion!$C$4:$CC$47,$A5,)</f>
        <v>2.6832008346028588E-15</v>
      </c>
      <c r="H5">
        <f>HLOOKUP($H$4,Conversion!$C$4:$CC$47,$A5,)</f>
        <v>7.4451237298052319E-16</v>
      </c>
      <c r="I5">
        <f>HLOOKUP($I$4,Conversion!$C$4:$CC$47,$A5,)</f>
        <v>2.142725260011631E-15</v>
      </c>
      <c r="J5">
        <f>HLOOKUP($J$4,Conversion!$C$4:$CC$47,$A5,)</f>
        <v>2.142725260011631E-15</v>
      </c>
      <c r="K5">
        <f>HLOOKUP($K$4,Conversion!$C$4:$CC$47,$A5,)</f>
        <v>2.142725260011631E-15</v>
      </c>
      <c r="L5">
        <f>HLOOKUP($L$4,Conversion!$C$4:$CC$47,$A5,)</f>
        <v>5.9751145330046609E-16</v>
      </c>
      <c r="M5">
        <f>HLOOKUP($M$4,Conversion!$C$4:$CC$47,$A5,)</f>
        <v>5.9751145330046609E-16</v>
      </c>
      <c r="N5">
        <f>HLOOKUP($N$4,Conversion!$C$4:$CC$47,$A5,)</f>
        <v>5.9751145330046609E-16</v>
      </c>
      <c r="O5">
        <f>HLOOKUP($O$4,Conversion!$C$4:$CC$47,$A5,)</f>
        <v>1.4328906419863945E-15</v>
      </c>
      <c r="P5">
        <f>HLOOKUP($P$4,Conversion!$C$4:$CC$47,$A5,)</f>
        <v>3.6163535037283468E-17</v>
      </c>
      <c r="Q5">
        <f>HLOOKUP($Q$4,Conversion!$C$4:$CC$47,$A5,)</f>
        <v>1.9947353367899709E-15</v>
      </c>
      <c r="R5">
        <f>HLOOKUP($R$4,Conversion!$C$4:$CC$47,$A5,)</f>
        <v>1.9947353367899709E-15</v>
      </c>
      <c r="S5">
        <f>HLOOKUP($S$4,Conversion!$C$4:$CC$47,$A5,)</f>
        <v>1.6621597027789783E-14</v>
      </c>
      <c r="T5">
        <f>HLOOKUP($T$4,Conversion!$C$4:$CC$47,$A5,)</f>
        <v>3.6935437187067174E-14</v>
      </c>
      <c r="U5">
        <f>HLOOKUP($U$4,Conversion!$C$4:$CC$47,$A5,)</f>
        <v>3.6935437187067174E-14</v>
      </c>
      <c r="V5">
        <f>HLOOKUP($V$4,Conversion!$C$4:$CC$47,$A5,)</f>
        <v>3.6935437187067174E-14</v>
      </c>
      <c r="W5">
        <f>HLOOKUP($W$4,Conversion!$C$4:$CC$47,$A5,)</f>
        <v>3.6935437187067174E-14</v>
      </c>
      <c r="X5">
        <f>HLOOKUP($X$4,Conversion!$C$4:$CC$47,$A5,)</f>
        <v>3.6935437187067174E-14</v>
      </c>
      <c r="Y5">
        <f>HLOOKUP($Y$4,Conversion!$C$4:$CC$47,$A5,)</f>
        <v>6.5018167255113706E-15</v>
      </c>
      <c r="Z5">
        <f>HLOOKUP($Z$4,Conversion!$C$4:$CC$47,$A5,)</f>
        <v>1.1258740955682519E-16</v>
      </c>
      <c r="AA5">
        <f>HLOOKUP($AA$4,Conversion!$C$4:$CC$47,$A5,)</f>
        <v>1.171452618461962E-16</v>
      </c>
      <c r="AB5">
        <f>HLOOKUP($AB$4,Conversion!$C$4:$CC$47,$A5,)</f>
        <v>4.8931877703513507E-16</v>
      </c>
      <c r="AC5">
        <f>HLOOKUP($AC$4,Conversion!$C$4:$CC$47,$A5,)</f>
        <v>6.2377876598421055E-17</v>
      </c>
      <c r="AD5">
        <f>HLOOKUP($AD$4,Conversion!$C$4:$CC$47,$A5,)</f>
        <v>1.7738444304574504E-17</v>
      </c>
      <c r="AE5">
        <f>HLOOKUP($AE$4,Conversion!$C$4:$CC$47,$A5,)</f>
        <v>1.59239756743902E-17</v>
      </c>
      <c r="AF5">
        <f>HLOOKUP($AF$4,Conversion!$C$4:$CC$47,$A5,)</f>
        <v>1.59239756743902E-17</v>
      </c>
      <c r="AG5">
        <f>HLOOKUP(AG$4,Conversion!$C$4:$CC$47,$A5,)</f>
        <v>1.6642737211870389E-16</v>
      </c>
      <c r="AH5">
        <f>HLOOKUP(AH$4,Conversion!$C$4:$CC$47,$A5,)</f>
        <v>6.4891179991244827E-16</v>
      </c>
      <c r="AI5">
        <f>HLOOKUP(AI$4,Conversion!$C$4:$CC$47,$A5,)</f>
        <v>5.9047951712155795E-16</v>
      </c>
      <c r="AJ5">
        <f>HLOOKUP(AJ$4,Conversion!$C$4:$CC$47,$A5,)</f>
        <v>5.8230483217332444E-14</v>
      </c>
      <c r="AK5">
        <f>HLOOKUP(AK$4,Conversion!$C$4:$CC$47,$A5,)</f>
        <v>6.0369360060625962E-16</v>
      </c>
      <c r="AL5">
        <f>HLOOKUP(AL$4,Conversion!$C$4:$CC$47,$A5,)</f>
        <v>2.4411432162026495E-15</v>
      </c>
      <c r="AM5">
        <f>HLOOKUP(AM$4,Conversion!$C$4:$CC$47,$A5,)</f>
        <v>5.6809909217364555E-16</v>
      </c>
      <c r="AN5">
        <f>HLOOKUP(AN$4,Conversion!$C$4:$CC$47,$A5,)</f>
        <v>2.1715224441461975E-15</v>
      </c>
      <c r="AO5">
        <f>HLOOKUP(AO$4,Conversion!$C$4:$CC$47,$A5,)</f>
        <v>2.1715224441461975E-15</v>
      </c>
      <c r="AP5">
        <f>HLOOKUP(AP$4,Conversion!$C$4:$CC$47,$A5,)</f>
        <v>2.1715224441461975E-15</v>
      </c>
      <c r="AQ5">
        <f>HLOOKUP(AQ$4,Conversion!$C$4:$CC$47,$A5,)</f>
        <v>2.6387323995962818E-13</v>
      </c>
      <c r="AR5">
        <f>HLOOKUP(AR$4,Conversion!$C$4:$CC$47,$A5,)</f>
        <v>1.6437912404697045E-12</v>
      </c>
      <c r="AS5">
        <f>HLOOKUP(AS$4,Conversion!$C$4:$CC$47,$A5,)</f>
        <v>4.3387132788950959E-18</v>
      </c>
      <c r="AT5">
        <f>HLOOKUP(AT$4,Conversion!$C$4:$CC$47,$A5,)</f>
        <v>7.9052006456252744E-17</v>
      </c>
      <c r="AU5">
        <f>HLOOKUP(AU$4,Conversion!$C$4:$CC$47,$A5,)</f>
        <v>8.2117420142201952E-15</v>
      </c>
      <c r="AV5">
        <f>HLOOKUP(AV$4,Conversion!$C$4:$CC$47,$A5,)</f>
        <v>0</v>
      </c>
      <c r="AW5">
        <f>HLOOKUP(AW$4,Conversion!$C$4:$CC$47,$A5,)</f>
        <v>4.4910851166044504E-18</v>
      </c>
      <c r="AX5">
        <f>HLOOKUP(AX$4,Conversion!$C$4:$CC$47,$A5,)</f>
        <v>3.8755555571800941E-18</v>
      </c>
      <c r="AY5">
        <f>HLOOKUP(AY$4,Conversion!$C$4:$CC$47,$A5,)</f>
        <v>3.8755555571800941E-18</v>
      </c>
      <c r="AZ5">
        <f>HLOOKUP(AZ$4,Conversion!$C$4:$CC$47,$A5,)</f>
        <v>1.2981531903626792E-15</v>
      </c>
      <c r="BA5">
        <f>HLOOKUP(BA$4,Conversion!$C$4:$CC$47,$A5,)</f>
        <v>9.3082539296984479E-16</v>
      </c>
      <c r="BB5">
        <f>HLOOKUP(BB$4,Conversion!$C$4:$CC$47,$A5,)</f>
        <v>2.4643996819710665E-17</v>
      </c>
      <c r="BC5">
        <f>HLOOKUP(BC$4,Conversion!$C$4:$CC$47,$A5,)</f>
        <v>2.3712470936553468E-17</v>
      </c>
      <c r="BD5">
        <f>HLOOKUP(BD$4,Conversion!$C$4:$CC$47,$A5,)</f>
        <v>2.3712470936553468E-17</v>
      </c>
      <c r="BE5">
        <f>HLOOKUP(BE$4,Conversion!$C$4:$CC$47,$A5,)</f>
        <v>1.7502507111987869E-14</v>
      </c>
      <c r="BF5">
        <f>HLOOKUP(BF$4,Conversion!$C$4:$CC$47,$A5,)</f>
        <v>4.3440448016086999E-16</v>
      </c>
      <c r="BG5">
        <f>HLOOKUP(BG$4,Conversion!$C$4:$CC$47,$A5,)</f>
        <v>3.4522204785171249E-17</v>
      </c>
      <c r="BH5">
        <f>HLOOKUP(BH$4,Conversion!$C$4:$CC$47,$A5,)</f>
        <v>2.936441069267004E-17</v>
      </c>
      <c r="BI5">
        <f>HLOOKUP(BI$4,Conversion!$C$4:$CC$47,$A5,)</f>
        <v>2.936441069267004E-17</v>
      </c>
      <c r="BJ5">
        <f>HLOOKUP(BJ$4,Conversion!$C$4:$CC$47,$A5,)</f>
        <v>2.936441069267004E-17</v>
      </c>
      <c r="BK5">
        <f>HLOOKUP(BK$4,Conversion!$C$4:$CC$47,$A5,)</f>
        <v>1.2914403076439927E-16</v>
      </c>
      <c r="BL5">
        <f>HLOOKUP(BL$4,Conversion!$C$4:$CC$47,$A5,)</f>
        <v>1.2254383164937589E-16</v>
      </c>
      <c r="BM5">
        <f>HLOOKUP(BM$4,Conversion!$C$4:$CC$47,$A5,)</f>
        <v>1.1342666990843466E-16</v>
      </c>
      <c r="BN5">
        <f>HLOOKUP(BN$4,Conversion!$C$4:$CC$47,$A5,)</f>
        <v>1.1342666990843466E-16</v>
      </c>
      <c r="BO5">
        <f>HLOOKUP(BO$4,Conversion!$C$4:$CC$47,$A5,)</f>
        <v>1.1170524453294989E-12</v>
      </c>
      <c r="BP5">
        <f>HLOOKUP(BP$4,Conversion!$C$4:$CC$47,$A5,)</f>
        <v>7.0705834051245315E-14</v>
      </c>
      <c r="BQ5">
        <f>HLOOKUP(BQ$4,Conversion!$C$4:$CC$47,$A5,)</f>
        <v>0</v>
      </c>
      <c r="BR5">
        <f>HLOOKUP(BR$4,Conversion!$C$4:$CC$47,$A5,)</f>
        <v>1.67654378062353E-15</v>
      </c>
      <c r="BS5">
        <f>HLOOKUP(BS$4,Conversion!$C$4:$CC$47,$A5,)</f>
        <v>4.4421010678269792E-15</v>
      </c>
      <c r="BT5">
        <f>HLOOKUP(BT$4,Conversion!$C$4:$CC$47,$A5,)</f>
        <v>6.0621814574826697E-13</v>
      </c>
      <c r="BU5">
        <f>HLOOKUP(BU$4,Conversion!$C$4:$CC$47,$A5,)</f>
        <v>7.4387710083268164E-14</v>
      </c>
      <c r="BV5">
        <f>HLOOKUP(BV$4,Conversion!$C$4:$CC$47,$A5,)</f>
        <v>9.8061699901831082E-16</v>
      </c>
      <c r="BW5">
        <f>HLOOKUP(BW$4,Conversion!$C$4:$CC$47,$A5,)</f>
        <v>1.8042235915068735E-15</v>
      </c>
      <c r="BX5">
        <f>HLOOKUP(BX$4,Conversion!$C$4:$CC$47,$A5,)</f>
        <v>1.8042235915068735E-15</v>
      </c>
      <c r="BY5">
        <f>HLOOKUP(BY$4,Conversion!$C$4:$CC$47,$A5,)</f>
        <v>2.5774283399868198E-17</v>
      </c>
      <c r="BZ5">
        <f>HLOOKUP(BZ$4,Conversion!$C$4:$CC$47,$A5,)</f>
        <v>4.7614895620439843E-18</v>
      </c>
      <c r="CA5">
        <f>HLOOKUP(CA$4,Conversion!$C$4:$CC$47,$A5,)</f>
        <v>5.2011456807009226E-18</v>
      </c>
      <c r="CB5">
        <f>HLOOKUP(CB$4,Conversion!$C$4:$CC$47,$A5,)</f>
        <v>3.4083622405842085E-18</v>
      </c>
      <c r="CC5">
        <f>HLOOKUP(CC$4,Conversion!$C$4:$CC$47,$A5,)</f>
        <v>6.8891349955150728E-16</v>
      </c>
    </row>
    <row r="6" spans="1:81" x14ac:dyDescent="0.15">
      <c r="A6">
        <v>3</v>
      </c>
      <c r="B6" t="s">
        <v>20</v>
      </c>
      <c r="C6">
        <f>HLOOKUP($C$4,Conversion!$C$4:$CC$47,$A6,)</f>
        <v>5.3583289013720189E-16</v>
      </c>
      <c r="D6">
        <f>HLOOKUP($D$4,Conversion!$C$4:$CC$47,$A6,)</f>
        <v>2.2507106216697761E-15</v>
      </c>
      <c r="E6">
        <f>HLOOKUP($E$4,Conversion!$C$4:$CC$47,$A6,)</f>
        <v>5.470344630832591E-15</v>
      </c>
      <c r="F6">
        <f>HLOOKUP($F$4,Conversion!$C$4:$CC$47,$A6,)</f>
        <v>4.215138424762371E-15</v>
      </c>
      <c r="G6">
        <f>HLOOKUP($G$4,Conversion!$C$4:$CC$47,$A6,)</f>
        <v>3.4453425063185074E-16</v>
      </c>
      <c r="H6">
        <f>HLOOKUP($H$4,Conversion!$C$4:$CC$47,$A6,)</f>
        <v>1.6518273127032934E-15</v>
      </c>
      <c r="I6">
        <f>HLOOKUP($I$4,Conversion!$C$4:$CC$47,$A6,)</f>
        <v>3.2011879877231922E-14</v>
      </c>
      <c r="J6">
        <f>HLOOKUP($J$4,Conversion!$C$4:$CC$47,$A6,)</f>
        <v>3.2011879877231922E-14</v>
      </c>
      <c r="K6">
        <f>HLOOKUP($K$4,Conversion!$C$4:$CC$47,$A6,)</f>
        <v>3.2011879877231922E-14</v>
      </c>
      <c r="L6">
        <f>HLOOKUP($L$4,Conversion!$C$4:$CC$47,$A6,)</f>
        <v>5.470344630832591E-15</v>
      </c>
      <c r="M6">
        <f>HLOOKUP($M$4,Conversion!$C$4:$CC$47,$A6,)</f>
        <v>5.470344630832591E-15</v>
      </c>
      <c r="N6">
        <f>HLOOKUP($N$4,Conversion!$C$4:$CC$47,$A6,)</f>
        <v>5.470344630832591E-15</v>
      </c>
      <c r="O6">
        <f>HLOOKUP($O$4,Conversion!$C$4:$CC$47,$A6,)</f>
        <v>1.2229439850356681E-15</v>
      </c>
      <c r="P6">
        <f>HLOOKUP($P$4,Conversion!$C$4:$CC$47,$A6,)</f>
        <v>1.3505911471274291E-16</v>
      </c>
      <c r="Q6">
        <f>HLOOKUP($Q$4,Conversion!$C$4:$CC$47,$A6,)</f>
        <v>1.3442344423129594E-15</v>
      </c>
      <c r="R6">
        <f>HLOOKUP($R$4,Conversion!$C$4:$CC$47,$A6,)</f>
        <v>1.3442344423129594E-15</v>
      </c>
      <c r="S6">
        <f>HLOOKUP($S$4,Conversion!$C$4:$CC$47,$A6,)</f>
        <v>5.8710935669065248E-16</v>
      </c>
      <c r="T6">
        <f>HLOOKUP($T$4,Conversion!$C$4:$CC$47,$A6,)</f>
        <v>6.7785205456616589E-15</v>
      </c>
      <c r="U6">
        <f>HLOOKUP($U$4,Conversion!$C$4:$CC$47,$A6,)</f>
        <v>6.7785205456616589E-15</v>
      </c>
      <c r="V6">
        <f>HLOOKUP($V$4,Conversion!$C$4:$CC$47,$A6,)</f>
        <v>6.7785205456616589E-15</v>
      </c>
      <c r="W6">
        <f>HLOOKUP($W$4,Conversion!$C$4:$CC$47,$A6,)</f>
        <v>6.7785205456616589E-15</v>
      </c>
      <c r="X6">
        <f>HLOOKUP($X$4,Conversion!$C$4:$CC$47,$A6,)</f>
        <v>6.7785205456616589E-15</v>
      </c>
      <c r="Y6">
        <f>HLOOKUP($Y$4,Conversion!$C$4:$CC$47,$A6,)</f>
        <v>3.9483939652689677E-16</v>
      </c>
      <c r="Z6">
        <f>HLOOKUP($Z$4,Conversion!$C$4:$CC$47,$A6,)</f>
        <v>1.6188603864424278E-15</v>
      </c>
      <c r="AA6">
        <f>HLOOKUP($AA$4,Conversion!$C$4:$CC$47,$A6,)</f>
        <v>1.5921573710716106E-15</v>
      </c>
      <c r="AB6">
        <f>HLOOKUP($AB$4,Conversion!$C$4:$CC$47,$A6,)</f>
        <v>1.1452880372971547E-14</v>
      </c>
      <c r="AC6">
        <f>HLOOKUP($AC$4,Conversion!$C$4:$CC$47,$A6,)</f>
        <v>8.5405514819677353E-16</v>
      </c>
      <c r="AD6">
        <f>HLOOKUP($AD$4,Conversion!$C$4:$CC$47,$A6,)</f>
        <v>1.3558008321167332E-16</v>
      </c>
      <c r="AE6">
        <f>HLOOKUP($AE$4,Conversion!$C$4:$CC$47,$A6,)</f>
        <v>1.3217529631307189E-16</v>
      </c>
      <c r="AF6">
        <f>HLOOKUP($AF$4,Conversion!$C$4:$CC$47,$A6,)</f>
        <v>1.3217529631307189E-16</v>
      </c>
      <c r="AG6">
        <f>HLOOKUP(AG$4,Conversion!$C$4:$CC$47,$A6,)</f>
        <v>2.4729723286569825E-15</v>
      </c>
      <c r="AH6">
        <f>HLOOKUP(AH$4,Conversion!$C$4:$CC$47,$A6,)</f>
        <v>6.3551450583709928E-15</v>
      </c>
      <c r="AI6">
        <f>HLOOKUP(AI$4,Conversion!$C$4:$CC$47,$A6,)</f>
        <v>5.5110419769443111E-15</v>
      </c>
      <c r="AJ6">
        <f>HLOOKUP(AJ$4,Conversion!$C$4:$CC$47,$A6,)</f>
        <v>7.0972879135208773E-15</v>
      </c>
      <c r="AK6">
        <f>HLOOKUP(AK$4,Conversion!$C$4:$CC$47,$A6,)</f>
        <v>4.5149927795154003E-15</v>
      </c>
      <c r="AL6">
        <f>HLOOKUP(AL$4,Conversion!$C$4:$CC$47,$A6,)</f>
        <v>3.180352093624094E-14</v>
      </c>
      <c r="AM6">
        <f>HLOOKUP(AM$4,Conversion!$C$4:$CC$47,$A6,)</f>
        <v>7.3322352413540329E-16</v>
      </c>
      <c r="AN6">
        <f>HLOOKUP(AN$4,Conversion!$C$4:$CC$47,$A6,)</f>
        <v>4.4507389957051769E-13</v>
      </c>
      <c r="AO6">
        <f>HLOOKUP(AO$4,Conversion!$C$4:$CC$47,$A6,)</f>
        <v>3.5470200115850393E-12</v>
      </c>
      <c r="AP6">
        <f>HLOOKUP(AP$4,Conversion!$C$4:$CC$47,$A6,)</f>
        <v>8.1520658532259655E-13</v>
      </c>
      <c r="AQ6">
        <f>HLOOKUP(AQ$4,Conversion!$C$4:$CC$47,$A6,)</f>
        <v>2.1868068097355726E-15</v>
      </c>
      <c r="AR6">
        <f>HLOOKUP(AR$4,Conversion!$C$4:$CC$47,$A6,)</f>
        <v>2.1868068097355726E-15</v>
      </c>
      <c r="AS6">
        <f>HLOOKUP(AS$4,Conversion!$C$4:$CC$47,$A6,)</f>
        <v>2.3556380173205298E-17</v>
      </c>
      <c r="AT6">
        <f>HLOOKUP(AT$4,Conversion!$C$4:$CC$47,$A6,)</f>
        <v>8.9780745781792569E-16</v>
      </c>
      <c r="AU6">
        <f>HLOOKUP(AU$4,Conversion!$C$4:$CC$47,$A6,)</f>
        <v>6.6479649785905025E-16</v>
      </c>
      <c r="AV6">
        <f>HLOOKUP(AV$4,Conversion!$C$4:$CC$47,$A6,)</f>
        <v>0</v>
      </c>
      <c r="AW6">
        <f>HLOOKUP(AW$4,Conversion!$C$4:$CC$47,$A6,)</f>
        <v>3.3602637186412031E-17</v>
      </c>
      <c r="AX6">
        <f>HLOOKUP(AX$4,Conversion!$C$4:$CC$47,$A6,)</f>
        <v>2.7358179866076332E-17</v>
      </c>
      <c r="AY6">
        <f>HLOOKUP(AY$4,Conversion!$C$4:$CC$47,$A6,)</f>
        <v>2.7358179866076332E-17</v>
      </c>
      <c r="AZ6">
        <f>HLOOKUP(AZ$4,Conversion!$C$4:$CC$47,$A6,)</f>
        <v>3.0218310108906443E-15</v>
      </c>
      <c r="BA6">
        <f>HLOOKUP(BA$4,Conversion!$C$4:$CC$47,$A6,)</f>
        <v>5.7469362162701743E-15</v>
      </c>
      <c r="BB6">
        <f>HLOOKUP(BB$4,Conversion!$C$4:$CC$47,$A6,)</f>
        <v>1.5672066700806095E-16</v>
      </c>
      <c r="BC6">
        <f>HLOOKUP(BC$4,Conversion!$C$4:$CC$47,$A6,)</f>
        <v>1.6018083578027262E-16</v>
      </c>
      <c r="BD6">
        <f>HLOOKUP(BD$4,Conversion!$C$4:$CC$47,$A6,)</f>
        <v>1.6018083578027262E-16</v>
      </c>
      <c r="BE6">
        <f>HLOOKUP(BE$4,Conversion!$C$4:$CC$47,$A6,)</f>
        <v>2.1094500739011491E-15</v>
      </c>
      <c r="BF6">
        <f>HLOOKUP(BF$4,Conversion!$C$4:$CC$47,$A6,)</f>
        <v>3.9530423265770021E-16</v>
      </c>
      <c r="BG6">
        <f>HLOOKUP(BG$4,Conversion!$C$4:$CC$47,$A6,)</f>
        <v>3.6154151411173077E-16</v>
      </c>
      <c r="BH6">
        <f>HLOOKUP(BH$4,Conversion!$C$4:$CC$47,$A6,)</f>
        <v>2.8481220724531289E-16</v>
      </c>
      <c r="BI6">
        <f>HLOOKUP(BI$4,Conversion!$C$4:$CC$47,$A6,)</f>
        <v>2.8481220724531289E-16</v>
      </c>
      <c r="BJ6">
        <f>HLOOKUP(BJ$4,Conversion!$C$4:$CC$47,$A6,)</f>
        <v>2.8481220724531289E-16</v>
      </c>
      <c r="BK6">
        <f>HLOOKUP(BK$4,Conversion!$C$4:$CC$47,$A6,)</f>
        <v>2.2196900187365536E-15</v>
      </c>
      <c r="BL6">
        <f>HLOOKUP(BL$4,Conversion!$C$4:$CC$47,$A6,)</f>
        <v>2.6107391998265418E-15</v>
      </c>
      <c r="BM6">
        <f>HLOOKUP(BM$4,Conversion!$C$4:$CC$47,$A6,)</f>
        <v>2.4272777653887225E-15</v>
      </c>
      <c r="BN6">
        <f>HLOOKUP(BN$4,Conversion!$C$4:$CC$47,$A6,)</f>
        <v>2.4272777653887225E-15</v>
      </c>
      <c r="BO6">
        <f>HLOOKUP(BO$4,Conversion!$C$4:$CC$47,$A6,)</f>
        <v>1.3331022183059154E-15</v>
      </c>
      <c r="BP6">
        <f>HLOOKUP(BP$4,Conversion!$C$4:$CC$47,$A6,)</f>
        <v>1.3331022183059154E-15</v>
      </c>
      <c r="BQ6">
        <f>HLOOKUP(BQ$4,Conversion!$C$4:$CC$47,$A6,)</f>
        <v>0</v>
      </c>
      <c r="BR6">
        <f>HLOOKUP(BR$4,Conversion!$C$4:$CC$47,$A6,)</f>
        <v>1.0363093977021597E-14</v>
      </c>
      <c r="BS6">
        <f>HLOOKUP(BS$4,Conversion!$C$4:$CC$47,$A6,)</f>
        <v>2.2285409649143884E-14</v>
      </c>
      <c r="BT6">
        <f>HLOOKUP(BT$4,Conversion!$C$4:$CC$47,$A6,)</f>
        <v>2.4411687897177645E-15</v>
      </c>
      <c r="BU6">
        <f>HLOOKUP(BU$4,Conversion!$C$4:$CC$47,$A6,)</f>
        <v>1.7011430857468082E-15</v>
      </c>
      <c r="BV6">
        <f>HLOOKUP(BV$4,Conversion!$C$4:$CC$47,$A6,)</f>
        <v>1.6416829142153391E-15</v>
      </c>
      <c r="BW6">
        <f>HLOOKUP(BW$4,Conversion!$C$4:$CC$47,$A6,)</f>
        <v>1.089687836220126E-15</v>
      </c>
      <c r="BX6">
        <f>HLOOKUP(BX$4,Conversion!$C$4:$CC$47,$A6,)</f>
        <v>1.089687836220126E-15</v>
      </c>
      <c r="BY6">
        <f>HLOOKUP(BY$4,Conversion!$C$4:$CC$47,$A6,)</f>
        <v>2.6941222736225756E-16</v>
      </c>
      <c r="BZ6">
        <f>HLOOKUP(BZ$4,Conversion!$C$4:$CC$47,$A6,)</f>
        <v>2.7713736914323921E-17</v>
      </c>
      <c r="CA6">
        <f>HLOOKUP(CA$4,Conversion!$C$4:$CC$47,$A6,)</f>
        <v>2.4961929920295473E-17</v>
      </c>
      <c r="CB6">
        <f>HLOOKUP(CB$4,Conversion!$C$4:$CC$47,$A6,)</f>
        <v>2.3582947216698295E-17</v>
      </c>
      <c r="CC6">
        <f>HLOOKUP(CC$4,Conversion!$C$4:$CC$47,$A6,)</f>
        <v>7.3013124973988363E-16</v>
      </c>
    </row>
    <row r="7" spans="1:81" x14ac:dyDescent="0.15">
      <c r="A7">
        <v>4</v>
      </c>
      <c r="B7" t="s">
        <v>33</v>
      </c>
      <c r="C7">
        <f>HLOOKUP($C$4,Conversion!$C$4:$CC$47,$A7,)</f>
        <v>6.7531530647378017E-16</v>
      </c>
      <c r="D7">
        <f>HLOOKUP($D$4,Conversion!$C$4:$CC$47,$A7,)</f>
        <v>6.2618156725299965E-15</v>
      </c>
      <c r="E7">
        <f>HLOOKUP($E$4,Conversion!$C$4:$CC$47,$A7,)</f>
        <v>1.6197218489241177E-15</v>
      </c>
      <c r="F7">
        <f>HLOOKUP($F$4,Conversion!$C$4:$CC$47,$A7,)</f>
        <v>3.7241297632161379E-15</v>
      </c>
      <c r="G7">
        <f>HLOOKUP($G$4,Conversion!$C$4:$CC$47,$A7,)</f>
        <v>3.3176452890416878E-17</v>
      </c>
      <c r="H7">
        <f>HLOOKUP($H$4,Conversion!$C$4:$CC$47,$A7,)</f>
        <v>1.0648256855397674E-15</v>
      </c>
      <c r="I7">
        <f>HLOOKUP($I$4,Conversion!$C$4:$CC$47,$A7,)</f>
        <v>7.1052318280049435E-16</v>
      </c>
      <c r="J7">
        <f>HLOOKUP($J$4,Conversion!$C$4:$CC$47,$A7,)</f>
        <v>7.1052318280049435E-16</v>
      </c>
      <c r="K7">
        <f>HLOOKUP($K$4,Conversion!$C$4:$CC$47,$A7,)</f>
        <v>7.1052318280049435E-16</v>
      </c>
      <c r="L7">
        <f>HLOOKUP($L$4,Conversion!$C$4:$CC$47,$A7,)</f>
        <v>1.6197218489241177E-15</v>
      </c>
      <c r="M7">
        <f>HLOOKUP($M$4,Conversion!$C$4:$CC$47,$A7,)</f>
        <v>1.6197218489241177E-15</v>
      </c>
      <c r="N7">
        <f>HLOOKUP($N$4,Conversion!$C$4:$CC$47,$A7,)</f>
        <v>1.6197218489241177E-15</v>
      </c>
      <c r="O7">
        <f>HLOOKUP($O$4,Conversion!$C$4:$CC$47,$A7,)</f>
        <v>8.0317024176325593E-16</v>
      </c>
      <c r="P7">
        <f>HLOOKUP($P$4,Conversion!$C$4:$CC$47,$A7,)</f>
        <v>1.2911969542341248E-16</v>
      </c>
      <c r="Q7">
        <f>HLOOKUP($Q$4,Conversion!$C$4:$CC$47,$A7,)</f>
        <v>4.1417096418398222E-16</v>
      </c>
      <c r="R7">
        <f>HLOOKUP($R$4,Conversion!$C$4:$CC$47,$A7,)</f>
        <v>4.1417096418398222E-16</v>
      </c>
      <c r="S7">
        <f>HLOOKUP($S$4,Conversion!$C$4:$CC$47,$A7,)</f>
        <v>1.017214890698968E-16</v>
      </c>
      <c r="T7">
        <f>HLOOKUP($T$4,Conversion!$C$4:$CC$47,$A7,)</f>
        <v>9.577349137410509E-17</v>
      </c>
      <c r="U7">
        <f>HLOOKUP($U$4,Conversion!$C$4:$CC$47,$A7,)</f>
        <v>9.577349137410509E-17</v>
      </c>
      <c r="V7">
        <f>HLOOKUP($V$4,Conversion!$C$4:$CC$47,$A7,)</f>
        <v>9.577349137410509E-17</v>
      </c>
      <c r="W7">
        <f>HLOOKUP($W$4,Conversion!$C$4:$CC$47,$A7,)</f>
        <v>9.577349137410509E-17</v>
      </c>
      <c r="X7">
        <f>HLOOKUP($X$4,Conversion!$C$4:$CC$47,$A7,)</f>
        <v>9.577349137410509E-17</v>
      </c>
      <c r="Y7">
        <f>HLOOKUP($Y$4,Conversion!$C$4:$CC$47,$A7,)</f>
        <v>8.0504019033409638E-17</v>
      </c>
      <c r="Z7">
        <f>HLOOKUP($Z$4,Conversion!$C$4:$CC$47,$A7,)</f>
        <v>5.6470154813062645E-15</v>
      </c>
      <c r="AA7">
        <f>HLOOKUP($AA$4,Conversion!$C$4:$CC$47,$A7,)</f>
        <v>6.4639987256355233E-15</v>
      </c>
      <c r="AB7">
        <f>HLOOKUP($AB$4,Conversion!$C$4:$CC$47,$A7,)</f>
        <v>3.4974928057429376E-15</v>
      </c>
      <c r="AC7">
        <f>HLOOKUP($AC$4,Conversion!$C$4:$CC$47,$A7,)</f>
        <v>4.7300123819733838E-15</v>
      </c>
      <c r="AD7">
        <f>HLOOKUP($AD$4,Conversion!$C$4:$CC$47,$A7,)</f>
        <v>1.472237372149153E-15</v>
      </c>
      <c r="AE7">
        <f>HLOOKUP($AE$4,Conversion!$C$4:$CC$47,$A7,)</f>
        <v>1.4410950501490969E-15</v>
      </c>
      <c r="AF7">
        <f>HLOOKUP($AF$4,Conversion!$C$4:$CC$47,$A7,)</f>
        <v>1.4410950501490969E-15</v>
      </c>
      <c r="AG7">
        <f>HLOOKUP(AG$4,Conversion!$C$4:$CC$47,$A7,)</f>
        <v>4.5573364835305713E-15</v>
      </c>
      <c r="AH7">
        <f>HLOOKUP(AH$4,Conversion!$C$4:$CC$47,$A7,)</f>
        <v>1.589376737672278E-15</v>
      </c>
      <c r="AI7">
        <f>HLOOKUP(AI$4,Conversion!$C$4:$CC$47,$A7,)</f>
        <v>1.6376010625126419E-15</v>
      </c>
      <c r="AJ7">
        <f>HLOOKUP(AJ$4,Conversion!$C$4:$CC$47,$A7,)</f>
        <v>1.3269194299922366E-16</v>
      </c>
      <c r="AK7">
        <f>HLOOKUP(AK$4,Conversion!$C$4:$CC$47,$A7,)</f>
        <v>3.2445219296791874E-15</v>
      </c>
      <c r="AL7">
        <f>HLOOKUP(AL$4,Conversion!$C$4:$CC$47,$A7,)</f>
        <v>5.8623809479865833E-16</v>
      </c>
      <c r="AM7">
        <f>HLOOKUP(AM$4,Conversion!$C$4:$CC$47,$A7,)</f>
        <v>5.5061850030024089E-16</v>
      </c>
      <c r="AN7">
        <f>HLOOKUP(AN$4,Conversion!$C$4:$CC$47,$A7,)</f>
        <v>2.4224704022575697E-15</v>
      </c>
      <c r="AO7">
        <f>HLOOKUP(AO$4,Conversion!$C$4:$CC$47,$A7,)</f>
        <v>2.4224704022575697E-15</v>
      </c>
      <c r="AP7">
        <f>HLOOKUP(AP$4,Conversion!$C$4:$CC$47,$A7,)</f>
        <v>2.4224704022575697E-15</v>
      </c>
      <c r="AQ7">
        <f>HLOOKUP(AQ$4,Conversion!$C$4:$CC$47,$A7,)</f>
        <v>1.1965306798370645E-16</v>
      </c>
      <c r="AR7">
        <f>HLOOKUP(AR$4,Conversion!$C$4:$CC$47,$A7,)</f>
        <v>1.1965306798370645E-16</v>
      </c>
      <c r="AS7">
        <f>HLOOKUP(AS$4,Conversion!$C$4:$CC$47,$A7,)</f>
        <v>1.4649546084007493E-16</v>
      </c>
      <c r="AT7">
        <f>HLOOKUP(AT$4,Conversion!$C$4:$CC$47,$A7,)</f>
        <v>1.4987361302051379E-14</v>
      </c>
      <c r="AU7">
        <f>HLOOKUP(AU$4,Conversion!$C$4:$CC$47,$A7,)</f>
        <v>4.7329566693593017E-17</v>
      </c>
      <c r="AV7">
        <f>HLOOKUP(AV$4,Conversion!$C$4:$CC$47,$A7,)</f>
        <v>0</v>
      </c>
      <c r="AW7">
        <f>HLOOKUP(AW$4,Conversion!$C$4:$CC$47,$A7,)</f>
        <v>1.966052236617596E-16</v>
      </c>
      <c r="AX7">
        <f>HLOOKUP(AX$4,Conversion!$C$4:$CC$47,$A7,)</f>
        <v>1.7032135072055435E-16</v>
      </c>
      <c r="AY7">
        <f>HLOOKUP(AY$4,Conversion!$C$4:$CC$47,$A7,)</f>
        <v>1.7032135072055435E-16</v>
      </c>
      <c r="AZ7">
        <f>HLOOKUP(AZ$4,Conversion!$C$4:$CC$47,$A7,)</f>
        <v>1.1798161358286625E-15</v>
      </c>
      <c r="BA7">
        <f>HLOOKUP(BA$4,Conversion!$C$4:$CC$47,$A7,)</f>
        <v>1.5961552830767202E-15</v>
      </c>
      <c r="BB7">
        <f>HLOOKUP(BB$4,Conversion!$C$4:$CC$47,$A7,)</f>
        <v>8.6047541826182069E-16</v>
      </c>
      <c r="BC7">
        <f>HLOOKUP(BC$4,Conversion!$C$4:$CC$47,$A7,)</f>
        <v>8.6587103014321979E-16</v>
      </c>
      <c r="BD7">
        <f>HLOOKUP(BD$4,Conversion!$C$4:$CC$47,$A7,)</f>
        <v>8.6587103014321979E-16</v>
      </c>
      <c r="BE7">
        <f>HLOOKUP(BE$4,Conversion!$C$4:$CC$47,$A7,)</f>
        <v>9.7999857053803759E-17</v>
      </c>
      <c r="BF7">
        <f>HLOOKUP(BF$4,Conversion!$C$4:$CC$47,$A7,)</f>
        <v>4.1611394033408639E-16</v>
      </c>
      <c r="BG7">
        <f>HLOOKUP(BG$4,Conversion!$C$4:$CC$47,$A7,)</f>
        <v>5.3938835890261632E-15</v>
      </c>
      <c r="BH7">
        <f>HLOOKUP(BH$4,Conversion!$C$4:$CC$47,$A7,)</f>
        <v>4.0335865629375326E-15</v>
      </c>
      <c r="BI7">
        <f>HLOOKUP(BI$4,Conversion!$C$4:$CC$47,$A7,)</f>
        <v>4.0335865629375326E-15</v>
      </c>
      <c r="BJ7">
        <f>HLOOKUP(BJ$4,Conversion!$C$4:$CC$47,$A7,)</f>
        <v>4.0335865629375326E-15</v>
      </c>
      <c r="BK7">
        <f>HLOOKUP(BK$4,Conversion!$C$4:$CC$47,$A7,)</f>
        <v>1.2566056376644214E-14</v>
      </c>
      <c r="BL7">
        <f>HLOOKUP(BL$4,Conversion!$C$4:$CC$47,$A7,)</f>
        <v>9.3171438805712314E-14</v>
      </c>
      <c r="BM7">
        <f>HLOOKUP(BM$4,Conversion!$C$4:$CC$47,$A7,)</f>
        <v>3.9017960621541528E-12</v>
      </c>
      <c r="BN7">
        <f>HLOOKUP(BN$4,Conversion!$C$4:$CC$47,$A7,)</f>
        <v>1.8945632778023745E-13</v>
      </c>
      <c r="BO7">
        <f>HLOOKUP(BO$4,Conversion!$C$4:$CC$47,$A7,)</f>
        <v>1.1633999600758184E-16</v>
      </c>
      <c r="BP7">
        <f>HLOOKUP(BP$4,Conversion!$C$4:$CC$47,$A7,)</f>
        <v>1.1633999600758184E-16</v>
      </c>
      <c r="BQ7">
        <f>HLOOKUP(BQ$4,Conversion!$C$4:$CC$47,$A7,)</f>
        <v>0</v>
      </c>
      <c r="BR7">
        <f>HLOOKUP(BR$4,Conversion!$C$4:$CC$47,$A7,)</f>
        <v>4.5643168697864665E-16</v>
      </c>
      <c r="BS7">
        <f>HLOOKUP(BS$4,Conversion!$C$4:$CC$47,$A7,)</f>
        <v>2.2817281835543944E-16</v>
      </c>
      <c r="BT7">
        <f>HLOOKUP(BT$4,Conversion!$C$4:$CC$47,$A7,)</f>
        <v>1.1609717470909804E-16</v>
      </c>
      <c r="BU7">
        <f>HLOOKUP(BU$4,Conversion!$C$4:$CC$47,$A7,)</f>
        <v>9.0984880796918809E-17</v>
      </c>
      <c r="BV7">
        <f>HLOOKUP(BV$4,Conversion!$C$4:$CC$47,$A7,)</f>
        <v>6.5074806605475202E-16</v>
      </c>
      <c r="BW7">
        <f>HLOOKUP(BW$4,Conversion!$C$4:$CC$47,$A7,)</f>
        <v>5.1210368018711062E-16</v>
      </c>
      <c r="BX7">
        <f>HLOOKUP(BX$4,Conversion!$C$4:$CC$47,$A7,)</f>
        <v>5.1210368018711062E-16</v>
      </c>
      <c r="BY7">
        <f>HLOOKUP(BY$4,Conversion!$C$4:$CC$47,$A7,)</f>
        <v>2.0516115279065516E-15</v>
      </c>
      <c r="BZ7">
        <f>HLOOKUP(BZ$4,Conversion!$C$4:$CC$47,$A7,)</f>
        <v>1.724400472719954E-16</v>
      </c>
      <c r="CA7">
        <f>HLOOKUP(CA$4,Conversion!$C$4:$CC$47,$A7,)</f>
        <v>1.5954407695572116E-16</v>
      </c>
      <c r="CB7">
        <f>HLOOKUP(CB$4,Conversion!$C$4:$CC$47,$A7,)</f>
        <v>1.5706338720488863E-16</v>
      </c>
      <c r="CC7">
        <f>HLOOKUP(CC$4,Conversion!$C$4:$CC$47,$A7,)</f>
        <v>3.1895591432701858E-16</v>
      </c>
    </row>
    <row r="8" spans="1:81" x14ac:dyDescent="0.15">
      <c r="A8">
        <v>5</v>
      </c>
      <c r="B8" t="s">
        <v>31</v>
      </c>
      <c r="C8">
        <f>HLOOKUP($C$4,Conversion!$C$4:$CC$47,$A8,)</f>
        <v>9.5055962902201785E-16</v>
      </c>
      <c r="D8">
        <f>HLOOKUP($D$4,Conversion!$C$4:$CC$47,$A8,)</f>
        <v>2.3779820905244289E-15</v>
      </c>
      <c r="E8">
        <f>HLOOKUP($E$4,Conversion!$C$4:$CC$47,$A8,)</f>
        <v>2.720201651772812E-16</v>
      </c>
      <c r="F8">
        <f>HLOOKUP($F$4,Conversion!$C$4:$CC$47,$A8,)</f>
        <v>3.3003271244359548E-15</v>
      </c>
      <c r="G8">
        <f>HLOOKUP($G$4,Conversion!$C$4:$CC$47,$A8,)</f>
        <v>8.4999804522750513E-18</v>
      </c>
      <c r="H8">
        <f>HLOOKUP($H$4,Conversion!$C$4:$CC$47,$A8,)</f>
        <v>2.1951778329932238E-16</v>
      </c>
      <c r="I8">
        <f>HLOOKUP($I$4,Conversion!$C$4:$CC$47,$A8,)</f>
        <v>1.4881260485119112E-16</v>
      </c>
      <c r="J8">
        <f>HLOOKUP($J$4,Conversion!$C$4:$CC$47,$A8,)</f>
        <v>1.4881260485119112E-16</v>
      </c>
      <c r="K8">
        <f>HLOOKUP($K$4,Conversion!$C$4:$CC$47,$A8,)</f>
        <v>1.4881260485119112E-16</v>
      </c>
      <c r="L8">
        <f>HLOOKUP($L$4,Conversion!$C$4:$CC$47,$A8,)</f>
        <v>2.720201651772812E-16</v>
      </c>
      <c r="M8">
        <f>HLOOKUP($M$4,Conversion!$C$4:$CC$47,$A8,)</f>
        <v>2.720201651772812E-16</v>
      </c>
      <c r="N8">
        <f>HLOOKUP($N$4,Conversion!$C$4:$CC$47,$A8,)</f>
        <v>2.720201651772812E-16</v>
      </c>
      <c r="O8">
        <f>HLOOKUP($O$4,Conversion!$C$4:$CC$47,$A8,)</f>
        <v>1.1778870689347302E-15</v>
      </c>
      <c r="P8">
        <f>HLOOKUP($P$4,Conversion!$C$4:$CC$47,$A8,)</f>
        <v>1.3394772332510428E-16</v>
      </c>
      <c r="Q8">
        <f>HLOOKUP($Q$4,Conversion!$C$4:$CC$47,$A8,)</f>
        <v>5.4988183306577926E-16</v>
      </c>
      <c r="R8">
        <f>HLOOKUP($R$4,Conversion!$C$4:$CC$47,$A8,)</f>
        <v>5.4988183306577926E-16</v>
      </c>
      <c r="S8">
        <f>HLOOKUP($S$4,Conversion!$C$4:$CC$47,$A8,)</f>
        <v>2.9734130060301816E-17</v>
      </c>
      <c r="T8">
        <f>HLOOKUP($T$4,Conversion!$C$4:$CC$47,$A8,)</f>
        <v>2.4279604349457205E-17</v>
      </c>
      <c r="U8">
        <f>HLOOKUP($U$4,Conversion!$C$4:$CC$47,$A8,)</f>
        <v>2.4279604349457205E-17</v>
      </c>
      <c r="V8">
        <f>HLOOKUP($V$4,Conversion!$C$4:$CC$47,$A8,)</f>
        <v>2.4279604349457205E-17</v>
      </c>
      <c r="W8">
        <f>HLOOKUP($W$4,Conversion!$C$4:$CC$47,$A8,)</f>
        <v>2.4279604349457205E-17</v>
      </c>
      <c r="X8">
        <f>HLOOKUP($X$4,Conversion!$C$4:$CC$47,$A8,)</f>
        <v>2.4279604349457205E-17</v>
      </c>
      <c r="Y8">
        <f>HLOOKUP($Y$4,Conversion!$C$4:$CC$47,$A8,)</f>
        <v>2.4579995067445122E-17</v>
      </c>
      <c r="Z8">
        <f>HLOOKUP($Z$4,Conversion!$C$4:$CC$47,$A8,)</f>
        <v>3.3834799289552026E-15</v>
      </c>
      <c r="AA8">
        <f>HLOOKUP($AA$4,Conversion!$C$4:$CC$47,$A8,)</f>
        <v>3.7225572559307683E-15</v>
      </c>
      <c r="AB8">
        <f>HLOOKUP($AB$4,Conversion!$C$4:$CC$47,$A8,)</f>
        <v>3.9692723259318279E-16</v>
      </c>
      <c r="AC8">
        <f>HLOOKUP($AC$4,Conversion!$C$4:$CC$47,$A8,)</f>
        <v>3.9202588863715701E-15</v>
      </c>
      <c r="AD8">
        <f>HLOOKUP($AD$4,Conversion!$C$4:$CC$47,$A8,)</f>
        <v>6.8793522584483E-15</v>
      </c>
      <c r="AE8">
        <f>HLOOKUP($AE$4,Conversion!$C$4:$CC$47,$A8,)</f>
        <v>7.2538544092333291E-15</v>
      </c>
      <c r="AF8">
        <f>HLOOKUP($AF$4,Conversion!$C$4:$CC$47,$A8,)</f>
        <v>7.2538544092333291E-15</v>
      </c>
      <c r="AG8">
        <f>HLOOKUP(AG$4,Conversion!$C$4:$CC$47,$A8,)</f>
        <v>1.4962282605838994E-15</v>
      </c>
      <c r="AH8">
        <f>HLOOKUP(AH$4,Conversion!$C$4:$CC$47,$A8,)</f>
        <v>2.6790111405213853E-16</v>
      </c>
      <c r="AI8">
        <f>HLOOKUP(AI$4,Conversion!$C$4:$CC$47,$A8,)</f>
        <v>2.7667090758854579E-16</v>
      </c>
      <c r="AJ8">
        <f>HLOOKUP(AJ$4,Conversion!$C$4:$CC$47,$A8,)</f>
        <v>3.2794000454161447E-17</v>
      </c>
      <c r="AK8">
        <f>HLOOKUP(AK$4,Conversion!$C$4:$CC$47,$A8,)</f>
        <v>4.9874125187316922E-15</v>
      </c>
      <c r="AL8">
        <f>HLOOKUP(AL$4,Conversion!$C$4:$CC$47,$A8,)</f>
        <v>1.2584905405823952E-16</v>
      </c>
      <c r="AM8">
        <f>HLOOKUP(AM$4,Conversion!$C$4:$CC$47,$A8,)</f>
        <v>8.3429338383812432E-16</v>
      </c>
      <c r="AN8">
        <f>HLOOKUP(AN$4,Conversion!$C$4:$CC$47,$A8,)</f>
        <v>2.8765646038524838E-16</v>
      </c>
      <c r="AO8">
        <f>HLOOKUP(AO$4,Conversion!$C$4:$CC$47,$A8,)</f>
        <v>2.8765646038524838E-16</v>
      </c>
      <c r="AP8">
        <f>HLOOKUP(AP$4,Conversion!$C$4:$CC$47,$A8,)</f>
        <v>2.8765646038524838E-16</v>
      </c>
      <c r="AQ8">
        <f>HLOOKUP(AQ$4,Conversion!$C$4:$CC$47,$A8,)</f>
        <v>3.1416996212310881E-17</v>
      </c>
      <c r="AR8">
        <f>HLOOKUP(AR$4,Conversion!$C$4:$CC$47,$A8,)</f>
        <v>3.1416996212310881E-17</v>
      </c>
      <c r="AS8">
        <f>HLOOKUP(AS$4,Conversion!$C$4:$CC$47,$A8,)</f>
        <v>4.4893813774500286E-15</v>
      </c>
      <c r="AT8">
        <f>HLOOKUP(AT$4,Conversion!$C$4:$CC$47,$A8,)</f>
        <v>7.5284063070252831E-15</v>
      </c>
      <c r="AU8">
        <f>HLOOKUP(AU$4,Conversion!$C$4:$CC$47,$A8,)</f>
        <v>1.2019657624195518E-17</v>
      </c>
      <c r="AV8">
        <f>HLOOKUP(AV$4,Conversion!$C$4:$CC$47,$A8,)</f>
        <v>0</v>
      </c>
      <c r="AW8">
        <f>HLOOKUP(AW$4,Conversion!$C$4:$CC$47,$A8,)</f>
        <v>5.4095026255330723E-15</v>
      </c>
      <c r="AX8">
        <f>HLOOKUP(AX$4,Conversion!$C$4:$CC$47,$A8,)</f>
        <v>4.3403077844781308E-15</v>
      </c>
      <c r="AY8">
        <f>HLOOKUP(AY$4,Conversion!$C$4:$CC$47,$A8,)</f>
        <v>4.3403077844781308E-15</v>
      </c>
      <c r="AZ8">
        <f>HLOOKUP(AZ$4,Conversion!$C$4:$CC$47,$A8,)</f>
        <v>1.8904839433215655E-15</v>
      </c>
      <c r="BA8">
        <f>HLOOKUP(BA$4,Conversion!$C$4:$CC$47,$A8,)</f>
        <v>2.683713054575358E-16</v>
      </c>
      <c r="BB8">
        <f>HLOOKUP(BB$4,Conversion!$C$4:$CC$47,$A8,)</f>
        <v>5.1187940573202014E-15</v>
      </c>
      <c r="BC8">
        <f>HLOOKUP(BC$4,Conversion!$C$4:$CC$47,$A8,)</f>
        <v>5.5207979864669591E-15</v>
      </c>
      <c r="BD8">
        <f>HLOOKUP(BD$4,Conversion!$C$4:$CC$47,$A8,)</f>
        <v>5.5207979864669591E-15</v>
      </c>
      <c r="BE8">
        <f>HLOOKUP(BE$4,Conversion!$C$4:$CC$47,$A8,)</f>
        <v>2.4034890735360864E-17</v>
      </c>
      <c r="BF8">
        <f>HLOOKUP(BF$4,Conversion!$C$4:$CC$47,$A8,)</f>
        <v>3.7035536443727501E-16</v>
      </c>
      <c r="BG8">
        <f>HLOOKUP(BG$4,Conversion!$C$4:$CC$47,$A8,)</f>
        <v>2.3279156782172125E-14</v>
      </c>
      <c r="BH8">
        <f>HLOOKUP(BH$4,Conversion!$C$4:$CC$47,$A8,)</f>
        <v>4.477109809951973E-13</v>
      </c>
      <c r="BI8">
        <f>HLOOKUP(BI$4,Conversion!$C$4:$CC$47,$A8,)</f>
        <v>5.0407050474875778E-14</v>
      </c>
      <c r="BJ8">
        <f>HLOOKUP(BJ$4,Conversion!$C$4:$CC$47,$A8,)</f>
        <v>1.0598130572706123E-13</v>
      </c>
      <c r="BK8">
        <f>HLOOKUP(BK$4,Conversion!$C$4:$CC$47,$A8,)</f>
        <v>1.5691904208808254E-15</v>
      </c>
      <c r="BL8">
        <f>HLOOKUP(BL$4,Conversion!$C$4:$CC$47,$A8,)</f>
        <v>2.8775253711453401E-15</v>
      </c>
      <c r="BM8">
        <f>HLOOKUP(BM$4,Conversion!$C$4:$CC$47,$A8,)</f>
        <v>4.0247923994033916E-15</v>
      </c>
      <c r="BN8">
        <f>HLOOKUP(BN$4,Conversion!$C$4:$CC$47,$A8,)</f>
        <v>4.0247923994033916E-15</v>
      </c>
      <c r="BO8">
        <f>HLOOKUP(BO$4,Conversion!$C$4:$CC$47,$A8,)</f>
        <v>3.0567945145928744E-17</v>
      </c>
      <c r="BP8">
        <f>HLOOKUP(BP$4,Conversion!$C$4:$CC$47,$A8,)</f>
        <v>3.0567945145928744E-17</v>
      </c>
      <c r="BQ8">
        <f>HLOOKUP(BQ$4,Conversion!$C$4:$CC$47,$A8,)</f>
        <v>0</v>
      </c>
      <c r="BR8">
        <f>HLOOKUP(BR$4,Conversion!$C$4:$CC$47,$A8,)</f>
        <v>1.0561872843825145E-16</v>
      </c>
      <c r="BS8">
        <f>HLOOKUP(BS$4,Conversion!$C$4:$CC$47,$A8,)</f>
        <v>5.6204953250707193E-17</v>
      </c>
      <c r="BT8">
        <f>HLOOKUP(BT$4,Conversion!$C$4:$CC$47,$A8,)</f>
        <v>3.0625626186551359E-17</v>
      </c>
      <c r="BU8">
        <f>HLOOKUP(BU$4,Conversion!$C$4:$CC$47,$A8,)</f>
        <v>2.3421022831103332E-17</v>
      </c>
      <c r="BV8">
        <f>HLOOKUP(BV$4,Conversion!$C$4:$CC$47,$A8,)</f>
        <v>1.1608255623806579E-15</v>
      </c>
      <c r="BW8">
        <f>HLOOKUP(BW$4,Conversion!$C$4:$CC$47,$A8,)</f>
        <v>8.7991642991896708E-16</v>
      </c>
      <c r="BX8">
        <f>HLOOKUP(BX$4,Conversion!$C$4:$CC$47,$A8,)</f>
        <v>8.7991642991896708E-16</v>
      </c>
      <c r="BY8">
        <f>HLOOKUP(BY$4,Conversion!$C$4:$CC$47,$A8,)</f>
        <v>8.8941212237596322E-15</v>
      </c>
      <c r="BZ8">
        <f>HLOOKUP(BZ$4,Conversion!$C$4:$CC$47,$A8,)</f>
        <v>4.7184177156652916E-15</v>
      </c>
      <c r="CA8">
        <f>HLOOKUP(CA$4,Conversion!$C$4:$CC$47,$A8,)</f>
        <v>4.1371153233528952E-15</v>
      </c>
      <c r="CB8">
        <f>HLOOKUP(CB$4,Conversion!$C$4:$CC$47,$A8,)</f>
        <v>4.1635524691878976E-15</v>
      </c>
      <c r="CC8">
        <f>HLOOKUP(CC$4,Conversion!$C$4:$CC$47,$A8,)</f>
        <v>6.5213519106805156E-16</v>
      </c>
    </row>
    <row r="9" spans="1:81" x14ac:dyDescent="0.15">
      <c r="A9">
        <v>6</v>
      </c>
      <c r="B9" t="s">
        <v>28</v>
      </c>
      <c r="C9">
        <f>HLOOKUP($C$4,Conversion!$C$4:$CC$47,$A9,)</f>
        <v>8.3951479156880456E-16</v>
      </c>
      <c r="D9">
        <f>HLOOKUP($D$4,Conversion!$C$4:$CC$47,$A9,)</f>
        <v>1.2078682355989783E-15</v>
      </c>
      <c r="E9">
        <f>HLOOKUP($E$4,Conversion!$C$4:$CC$47,$A9,)</f>
        <v>1.809351765479795E-16</v>
      </c>
      <c r="F9">
        <f>HLOOKUP($F$4,Conversion!$C$4:$CC$47,$A9,)</f>
        <v>3.0330892159954808E-15</v>
      </c>
      <c r="G9">
        <f>HLOOKUP($G$4,Conversion!$C$4:$CC$47,$A9,)</f>
        <v>7.2354753710348176E-18</v>
      </c>
      <c r="H9">
        <f>HLOOKUP($H$4,Conversion!$C$4:$CC$47,$A9,)</f>
        <v>1.4790935176902148E-16</v>
      </c>
      <c r="I9">
        <f>HLOOKUP($I$4,Conversion!$C$4:$CC$47,$A9,)</f>
        <v>1.0345421226083611E-16</v>
      </c>
      <c r="J9">
        <f>HLOOKUP($J$4,Conversion!$C$4:$CC$47,$A9,)</f>
        <v>1.0345421226083611E-16</v>
      </c>
      <c r="K9">
        <f>HLOOKUP($K$4,Conversion!$C$4:$CC$47,$A9,)</f>
        <v>1.0345421226083611E-16</v>
      </c>
      <c r="L9">
        <f>HLOOKUP($L$4,Conversion!$C$4:$CC$47,$A9,)</f>
        <v>1.809351765479795E-16</v>
      </c>
      <c r="M9">
        <f>HLOOKUP($M$4,Conversion!$C$4:$CC$47,$A9,)</f>
        <v>1.809351765479795E-16</v>
      </c>
      <c r="N9">
        <f>HLOOKUP($N$4,Conversion!$C$4:$CC$47,$A9,)</f>
        <v>1.809351765479795E-16</v>
      </c>
      <c r="O9">
        <f>HLOOKUP($O$4,Conversion!$C$4:$CC$47,$A9,)</f>
        <v>8.6425160968706243E-16</v>
      </c>
      <c r="P9">
        <f>HLOOKUP($P$4,Conversion!$C$4:$CC$47,$A9,)</f>
        <v>1.2127759268815354E-16</v>
      </c>
      <c r="Q9">
        <f>HLOOKUP($Q$4,Conversion!$C$4:$CC$47,$A9,)</f>
        <v>5.0755266700422542E-16</v>
      </c>
      <c r="R9">
        <f>HLOOKUP($R$4,Conversion!$C$4:$CC$47,$A9,)</f>
        <v>5.0755266700422542E-16</v>
      </c>
      <c r="S9">
        <f>HLOOKUP($S$4,Conversion!$C$4:$CC$47,$A9,)</f>
        <v>2.4811141180895668E-17</v>
      </c>
      <c r="T9">
        <f>HLOOKUP($T$4,Conversion!$C$4:$CC$47,$A9,)</f>
        <v>2.0406257031068516E-17</v>
      </c>
      <c r="U9">
        <f>HLOOKUP($U$4,Conversion!$C$4:$CC$47,$A9,)</f>
        <v>2.0406257031068516E-17</v>
      </c>
      <c r="V9">
        <f>HLOOKUP($V$4,Conversion!$C$4:$CC$47,$A9,)</f>
        <v>2.0406257031068516E-17</v>
      </c>
      <c r="W9">
        <f>HLOOKUP($W$4,Conversion!$C$4:$CC$47,$A9,)</f>
        <v>2.0406257031068516E-17</v>
      </c>
      <c r="X9">
        <f>HLOOKUP($X$4,Conversion!$C$4:$CC$47,$A9,)</f>
        <v>2.0406257031068516E-17</v>
      </c>
      <c r="Y9">
        <f>HLOOKUP($Y$4,Conversion!$C$4:$CC$47,$A9,)</f>
        <v>2.0988996942257478E-17</v>
      </c>
      <c r="Z9">
        <f>HLOOKUP($Z$4,Conversion!$C$4:$CC$47,$A9,)</f>
        <v>1.7705898228064838E-15</v>
      </c>
      <c r="AA9">
        <f>HLOOKUP($AA$4,Conversion!$C$4:$CC$47,$A9,)</f>
        <v>1.7471901435109657E-15</v>
      </c>
      <c r="AB9">
        <f>HLOOKUP($AB$4,Conversion!$C$4:$CC$47,$A9,)</f>
        <v>2.0375024353704484E-16</v>
      </c>
      <c r="AC9">
        <f>HLOOKUP($AC$4,Conversion!$C$4:$CC$47,$A9,)</f>
        <v>3.4885998368752998E-15</v>
      </c>
      <c r="AD9">
        <f>HLOOKUP($AD$4,Conversion!$C$4:$CC$47,$A9,)</f>
        <v>2.5593907587702722E-15</v>
      </c>
      <c r="AE9">
        <f>HLOOKUP($AE$4,Conversion!$C$4:$CC$47,$A9,)</f>
        <v>2.8357182050111681E-15</v>
      </c>
      <c r="AF9">
        <f>HLOOKUP($AF$4,Conversion!$C$4:$CC$47,$A9,)</f>
        <v>2.8357182050111681E-15</v>
      </c>
      <c r="AG9">
        <f>HLOOKUP(AG$4,Conversion!$C$4:$CC$47,$A9,)</f>
        <v>1.2945227715772346E-15</v>
      </c>
      <c r="AH9">
        <f>HLOOKUP(AH$4,Conversion!$C$4:$CC$47,$A9,)</f>
        <v>1.7840078433016759E-16</v>
      </c>
      <c r="AI9">
        <f>HLOOKUP(AI$4,Conversion!$C$4:$CC$47,$A9,)</f>
        <v>1.7708451213375107E-16</v>
      </c>
      <c r="AJ9">
        <f>HLOOKUP(AJ$4,Conversion!$C$4:$CC$47,$A9,)</f>
        <v>2.7537897643977148E-17</v>
      </c>
      <c r="AK9">
        <f>HLOOKUP(AK$4,Conversion!$C$4:$CC$47,$A9,)</f>
        <v>3.3421664597238658E-15</v>
      </c>
      <c r="AL9">
        <f>HLOOKUP(AL$4,Conversion!$C$4:$CC$47,$A9,)</f>
        <v>9.0842024082397925E-17</v>
      </c>
      <c r="AM9">
        <f>HLOOKUP(AM$4,Conversion!$C$4:$CC$47,$A9,)</f>
        <v>9.2958941726233306E-16</v>
      </c>
      <c r="AN9">
        <f>HLOOKUP(AN$4,Conversion!$C$4:$CC$47,$A9,)</f>
        <v>1.5956058560844459E-16</v>
      </c>
      <c r="AO9">
        <f>HLOOKUP(AO$4,Conversion!$C$4:$CC$47,$A9,)</f>
        <v>1.5956058560844459E-16</v>
      </c>
      <c r="AP9">
        <f>HLOOKUP(AP$4,Conversion!$C$4:$CC$47,$A9,)</f>
        <v>1.5956058560844459E-16</v>
      </c>
      <c r="AQ9">
        <f>HLOOKUP(AQ$4,Conversion!$C$4:$CC$47,$A9,)</f>
        <v>2.5770456368246446E-17</v>
      </c>
      <c r="AR9">
        <f>HLOOKUP(AR$4,Conversion!$C$4:$CC$47,$A9,)</f>
        <v>2.5770456368246446E-17</v>
      </c>
      <c r="AS9">
        <f>HLOOKUP(AS$4,Conversion!$C$4:$CC$47,$A9,)</f>
        <v>1.1917726283196193E-15</v>
      </c>
      <c r="AT9">
        <f>HLOOKUP(AT$4,Conversion!$C$4:$CC$47,$A9,)</f>
        <v>3.2769114524061235E-15</v>
      </c>
      <c r="AU9">
        <f>HLOOKUP(AU$4,Conversion!$C$4:$CC$47,$A9,)</f>
        <v>9.5497947644396941E-18</v>
      </c>
      <c r="AV9">
        <f>HLOOKUP(AV$4,Conversion!$C$4:$CC$47,$A9,)</f>
        <v>0</v>
      </c>
      <c r="AW9">
        <f>HLOOKUP(AW$4,Conversion!$C$4:$CC$47,$A9,)</f>
        <v>1.1769673020856908E-15</v>
      </c>
      <c r="AX9">
        <f>HLOOKUP(AX$4,Conversion!$C$4:$CC$47,$A9,)</f>
        <v>1.0778596838235692E-15</v>
      </c>
      <c r="AY9">
        <f>HLOOKUP(AY$4,Conversion!$C$4:$CC$47,$A9,)</f>
        <v>1.0778596838235692E-15</v>
      </c>
      <c r="AZ9">
        <f>HLOOKUP(AZ$4,Conversion!$C$4:$CC$47,$A9,)</f>
        <v>1.4428266248931394E-15</v>
      </c>
      <c r="BA9">
        <f>HLOOKUP(BA$4,Conversion!$C$4:$CC$47,$A9,)</f>
        <v>1.7855376994686058E-16</v>
      </c>
      <c r="BB9">
        <f>HLOOKUP(BB$4,Conversion!$C$4:$CC$47,$A9,)</f>
        <v>4.0229207696868383E-14</v>
      </c>
      <c r="BC9">
        <f>HLOOKUP(BC$4,Conversion!$C$4:$CC$47,$A9,)</f>
        <v>8.9249925178270372E-13</v>
      </c>
      <c r="BD9">
        <f>HLOOKUP(BD$4,Conversion!$C$4:$CC$47,$A9,)</f>
        <v>2.1774465473982783E-13</v>
      </c>
      <c r="BE9">
        <f>HLOOKUP(BE$4,Conversion!$C$4:$CC$47,$A9,)</f>
        <v>1.9885979454545154E-17</v>
      </c>
      <c r="BF9">
        <f>HLOOKUP(BF$4,Conversion!$C$4:$CC$47,$A9,)</f>
        <v>3.9380386266663075E-16</v>
      </c>
      <c r="BG9">
        <f>HLOOKUP(BG$4,Conversion!$C$4:$CC$47,$A9,)</f>
        <v>3.9929813971333073E-15</v>
      </c>
      <c r="BH9">
        <f>HLOOKUP(BH$4,Conversion!$C$4:$CC$47,$A9,)</f>
        <v>5.5056333873531749E-15</v>
      </c>
      <c r="BI9">
        <f>HLOOKUP(BI$4,Conversion!$C$4:$CC$47,$A9,)</f>
        <v>5.5056333873531749E-15</v>
      </c>
      <c r="BJ9">
        <f>HLOOKUP(BJ$4,Conversion!$C$4:$CC$47,$A9,)</f>
        <v>5.5056333873531749E-15</v>
      </c>
      <c r="BK9">
        <f>HLOOKUP(BK$4,Conversion!$C$4:$CC$47,$A9,)</f>
        <v>3.5588109492944692E-16</v>
      </c>
      <c r="BL9">
        <f>HLOOKUP(BL$4,Conversion!$C$4:$CC$47,$A9,)</f>
        <v>6.2144898179468228E-16</v>
      </c>
      <c r="BM9">
        <f>HLOOKUP(BM$4,Conversion!$C$4:$CC$47,$A9,)</f>
        <v>8.598158703229484E-16</v>
      </c>
      <c r="BN9">
        <f>HLOOKUP(BN$4,Conversion!$C$4:$CC$47,$A9,)</f>
        <v>8.598158703229484E-16</v>
      </c>
      <c r="BO9">
        <f>HLOOKUP(BO$4,Conversion!$C$4:$CC$47,$A9,)</f>
        <v>2.5059345475455196E-17</v>
      </c>
      <c r="BP9">
        <f>HLOOKUP(BP$4,Conversion!$C$4:$CC$47,$A9,)</f>
        <v>2.5059345475455196E-17</v>
      </c>
      <c r="BQ9">
        <f>HLOOKUP(BQ$4,Conversion!$C$4:$CC$47,$A9,)</f>
        <v>0</v>
      </c>
      <c r="BR9">
        <f>HLOOKUP(BR$4,Conversion!$C$4:$CC$47,$A9,)</f>
        <v>8.2812193811555268E-17</v>
      </c>
      <c r="BS9">
        <f>HLOOKUP(BS$4,Conversion!$C$4:$CC$47,$A9,)</f>
        <v>4.4783610088315752E-17</v>
      </c>
      <c r="BT9">
        <f>HLOOKUP(BT$4,Conversion!$C$4:$CC$47,$A9,)</f>
        <v>2.5531646122691564E-17</v>
      </c>
      <c r="BU9">
        <f>HLOOKUP(BU$4,Conversion!$C$4:$CC$47,$A9,)</f>
        <v>1.9545523325303993E-17</v>
      </c>
      <c r="BV9">
        <f>HLOOKUP(BV$4,Conversion!$C$4:$CC$47,$A9,)</f>
        <v>9.0676132118089157E-16</v>
      </c>
      <c r="BW9">
        <f>HLOOKUP(BW$4,Conversion!$C$4:$CC$47,$A9,)</f>
        <v>7.5412703390163971E-16</v>
      </c>
      <c r="BX9">
        <f>HLOOKUP(BX$4,Conversion!$C$4:$CC$47,$A9,)</f>
        <v>7.5412703390163971E-16</v>
      </c>
      <c r="BY9">
        <f>HLOOKUP(BY$4,Conversion!$C$4:$CC$47,$A9,)</f>
        <v>5.0590279652764919E-15</v>
      </c>
      <c r="BZ9">
        <f>HLOOKUP(BZ$4,Conversion!$C$4:$CC$47,$A9,)</f>
        <v>1.8187953638622302E-15</v>
      </c>
      <c r="CA9">
        <f>HLOOKUP(CA$4,Conversion!$C$4:$CC$47,$A9,)</f>
        <v>1.5871535792662644E-15</v>
      </c>
      <c r="CB9">
        <f>HLOOKUP(CB$4,Conversion!$C$4:$CC$47,$A9,)</f>
        <v>1.1795315527732427E-15</v>
      </c>
      <c r="CC9">
        <f>HLOOKUP(CC$4,Conversion!$C$4:$CC$47,$A9,)</f>
        <v>5.3232510219712692E-16</v>
      </c>
    </row>
    <row r="10" spans="1:81" x14ac:dyDescent="0.15">
      <c r="A10">
        <v>7</v>
      </c>
      <c r="B10" t="s">
        <v>14</v>
      </c>
      <c r="C10">
        <f>HLOOKUP($C$4,Conversion!$C$4:$CC$47,$A10,)</f>
        <v>9.0541608717781594E-16</v>
      </c>
      <c r="D10">
        <f>HLOOKUP($D$4,Conversion!$C$4:$CC$47,$A10,)</f>
        <v>7.0750095280687053E-16</v>
      </c>
      <c r="E10">
        <f>HLOOKUP($E$4,Conversion!$C$4:$CC$47,$A10,)</f>
        <v>1.3881312115203793E-16</v>
      </c>
      <c r="F10">
        <f>HLOOKUP($F$4,Conversion!$C$4:$CC$47,$A10,)</f>
        <v>2.9987889984437275E-15</v>
      </c>
      <c r="G10">
        <f>HLOOKUP($G$4,Conversion!$C$4:$CC$47,$A10,)</f>
        <v>5.2408954441546509E-18</v>
      </c>
      <c r="H10">
        <f>HLOOKUP($H$4,Conversion!$C$4:$CC$47,$A10,)</f>
        <v>1.1689763524694563E-16</v>
      </c>
      <c r="I10">
        <f>HLOOKUP($I$4,Conversion!$C$4:$CC$47,$A10,)</f>
        <v>7.7601131047358853E-17</v>
      </c>
      <c r="J10">
        <f>HLOOKUP($J$4,Conversion!$C$4:$CC$47,$A10,)</f>
        <v>7.7601131047358853E-17</v>
      </c>
      <c r="K10">
        <f>HLOOKUP($K$4,Conversion!$C$4:$CC$47,$A10,)</f>
        <v>7.7601131047358853E-17</v>
      </c>
      <c r="L10">
        <f>HLOOKUP($L$4,Conversion!$C$4:$CC$47,$A10,)</f>
        <v>1.3881312115203793E-16</v>
      </c>
      <c r="M10">
        <f>HLOOKUP($M$4,Conversion!$C$4:$CC$47,$A10,)</f>
        <v>1.3881312115203793E-16</v>
      </c>
      <c r="N10">
        <f>HLOOKUP($N$4,Conversion!$C$4:$CC$47,$A10,)</f>
        <v>1.3881312115203793E-16</v>
      </c>
      <c r="O10">
        <f>HLOOKUP($O$4,Conversion!$C$4:$CC$47,$A10,)</f>
        <v>8.468899757779016E-16</v>
      </c>
      <c r="P10">
        <f>HLOOKUP($P$4,Conversion!$C$4:$CC$47,$A10,)</f>
        <v>1.2194964650474826E-16</v>
      </c>
      <c r="Q10">
        <f>HLOOKUP($Q$4,Conversion!$C$4:$CC$47,$A10,)</f>
        <v>5.1809735679684544E-16</v>
      </c>
      <c r="R10">
        <f>HLOOKUP($R$4,Conversion!$C$4:$CC$47,$A10,)</f>
        <v>5.1809735679684544E-16</v>
      </c>
      <c r="S10">
        <f>HLOOKUP($S$4,Conversion!$C$4:$CC$47,$A10,)</f>
        <v>1.9987729271278357E-17</v>
      </c>
      <c r="T10">
        <f>HLOOKUP($T$4,Conversion!$C$4:$CC$47,$A10,)</f>
        <v>1.3305639941191213E-17</v>
      </c>
      <c r="U10">
        <f>HLOOKUP($U$4,Conversion!$C$4:$CC$47,$A10,)</f>
        <v>1.3305639941191213E-17</v>
      </c>
      <c r="V10">
        <f>HLOOKUP($V$4,Conversion!$C$4:$CC$47,$A10,)</f>
        <v>1.3305639941191213E-17</v>
      </c>
      <c r="W10">
        <f>HLOOKUP($W$4,Conversion!$C$4:$CC$47,$A10,)</f>
        <v>1.3305639941191213E-17</v>
      </c>
      <c r="X10">
        <f>HLOOKUP($X$4,Conversion!$C$4:$CC$47,$A10,)</f>
        <v>1.3305639941191213E-17</v>
      </c>
      <c r="Y10">
        <f>HLOOKUP($Y$4,Conversion!$C$4:$CC$47,$A10,)</f>
        <v>1.7175212991035341E-17</v>
      </c>
      <c r="Z10">
        <f>HLOOKUP($Z$4,Conversion!$C$4:$CC$47,$A10,)</f>
        <v>8.9765963878419312E-16</v>
      </c>
      <c r="AA10">
        <f>HLOOKUP($AA$4,Conversion!$C$4:$CC$47,$A10,)</f>
        <v>8.7808819986572913E-16</v>
      </c>
      <c r="AB10">
        <f>HLOOKUP($AB$4,Conversion!$C$4:$CC$47,$A10,)</f>
        <v>1.9729919885591611E-16</v>
      </c>
      <c r="AC10">
        <f>HLOOKUP($AC$4,Conversion!$C$4:$CC$47,$A10,)</f>
        <v>1.5182008149360123E-15</v>
      </c>
      <c r="AD10">
        <f>HLOOKUP($AD$4,Conversion!$C$4:$CC$47,$A10,)</f>
        <v>4.8552527869950819E-14</v>
      </c>
      <c r="AE10">
        <f>HLOOKUP($AE$4,Conversion!$C$4:$CC$47,$A10,)</f>
        <v>9.2163522657870527E-13</v>
      </c>
      <c r="AF10">
        <f>HLOOKUP($AF$4,Conversion!$C$4:$CC$47,$A10,)</f>
        <v>2.2232722045852314E-13</v>
      </c>
      <c r="AG10">
        <f>HLOOKUP(AG$4,Conversion!$C$4:$CC$47,$A10,)</f>
        <v>4.9492284684128955E-16</v>
      </c>
      <c r="AH10">
        <f>HLOOKUP(AH$4,Conversion!$C$4:$CC$47,$A10,)</f>
        <v>1.3676476732956545E-16</v>
      </c>
      <c r="AI10">
        <f>HLOOKUP(AI$4,Conversion!$C$4:$CC$47,$A10,)</f>
        <v>1.4230244435342635E-16</v>
      </c>
      <c r="AJ10">
        <f>HLOOKUP(AJ$4,Conversion!$C$4:$CC$47,$A10,)</f>
        <v>1.8683619978773248E-17</v>
      </c>
      <c r="AK10">
        <f>HLOOKUP(AK$4,Conversion!$C$4:$CC$47,$A10,)</f>
        <v>3.6263058314565365E-15</v>
      </c>
      <c r="AL10">
        <f>HLOOKUP(AL$4,Conversion!$C$4:$CC$47,$A10,)</f>
        <v>6.6011417665532295E-17</v>
      </c>
      <c r="AM10">
        <f>HLOOKUP(AM$4,Conversion!$C$4:$CC$47,$A10,)</f>
        <v>9.2872063106252298E-16</v>
      </c>
      <c r="AN10">
        <f>HLOOKUP(AN$4,Conversion!$C$4:$CC$47,$A10,)</f>
        <v>1.3144724253897759E-16</v>
      </c>
      <c r="AO10">
        <f>HLOOKUP(AO$4,Conversion!$C$4:$CC$47,$A10,)</f>
        <v>1.3144724253897759E-16</v>
      </c>
      <c r="AP10">
        <f>HLOOKUP(AP$4,Conversion!$C$4:$CC$47,$A10,)</f>
        <v>1.3144724253897759E-16</v>
      </c>
      <c r="AQ10">
        <f>HLOOKUP(AQ$4,Conversion!$C$4:$CC$47,$A10,)</f>
        <v>1.8791993022056306E-17</v>
      </c>
      <c r="AR10">
        <f>HLOOKUP(AR$4,Conversion!$C$4:$CC$47,$A10,)</f>
        <v>1.8791993022056306E-17</v>
      </c>
      <c r="AS10">
        <f>HLOOKUP(AS$4,Conversion!$C$4:$CC$47,$A10,)</f>
        <v>1.3018601042654967E-15</v>
      </c>
      <c r="AT10">
        <f>HLOOKUP(AT$4,Conversion!$C$4:$CC$47,$A10,)</f>
        <v>1.7314327837707026E-15</v>
      </c>
      <c r="AU10">
        <f>HLOOKUP(AU$4,Conversion!$C$4:$CC$47,$A10,)</f>
        <v>6.8785266385266083E-18</v>
      </c>
      <c r="AV10">
        <f>HLOOKUP(AV$4,Conversion!$C$4:$CC$47,$A10,)</f>
        <v>0</v>
      </c>
      <c r="AW10">
        <f>HLOOKUP(AW$4,Conversion!$C$4:$CC$47,$A10,)</f>
        <v>2.8030136849328765E-15</v>
      </c>
      <c r="AX10">
        <f>HLOOKUP(AX$4,Conversion!$C$4:$CC$47,$A10,)</f>
        <v>2.2187203397172011E-15</v>
      </c>
      <c r="AY10">
        <f>HLOOKUP(AY$4,Conversion!$C$4:$CC$47,$A10,)</f>
        <v>2.2187203397172011E-15</v>
      </c>
      <c r="AZ10">
        <f>HLOOKUP(AZ$4,Conversion!$C$4:$CC$47,$A10,)</f>
        <v>1.41739127438446E-15</v>
      </c>
      <c r="BA10">
        <f>HLOOKUP(BA$4,Conversion!$C$4:$CC$47,$A10,)</f>
        <v>1.3700259825267549E-16</v>
      </c>
      <c r="BB10">
        <f>HLOOKUP(BB$4,Conversion!$C$4:$CC$47,$A10,)</f>
        <v>2.5421984545977701E-15</v>
      </c>
      <c r="BC10">
        <f>HLOOKUP(BC$4,Conversion!$C$4:$CC$47,$A10,)</f>
        <v>2.8259334642739852E-15</v>
      </c>
      <c r="BD10">
        <f>HLOOKUP(BD$4,Conversion!$C$4:$CC$47,$A10,)</f>
        <v>2.8259334642739852E-15</v>
      </c>
      <c r="BE10">
        <f>HLOOKUP(BE$4,Conversion!$C$4:$CC$47,$A10,)</f>
        <v>1.4284941483117881E-17</v>
      </c>
      <c r="BF10">
        <f>HLOOKUP(BF$4,Conversion!$C$4:$CC$47,$A10,)</f>
        <v>3.8304001657523597E-16</v>
      </c>
      <c r="BG10">
        <f>HLOOKUP(BG$4,Conversion!$C$4:$CC$47,$A10,)</f>
        <v>5.1708755185578961E-15</v>
      </c>
      <c r="BH10">
        <f>HLOOKUP(BH$4,Conversion!$C$4:$CC$47,$A10,)</f>
        <v>7.2257548875925971E-15</v>
      </c>
      <c r="BI10">
        <f>HLOOKUP(BI$4,Conversion!$C$4:$CC$47,$A10,)</f>
        <v>7.2257548875925971E-15</v>
      </c>
      <c r="BJ10">
        <f>HLOOKUP(BJ$4,Conversion!$C$4:$CC$47,$A10,)</f>
        <v>7.2257548875925971E-15</v>
      </c>
      <c r="BK10">
        <f>HLOOKUP(BK$4,Conversion!$C$4:$CC$47,$A10,)</f>
        <v>6.3589273062341495E-16</v>
      </c>
      <c r="BL10">
        <f>HLOOKUP(BL$4,Conversion!$C$4:$CC$47,$A10,)</f>
        <v>1.1003912945966571E-15</v>
      </c>
      <c r="BM10">
        <f>HLOOKUP(BM$4,Conversion!$C$4:$CC$47,$A10,)</f>
        <v>1.4485953462150394E-15</v>
      </c>
      <c r="BN10">
        <f>HLOOKUP(BN$4,Conversion!$C$4:$CC$47,$A10,)</f>
        <v>1.4485953462150394E-15</v>
      </c>
      <c r="BO10">
        <f>HLOOKUP(BO$4,Conversion!$C$4:$CC$47,$A10,)</f>
        <v>1.9107871014912503E-17</v>
      </c>
      <c r="BP10">
        <f>HLOOKUP(BP$4,Conversion!$C$4:$CC$47,$A10,)</f>
        <v>1.9107871014912503E-17</v>
      </c>
      <c r="BQ10">
        <f>HLOOKUP(BQ$4,Conversion!$C$4:$CC$47,$A10,)</f>
        <v>0</v>
      </c>
      <c r="BR10">
        <f>HLOOKUP(BR$4,Conversion!$C$4:$CC$47,$A10,)</f>
        <v>5.5509857109181941E-17</v>
      </c>
      <c r="BS10">
        <f>HLOOKUP(BS$4,Conversion!$C$4:$CC$47,$A10,)</f>
        <v>2.9907848017242933E-17</v>
      </c>
      <c r="BT10">
        <f>HLOOKUP(BT$4,Conversion!$C$4:$CC$47,$A10,)</f>
        <v>1.769709854748975E-17</v>
      </c>
      <c r="BU10">
        <f>HLOOKUP(BU$4,Conversion!$C$4:$CC$47,$A10,)</f>
        <v>1.4002307775344577E-17</v>
      </c>
      <c r="BV10">
        <f>HLOOKUP(BV$4,Conversion!$C$4:$CC$47,$A10,)</f>
        <v>9.2525398658610175E-16</v>
      </c>
      <c r="BW10">
        <f>HLOOKUP(BW$4,Conversion!$C$4:$CC$47,$A10,)</f>
        <v>7.3565445841520055E-16</v>
      </c>
      <c r="BX10">
        <f>HLOOKUP(BX$4,Conversion!$C$4:$CC$47,$A10,)</f>
        <v>7.3565445841520055E-16</v>
      </c>
      <c r="BY10">
        <f>HLOOKUP(BY$4,Conversion!$C$4:$CC$47,$A10,)</f>
        <v>5.1551482620375943E-15</v>
      </c>
      <c r="BZ10">
        <f>HLOOKUP(BZ$4,Conversion!$C$4:$CC$47,$A10,)</f>
        <v>2.4133446734653569E-15</v>
      </c>
      <c r="CA10">
        <f>HLOOKUP(CA$4,Conversion!$C$4:$CC$47,$A10,)</f>
        <v>2.1612115832933925E-15</v>
      </c>
      <c r="CB10">
        <f>HLOOKUP(CB$4,Conversion!$C$4:$CC$47,$A10,)</f>
        <v>1.5970026165774927E-15</v>
      </c>
      <c r="CC10">
        <f>HLOOKUP(CC$4,Conversion!$C$4:$CC$47,$A10,)</f>
        <v>5.651405314605415E-16</v>
      </c>
    </row>
    <row r="11" spans="1:81" x14ac:dyDescent="0.15">
      <c r="A11">
        <v>8</v>
      </c>
      <c r="B11" t="s">
        <v>26</v>
      </c>
      <c r="C11">
        <f>HLOOKUP($C$4,Conversion!$C$4:$CC$47,$A11,)</f>
        <v>1.1384819717591117E-15</v>
      </c>
      <c r="D11">
        <f>HLOOKUP($D$4,Conversion!$C$4:$CC$47,$A11,)</f>
        <v>1.6718668310517917E-16</v>
      </c>
      <c r="E11">
        <f>HLOOKUP($E$4,Conversion!$C$4:$CC$47,$A11,)</f>
        <v>3.4268554803233243E-17</v>
      </c>
      <c r="F11">
        <f>HLOOKUP($F$4,Conversion!$C$4:$CC$47,$A11,)</f>
        <v>2.8097615258449436E-15</v>
      </c>
      <c r="G11">
        <f>HLOOKUP($G$4,Conversion!$C$4:$CC$47,$A11,)</f>
        <v>1.3093956043653464E-18</v>
      </c>
      <c r="H11">
        <f>HLOOKUP($H$4,Conversion!$C$4:$CC$47,$A11,)</f>
        <v>2.518774550519299E-17</v>
      </c>
      <c r="I11">
        <f>HLOOKUP($I$4,Conversion!$C$4:$CC$47,$A11,)</f>
        <v>1.9293069024446672E-17</v>
      </c>
      <c r="J11">
        <f>HLOOKUP($J$4,Conversion!$C$4:$CC$47,$A11,)</f>
        <v>1.9293069024446672E-17</v>
      </c>
      <c r="K11">
        <f>HLOOKUP($K$4,Conversion!$C$4:$CC$47,$A11,)</f>
        <v>1.9293069024446672E-17</v>
      </c>
      <c r="L11">
        <f>HLOOKUP($L$4,Conversion!$C$4:$CC$47,$A11,)</f>
        <v>3.4270333945842931E-17</v>
      </c>
      <c r="M11">
        <f>HLOOKUP($M$4,Conversion!$C$4:$CC$47,$A11,)</f>
        <v>3.4270333945842931E-17</v>
      </c>
      <c r="N11">
        <f>HLOOKUP($N$4,Conversion!$C$4:$CC$47,$A11,)</f>
        <v>3.4270333945842931E-17</v>
      </c>
      <c r="O11">
        <f>HLOOKUP($O$4,Conversion!$C$4:$CC$47,$A11,)</f>
        <v>9.5374884036836311E-16</v>
      </c>
      <c r="P11">
        <f>HLOOKUP($P$4,Conversion!$C$4:$CC$47,$A11,)</f>
        <v>2.4553261472252334E-16</v>
      </c>
      <c r="Q11">
        <f>HLOOKUP($Q$4,Conversion!$C$4:$CC$47,$A11,)</f>
        <v>6.2017326798600723E-16</v>
      </c>
      <c r="R11">
        <f>HLOOKUP($R$4,Conversion!$C$4:$CC$47,$A11,)</f>
        <v>6.2017326798600723E-16</v>
      </c>
      <c r="S11">
        <f>HLOOKUP($S$4,Conversion!$C$4:$CC$47,$A11,)</f>
        <v>4.9171185097070136E-18</v>
      </c>
      <c r="T11">
        <f>HLOOKUP($T$4,Conversion!$C$4:$CC$47,$A11,)</f>
        <v>3.5896857958849095E-18</v>
      </c>
      <c r="U11">
        <f>HLOOKUP($U$4,Conversion!$C$4:$CC$47,$A11,)</f>
        <v>3.5896857958849095E-18</v>
      </c>
      <c r="V11">
        <f>HLOOKUP($V$4,Conversion!$C$4:$CC$47,$A11,)</f>
        <v>3.5896857958849095E-18</v>
      </c>
      <c r="W11">
        <f>HLOOKUP($W$4,Conversion!$C$4:$CC$47,$A11,)</f>
        <v>3.5896857958849095E-18</v>
      </c>
      <c r="X11">
        <f>HLOOKUP($X$4,Conversion!$C$4:$CC$47,$A11,)</f>
        <v>3.5896857958849095E-18</v>
      </c>
      <c r="Y11">
        <f>HLOOKUP($Y$4,Conversion!$C$4:$CC$47,$A11,)</f>
        <v>4.3639524559666688E-18</v>
      </c>
      <c r="Z11">
        <f>HLOOKUP($Z$4,Conversion!$C$4:$CC$47,$A11,)</f>
        <v>1.7662530732593471E-16</v>
      </c>
      <c r="AA11">
        <f>HLOOKUP($AA$4,Conversion!$C$4:$CC$47,$A11,)</f>
        <v>1.7521382106796913E-16</v>
      </c>
      <c r="AB11">
        <f>HLOOKUP($AB$4,Conversion!$C$4:$CC$47,$A11,)</f>
        <v>3.9315451467580142E-17</v>
      </c>
      <c r="AC11">
        <f>HLOOKUP($AC$4,Conversion!$C$4:$CC$47,$A11,)</f>
        <v>3.034703633965603E-16</v>
      </c>
      <c r="AD11">
        <f>HLOOKUP($AD$4,Conversion!$C$4:$CC$47,$A11,)</f>
        <v>1.7988034594172907E-15</v>
      </c>
      <c r="AE11">
        <f>HLOOKUP($AE$4,Conversion!$C$4:$CC$47,$A11,)</f>
        <v>2.2449294666845159E-15</v>
      </c>
      <c r="AF11">
        <f>HLOOKUP($AF$4,Conversion!$C$4:$CC$47,$A11,)</f>
        <v>2.2449294666845159E-15</v>
      </c>
      <c r="AG11">
        <f>HLOOKUP(AG$4,Conversion!$C$4:$CC$47,$A11,)</f>
        <v>1.2202929995122356E-16</v>
      </c>
      <c r="AH11">
        <f>HLOOKUP(AH$4,Conversion!$C$4:$CC$47,$A11,)</f>
        <v>3.3774333826979981E-17</v>
      </c>
      <c r="AI11">
        <f>HLOOKUP(AI$4,Conversion!$C$4:$CC$47,$A11,)</f>
        <v>3.4382307064712408E-17</v>
      </c>
      <c r="AJ11">
        <f>HLOOKUP(AJ$4,Conversion!$C$4:$CC$47,$A11,)</f>
        <v>3.9019639120915443E-18</v>
      </c>
      <c r="AK11">
        <f>HLOOKUP(AK$4,Conversion!$C$4:$CC$47,$A11,)</f>
        <v>3.6643943074820573E-15</v>
      </c>
      <c r="AL11">
        <f>HLOOKUP(AL$4,Conversion!$C$4:$CC$47,$A11,)</f>
        <v>1.6751926040986505E-17</v>
      </c>
      <c r="AM11">
        <f>HLOOKUP(AM$4,Conversion!$C$4:$CC$47,$A11,)</f>
        <v>1.0904054399564795E-15</v>
      </c>
      <c r="AN11">
        <f>HLOOKUP(AN$4,Conversion!$C$4:$CC$47,$A11,)</f>
        <v>2.7183281402678194E-17</v>
      </c>
      <c r="AO11">
        <f>HLOOKUP(AO$4,Conversion!$C$4:$CC$47,$A11,)</f>
        <v>2.7183281402678194E-17</v>
      </c>
      <c r="AP11">
        <f>HLOOKUP(AP$4,Conversion!$C$4:$CC$47,$A11,)</f>
        <v>2.7183281402678194E-17</v>
      </c>
      <c r="AQ11">
        <f>HLOOKUP(AQ$4,Conversion!$C$4:$CC$47,$A11,)</f>
        <v>4.7174924365431701E-18</v>
      </c>
      <c r="AR11">
        <f>HLOOKUP(AR$4,Conversion!$C$4:$CC$47,$A11,)</f>
        <v>4.7174924365431701E-18</v>
      </c>
      <c r="AS11">
        <f>HLOOKUP(AS$4,Conversion!$C$4:$CC$47,$A11,)</f>
        <v>2.4945344611826274E-14</v>
      </c>
      <c r="AT11">
        <f>HLOOKUP(AT$4,Conversion!$C$4:$CC$47,$A11,)</f>
        <v>2.736797651452631E-16</v>
      </c>
      <c r="AU11">
        <f>HLOOKUP(AU$4,Conversion!$C$4:$CC$47,$A11,)</f>
        <v>1.9671651632253126E-18</v>
      </c>
      <c r="AV11">
        <f>HLOOKUP(AV$4,Conversion!$C$4:$CC$47,$A11,)</f>
        <v>0</v>
      </c>
      <c r="AW11">
        <f>HLOOKUP(AW$4,Conversion!$C$4:$CC$47,$A11,)</f>
        <v>5.817054031088854E-14</v>
      </c>
      <c r="AX11">
        <f>HLOOKUP(AX$4,Conversion!$C$4:$CC$47,$A11,)</f>
        <v>1.5202795002973217E-12</v>
      </c>
      <c r="AY11">
        <f>HLOOKUP(AY$4,Conversion!$C$4:$CC$47,$A11,)</f>
        <v>4.4123834285594382E-13</v>
      </c>
      <c r="AZ11">
        <f>HLOOKUP(AZ$4,Conversion!$C$4:$CC$47,$A11,)</f>
        <v>1.7507587423267307E-15</v>
      </c>
      <c r="BA11">
        <f>HLOOKUP(BA$4,Conversion!$C$4:$CC$47,$A11,)</f>
        <v>3.3820743573443909E-17</v>
      </c>
      <c r="BB11">
        <f>HLOOKUP(BB$4,Conversion!$C$4:$CC$47,$A11,)</f>
        <v>1.0721442750194655E-15</v>
      </c>
      <c r="BC11">
        <f>HLOOKUP(BC$4,Conversion!$C$4:$CC$47,$A11,)</f>
        <v>1.0913628286430142E-15</v>
      </c>
      <c r="BD11">
        <f>HLOOKUP(BD$4,Conversion!$C$4:$CC$47,$A11,)</f>
        <v>1.0913628286430142E-15</v>
      </c>
      <c r="BE11">
        <f>HLOOKUP(BE$4,Conversion!$C$4:$CC$47,$A11,)</f>
        <v>3.6944759958209223E-18</v>
      </c>
      <c r="BF11">
        <f>HLOOKUP(BF$4,Conversion!$C$4:$CC$47,$A11,)</f>
        <v>3.7876608031935802E-16</v>
      </c>
      <c r="BG11">
        <f>HLOOKUP(BG$4,Conversion!$C$4:$CC$47,$A11,)</f>
        <v>4.9484245216996008E-15</v>
      </c>
      <c r="BH11">
        <f>HLOOKUP(BH$4,Conversion!$C$4:$CC$47,$A11,)</f>
        <v>4.3561142911665436E-15</v>
      </c>
      <c r="BI11">
        <f>HLOOKUP(BI$4,Conversion!$C$4:$CC$47,$A11,)</f>
        <v>4.3561142911665436E-15</v>
      </c>
      <c r="BJ11">
        <f>HLOOKUP(BJ$4,Conversion!$C$4:$CC$47,$A11,)</f>
        <v>4.3561142911665436E-15</v>
      </c>
      <c r="BK11">
        <f>HLOOKUP(BK$4,Conversion!$C$4:$CC$47,$A11,)</f>
        <v>1.0849664338819247E-16</v>
      </c>
      <c r="BL11">
        <f>HLOOKUP(BL$4,Conversion!$C$4:$CC$47,$A11,)</f>
        <v>1.3516507725260443E-16</v>
      </c>
      <c r="BM11">
        <f>HLOOKUP(BM$4,Conversion!$C$4:$CC$47,$A11,)</f>
        <v>1.7069083765646641E-16</v>
      </c>
      <c r="BN11">
        <f>HLOOKUP(BN$4,Conversion!$C$4:$CC$47,$A11,)</f>
        <v>1.7069083765646641E-16</v>
      </c>
      <c r="BO11">
        <f>HLOOKUP(BO$4,Conversion!$C$4:$CC$47,$A11,)</f>
        <v>4.9364465642257883E-18</v>
      </c>
      <c r="BP11">
        <f>HLOOKUP(BP$4,Conversion!$C$4:$CC$47,$A11,)</f>
        <v>4.9364465642257883E-18</v>
      </c>
      <c r="BQ11">
        <f>HLOOKUP(BQ$4,Conversion!$C$4:$CC$47,$A11,)</f>
        <v>0</v>
      </c>
      <c r="BR11">
        <f>HLOOKUP(BR$4,Conversion!$C$4:$CC$47,$A11,)</f>
        <v>1.3189314611552305E-17</v>
      </c>
      <c r="BS11">
        <f>HLOOKUP(BS$4,Conversion!$C$4:$CC$47,$A11,)</f>
        <v>7.4279495664375188E-18</v>
      </c>
      <c r="BT11">
        <f>HLOOKUP(BT$4,Conversion!$C$4:$CC$47,$A11,)</f>
        <v>3.8216057276027972E-18</v>
      </c>
      <c r="BU11">
        <f>HLOOKUP(BU$4,Conversion!$C$4:$CC$47,$A11,)</f>
        <v>3.4280921090838612E-18</v>
      </c>
      <c r="BV11">
        <f>HLOOKUP(BV$4,Conversion!$C$4:$CC$47,$A11,)</f>
        <v>1.2552646084654563E-15</v>
      </c>
      <c r="BW11">
        <f>HLOOKUP(BW$4,Conversion!$C$4:$CC$47,$A11,)</f>
        <v>7.5742470610445618E-16</v>
      </c>
      <c r="BX11">
        <f>HLOOKUP(BX$4,Conversion!$C$4:$CC$47,$A11,)</f>
        <v>7.5742470610445618E-16</v>
      </c>
      <c r="BY11">
        <f>HLOOKUP(BY$4,Conversion!$C$4:$CC$47,$A11,)</f>
        <v>5.0153306991212705E-15</v>
      </c>
      <c r="BZ11">
        <f>HLOOKUP(BZ$4,Conversion!$C$4:$CC$47,$A11,)</f>
        <v>1.0514941180591547E-14</v>
      </c>
      <c r="CA11">
        <f>HLOOKUP(CA$4,Conversion!$C$4:$CC$47,$A11,)</f>
        <v>1.24308427625519E-14</v>
      </c>
      <c r="CB11">
        <f>HLOOKUP(CB$4,Conversion!$C$4:$CC$47,$A11,)</f>
        <v>3.0177036939593974E-14</v>
      </c>
      <c r="CC11">
        <f>HLOOKUP(CC$4,Conversion!$C$4:$CC$47,$A11,)</f>
        <v>8.6000701509948659E-16</v>
      </c>
    </row>
    <row r="12" spans="1:81" x14ac:dyDescent="0.15">
      <c r="A12">
        <v>9</v>
      </c>
      <c r="B12" t="s">
        <v>8</v>
      </c>
      <c r="C12">
        <f>HLOOKUP($C$4,Conversion!$C$4:$CC$47,$A12,)</f>
        <v>7.5847218221163099E-16</v>
      </c>
      <c r="D12">
        <f>HLOOKUP($D$4,Conversion!$C$4:$CC$47,$A12,)</f>
        <v>6.4651729723747194E-17</v>
      </c>
      <c r="E12">
        <f>HLOOKUP($E$4,Conversion!$C$4:$CC$47,$A12,)</f>
        <v>3.4120015658087846E-16</v>
      </c>
      <c r="F12">
        <f>HLOOKUP($F$4,Conversion!$C$4:$CC$47,$A12,)</f>
        <v>3.7625236356631282E-16</v>
      </c>
      <c r="G12">
        <f>HLOOKUP($G$4,Conversion!$C$4:$CC$47,$A12,)</f>
        <v>2.9494187122428135E-15</v>
      </c>
      <c r="H12">
        <f>HLOOKUP($H$4,Conversion!$C$4:$CC$47,$A12,)</f>
        <v>6.1476127322275882E-16</v>
      </c>
      <c r="I12">
        <f>HLOOKUP($I$4,Conversion!$C$4:$CC$47,$A12,)</f>
        <v>5.8695765483211305E-16</v>
      </c>
      <c r="J12">
        <f>HLOOKUP($J$4,Conversion!$C$4:$CC$47,$A12,)</f>
        <v>5.8695765483211305E-16</v>
      </c>
      <c r="K12">
        <f>HLOOKUP($K$4,Conversion!$C$4:$CC$47,$A12,)</f>
        <v>5.8695765483211305E-16</v>
      </c>
      <c r="L12">
        <f>HLOOKUP($L$4,Conversion!$C$4:$CC$47,$A12,)</f>
        <v>3.4120015658087846E-16</v>
      </c>
      <c r="M12">
        <f>HLOOKUP($M$4,Conversion!$C$4:$CC$47,$A12,)</f>
        <v>3.4120015658087846E-16</v>
      </c>
      <c r="N12">
        <f>HLOOKUP($N$4,Conversion!$C$4:$CC$47,$A12,)</f>
        <v>3.4120015658087846E-16</v>
      </c>
      <c r="O12">
        <f>HLOOKUP($O$4,Conversion!$C$4:$CC$47,$A12,)</f>
        <v>6.5487185882182006E-16</v>
      </c>
      <c r="P12">
        <f>HLOOKUP($P$4,Conversion!$C$4:$CC$47,$A12,)</f>
        <v>2.7550649171614651E-17</v>
      </c>
      <c r="Q12">
        <f>HLOOKUP($Q$4,Conversion!$C$4:$CC$47,$A12,)</f>
        <v>1.5705698183155136E-15</v>
      </c>
      <c r="R12">
        <f>HLOOKUP($R$4,Conversion!$C$4:$CC$47,$A12,)</f>
        <v>1.5705698183155136E-15</v>
      </c>
      <c r="S12">
        <f>HLOOKUP($S$4,Conversion!$C$4:$CC$47,$A12,)</f>
        <v>7.7072069823293856E-11</v>
      </c>
      <c r="T12">
        <f>HLOOKUP($T$4,Conversion!$C$4:$CC$47,$A12,)</f>
        <v>3.9773671106541436E-12</v>
      </c>
      <c r="U12">
        <f>HLOOKUP($U$4,Conversion!$C$4:$CC$47,$A12,)</f>
        <v>1.1172014727374896E-14</v>
      </c>
      <c r="V12">
        <f>HLOOKUP($V$4,Conversion!$C$4:$CC$47,$A12,)</f>
        <v>1.1172014727374896E-14</v>
      </c>
      <c r="W12">
        <f>HLOOKUP($W$4,Conversion!$C$4:$CC$47,$A12,)</f>
        <v>1.1172014727374896E-14</v>
      </c>
      <c r="X12">
        <f>HLOOKUP($X$4,Conversion!$C$4:$CC$47,$A12,)</f>
        <v>1.1172014727374896E-14</v>
      </c>
      <c r="Y12">
        <f>HLOOKUP($Y$4,Conversion!$C$4:$CC$47,$A12,)</f>
        <v>2.617545148789546E-14</v>
      </c>
      <c r="Z12">
        <f>HLOOKUP($Z$4,Conversion!$C$4:$CC$47,$A12,)</f>
        <v>8.9391299104131268E-17</v>
      </c>
      <c r="AA12">
        <f>HLOOKUP($AA$4,Conversion!$C$4:$CC$47,$A12,)</f>
        <v>1.013995714428317E-16</v>
      </c>
      <c r="AB12">
        <f>HLOOKUP($AB$4,Conversion!$C$4:$CC$47,$A12,)</f>
        <v>2.9190930395866596E-16</v>
      </c>
      <c r="AC12">
        <f>HLOOKUP($AC$4,Conversion!$C$4:$CC$47,$A12,)</f>
        <v>4.8559846346852494E-17</v>
      </c>
      <c r="AD12">
        <f>HLOOKUP($AD$4,Conversion!$C$4:$CC$47,$A12,)</f>
        <v>1.6593288188153605E-17</v>
      </c>
      <c r="AE12">
        <f>HLOOKUP($AE$4,Conversion!$C$4:$CC$47,$A12,)</f>
        <v>2.040526774039493E-17</v>
      </c>
      <c r="AF12">
        <f>HLOOKUP($AF$4,Conversion!$C$4:$CC$47,$A12,)</f>
        <v>2.040526774039493E-17</v>
      </c>
      <c r="AG12">
        <f>HLOOKUP(AG$4,Conversion!$C$4:$CC$47,$A12,)</f>
        <v>1.1358918543779075E-16</v>
      </c>
      <c r="AH12">
        <f>HLOOKUP(AH$4,Conversion!$C$4:$CC$47,$A12,)</f>
        <v>3.4942179352861189E-16</v>
      </c>
      <c r="AI12">
        <f>HLOOKUP(AI$4,Conversion!$C$4:$CC$47,$A12,)</f>
        <v>3.0796086217738022E-16</v>
      </c>
      <c r="AJ12">
        <f>HLOOKUP(AJ$4,Conversion!$C$4:$CC$47,$A12,)</f>
        <v>3.9094887274607023E-15</v>
      </c>
      <c r="AK12">
        <f>HLOOKUP(AK$4,Conversion!$C$4:$CC$47,$A12,)</f>
        <v>2.4597459792391156E-16</v>
      </c>
      <c r="AL12">
        <f>HLOOKUP(AL$4,Conversion!$C$4:$CC$47,$A12,)</f>
        <v>6.6227990027411231E-16</v>
      </c>
      <c r="AM12">
        <f>HLOOKUP(AM$4,Conversion!$C$4:$CC$47,$A12,)</f>
        <v>2.1495673175131686E-16</v>
      </c>
      <c r="AN12">
        <f>HLOOKUP(AN$4,Conversion!$C$4:$CC$47,$A12,)</f>
        <v>5.8140093675885795E-16</v>
      </c>
      <c r="AO12">
        <f>HLOOKUP(AO$4,Conversion!$C$4:$CC$47,$A12,)</f>
        <v>5.8140093675885795E-16</v>
      </c>
      <c r="AP12">
        <f>HLOOKUP(AP$4,Conversion!$C$4:$CC$47,$A12,)</f>
        <v>5.8140093675885795E-16</v>
      </c>
      <c r="AQ12">
        <f>HLOOKUP(AQ$4,Conversion!$C$4:$CC$47,$A12,)</f>
        <v>1.6673593409157507E-14</v>
      </c>
      <c r="AR12">
        <f>HLOOKUP(AR$4,Conversion!$C$4:$CC$47,$A12,)</f>
        <v>1.6673593409157507E-14</v>
      </c>
      <c r="AS12">
        <f>HLOOKUP(AS$4,Conversion!$C$4:$CC$47,$A12,)</f>
        <v>2.5466582151331951E-18</v>
      </c>
      <c r="AT12">
        <f>HLOOKUP(AT$4,Conversion!$C$4:$CC$47,$A12,)</f>
        <v>6.2412810954625035E-17</v>
      </c>
      <c r="AU12">
        <f>HLOOKUP(AU$4,Conversion!$C$4:$CC$47,$A12,)</f>
        <v>4.8982148886685466E-15</v>
      </c>
      <c r="AV12">
        <f>HLOOKUP(AV$4,Conversion!$C$4:$CC$47,$A12,)</f>
        <v>0</v>
      </c>
      <c r="AW12">
        <f>HLOOKUP(AW$4,Conversion!$C$4:$CC$47,$A12,)</f>
        <v>2.2107191323506562E-18</v>
      </c>
      <c r="AX12">
        <f>HLOOKUP(AX$4,Conversion!$C$4:$CC$47,$A12,)</f>
        <v>4.2948164553259766E-18</v>
      </c>
      <c r="AY12">
        <f>HLOOKUP(AY$4,Conversion!$C$4:$CC$47,$A12,)</f>
        <v>4.2948164553259766E-18</v>
      </c>
      <c r="AZ12">
        <f>HLOOKUP(AZ$4,Conversion!$C$4:$CC$47,$A12,)</f>
        <v>6.1762799036519005E-16</v>
      </c>
      <c r="BA12">
        <f>HLOOKUP(BA$4,Conversion!$C$4:$CC$47,$A12,)</f>
        <v>4.3801089940563312E-16</v>
      </c>
      <c r="BB12">
        <f>HLOOKUP(BB$4,Conversion!$C$4:$CC$47,$A12,)</f>
        <v>2.1047164843968647E-17</v>
      </c>
      <c r="BC12">
        <f>HLOOKUP(BC$4,Conversion!$C$4:$CC$47,$A12,)</f>
        <v>2.177726001742806E-17</v>
      </c>
      <c r="BD12">
        <f>HLOOKUP(BD$4,Conversion!$C$4:$CC$47,$A12,)</f>
        <v>2.177726001742806E-17</v>
      </c>
      <c r="BE12">
        <f>HLOOKUP(BE$4,Conversion!$C$4:$CC$47,$A12,)</f>
        <v>3.550976480815155E-15</v>
      </c>
      <c r="BF12">
        <f>HLOOKUP(BF$4,Conversion!$C$4:$CC$47,$A12,)</f>
        <v>5.4793856729980608E-16</v>
      </c>
      <c r="BG12">
        <f>HLOOKUP(BG$4,Conversion!$C$4:$CC$47,$A12,)</f>
        <v>2.3361890908627448E-17</v>
      </c>
      <c r="BH12">
        <f>HLOOKUP(BH$4,Conversion!$C$4:$CC$47,$A12,)</f>
        <v>2.4475897523660861E-17</v>
      </c>
      <c r="BI12">
        <f>HLOOKUP(BI$4,Conversion!$C$4:$CC$47,$A12,)</f>
        <v>2.4475897523660861E-17</v>
      </c>
      <c r="BJ12">
        <f>HLOOKUP(BJ$4,Conversion!$C$4:$CC$47,$A12,)</f>
        <v>2.4475897523660861E-17</v>
      </c>
      <c r="BK12">
        <f>HLOOKUP(BK$4,Conversion!$C$4:$CC$47,$A12,)</f>
        <v>8.8737763713794264E-17</v>
      </c>
      <c r="BL12">
        <f>HLOOKUP(BL$4,Conversion!$C$4:$CC$47,$A12,)</f>
        <v>9.9804183555223908E-17</v>
      </c>
      <c r="BM12">
        <f>HLOOKUP(BM$4,Conversion!$C$4:$CC$47,$A12,)</f>
        <v>9.3966559321537447E-17</v>
      </c>
      <c r="BN12">
        <f>HLOOKUP(BN$4,Conversion!$C$4:$CC$47,$A12,)</f>
        <v>9.3966559321537447E-17</v>
      </c>
      <c r="BO12">
        <f>HLOOKUP(BO$4,Conversion!$C$4:$CC$47,$A12,)</f>
        <v>2.2520058969748027E-14</v>
      </c>
      <c r="BP12">
        <f>HLOOKUP(BP$4,Conversion!$C$4:$CC$47,$A12,)</f>
        <v>2.2520058969748027E-14</v>
      </c>
      <c r="BQ12">
        <f>HLOOKUP(BQ$4,Conversion!$C$4:$CC$47,$A12,)</f>
        <v>0</v>
      </c>
      <c r="BR12">
        <f>HLOOKUP(BR$4,Conversion!$C$4:$CC$47,$A12,)</f>
        <v>7.1331135808459721E-16</v>
      </c>
      <c r="BS12">
        <f>HLOOKUP(BS$4,Conversion!$C$4:$CC$47,$A12,)</f>
        <v>1.1410257304626177E-15</v>
      </c>
      <c r="BT12">
        <f>HLOOKUP(BT$4,Conversion!$C$4:$CC$47,$A12,)</f>
        <v>1.2367412577431997E-14</v>
      </c>
      <c r="BU12">
        <f>HLOOKUP(BU$4,Conversion!$C$4:$CC$47,$A12,)</f>
        <v>8.590976081865005E-15</v>
      </c>
      <c r="BV12">
        <f>HLOOKUP(BV$4,Conversion!$C$4:$CC$47,$A12,)</f>
        <v>4.7673174402268026E-16</v>
      </c>
      <c r="BW12">
        <f>HLOOKUP(BW$4,Conversion!$C$4:$CC$47,$A12,)</f>
        <v>1.1296751283593101E-15</v>
      </c>
      <c r="BX12">
        <f>HLOOKUP(BX$4,Conversion!$C$4:$CC$47,$A12,)</f>
        <v>1.1296751283593101E-15</v>
      </c>
      <c r="BY12">
        <f>HLOOKUP(BY$4,Conversion!$C$4:$CC$47,$A12,)</f>
        <v>1.6291924739480927E-17</v>
      </c>
      <c r="BZ12">
        <f>HLOOKUP(BZ$4,Conversion!$C$4:$CC$47,$A12,)</f>
        <v>7.3796870889544358E-18</v>
      </c>
      <c r="CA12">
        <f>HLOOKUP(CA$4,Conversion!$C$4:$CC$47,$A12,)</f>
        <v>7.6534916305693855E-18</v>
      </c>
      <c r="CB12">
        <f>HLOOKUP(CB$4,Conversion!$C$4:$CC$47,$A12,)</f>
        <v>4.9632082175229302E-18</v>
      </c>
      <c r="CC12">
        <f>HLOOKUP(CC$4,Conversion!$C$4:$CC$47,$A12,)</f>
        <v>3.91205173141121E-16</v>
      </c>
    </row>
    <row r="13" spans="1:81" x14ac:dyDescent="0.15">
      <c r="A13">
        <v>10</v>
      </c>
      <c r="B13" t="s">
        <v>9</v>
      </c>
      <c r="C13">
        <f>HLOOKUP($C$4,Conversion!$C$4:$CC$47,$A13,)</f>
        <v>6.459765031761478E-16</v>
      </c>
      <c r="D13">
        <f>HLOOKUP($D$4,Conversion!$C$4:$CC$47,$A13,)</f>
        <v>9.3293519790587742E-17</v>
      </c>
      <c r="E13">
        <f>HLOOKUP($E$4,Conversion!$C$4:$CC$47,$A13,)</f>
        <v>6.1800054883931856E-16</v>
      </c>
      <c r="F13">
        <f>HLOOKUP($F$4,Conversion!$C$4:$CC$47,$A13,)</f>
        <v>4.5570088906504514E-16</v>
      </c>
      <c r="G13">
        <f>HLOOKUP($G$4,Conversion!$C$4:$CC$47,$A13,)</f>
        <v>4.4746244471946703E-15</v>
      </c>
      <c r="H13">
        <f>HLOOKUP($H$4,Conversion!$C$4:$CC$47,$A13,)</f>
        <v>5.7757260639795664E-16</v>
      </c>
      <c r="I13">
        <f>HLOOKUP($I$4,Conversion!$C$4:$CC$47,$A13,)</f>
        <v>6.7066218197742065E-15</v>
      </c>
      <c r="J13">
        <f>HLOOKUP($J$4,Conversion!$C$4:$CC$47,$A13,)</f>
        <v>6.7066218197742065E-15</v>
      </c>
      <c r="K13">
        <f>HLOOKUP($K$4,Conversion!$C$4:$CC$47,$A13,)</f>
        <v>6.7066218197742065E-15</v>
      </c>
      <c r="L13">
        <f>HLOOKUP($L$4,Conversion!$C$4:$CC$47,$A13,)</f>
        <v>6.1800054883931856E-16</v>
      </c>
      <c r="M13">
        <f>HLOOKUP($M$4,Conversion!$C$4:$CC$47,$A13,)</f>
        <v>6.1800054883931856E-16</v>
      </c>
      <c r="N13">
        <f>HLOOKUP($N$4,Conversion!$C$4:$CC$47,$A13,)</f>
        <v>6.1800054883931856E-16</v>
      </c>
      <c r="O13">
        <f>HLOOKUP($O$4,Conversion!$C$4:$CC$47,$A13,)</f>
        <v>3.7498048454939384E-15</v>
      </c>
      <c r="P13">
        <f>HLOOKUP($P$4,Conversion!$C$4:$CC$47,$A13,)</f>
        <v>3.4856212675467279E-17</v>
      </c>
      <c r="Q13">
        <f>HLOOKUP($Q$4,Conversion!$C$4:$CC$47,$A13,)</f>
        <v>1.8466909176060792E-15</v>
      </c>
      <c r="R13">
        <f>HLOOKUP($R$4,Conversion!$C$4:$CC$47,$A13,)</f>
        <v>1.8466909176060792E-15</v>
      </c>
      <c r="S13">
        <f>HLOOKUP($S$4,Conversion!$C$4:$CC$47,$A13,)</f>
        <v>1.1094322976384778E-14</v>
      </c>
      <c r="T13">
        <f>HLOOKUP($T$4,Conversion!$C$4:$CC$47,$A13,)</f>
        <v>1.1172014727374896E-14</v>
      </c>
      <c r="U13">
        <f>HLOOKUP($U$4,Conversion!$C$4:$CC$47,$A13,)</f>
        <v>3.9856032815863503E-12</v>
      </c>
      <c r="V13">
        <f>HLOOKUP($V$4,Conversion!$C$4:$CC$47,$A13,)</f>
        <v>3.6584418742034442E-12</v>
      </c>
      <c r="W13">
        <f>HLOOKUP($W$4,Conversion!$C$4:$CC$47,$A13,)</f>
        <v>2.5484270107470082E-12</v>
      </c>
      <c r="X13">
        <f>HLOOKUP($X$4,Conversion!$C$4:$CC$47,$A13,)</f>
        <v>3.9773671106541436E-12</v>
      </c>
      <c r="Y13">
        <f>HLOOKUP($Y$4,Conversion!$C$4:$CC$47,$A13,)</f>
        <v>6.1992479003157111E-15</v>
      </c>
      <c r="Z13">
        <f>HLOOKUP($Z$4,Conversion!$C$4:$CC$47,$A13,)</f>
        <v>9.4823172783943569E-17</v>
      </c>
      <c r="AA13">
        <f>HLOOKUP($AA$4,Conversion!$C$4:$CC$47,$A13,)</f>
        <v>8.8087300435997664E-17</v>
      </c>
      <c r="AB13">
        <f>HLOOKUP($AB$4,Conversion!$C$4:$CC$47,$A13,)</f>
        <v>4.6135285258375324E-16</v>
      </c>
      <c r="AC13">
        <f>HLOOKUP($AC$4,Conversion!$C$4:$CC$47,$A13,)</f>
        <v>5.4913786926567163E-17</v>
      </c>
      <c r="AD13">
        <f>HLOOKUP($AD$4,Conversion!$C$4:$CC$47,$A13,)</f>
        <v>1.2277554759409484E-17</v>
      </c>
      <c r="AE13">
        <f>HLOOKUP($AE$4,Conversion!$C$4:$CC$47,$A13,)</f>
        <v>1.3289689854641745E-17</v>
      </c>
      <c r="AF13">
        <f>HLOOKUP($AF$4,Conversion!$C$4:$CC$47,$A13,)</f>
        <v>1.3289689854641745E-17</v>
      </c>
      <c r="AG13">
        <f>HLOOKUP(AG$4,Conversion!$C$4:$CC$47,$A13,)</f>
        <v>1.3929469019578646E-16</v>
      </c>
      <c r="AH13">
        <f>HLOOKUP(AH$4,Conversion!$C$4:$CC$47,$A13,)</f>
        <v>8.2093333731291848E-16</v>
      </c>
      <c r="AI13">
        <f>HLOOKUP(AI$4,Conversion!$C$4:$CC$47,$A13,)</f>
        <v>6.196061398938728E-16</v>
      </c>
      <c r="AJ13">
        <f>HLOOKUP(AJ$4,Conversion!$C$4:$CC$47,$A13,)</f>
        <v>7.5416560650203136E-14</v>
      </c>
      <c r="AK13">
        <f>HLOOKUP(AK$4,Conversion!$C$4:$CC$47,$A13,)</f>
        <v>8.7917593397740559E-16</v>
      </c>
      <c r="AL13">
        <f>HLOOKUP(AL$4,Conversion!$C$4:$CC$47,$A13,)</f>
        <v>9.1086904387487459E-15</v>
      </c>
      <c r="AM13">
        <f>HLOOKUP(AM$4,Conversion!$C$4:$CC$47,$A13,)</f>
        <v>6.0642236127861196E-16</v>
      </c>
      <c r="AN13">
        <f>HLOOKUP(AN$4,Conversion!$C$4:$CC$47,$A13,)</f>
        <v>6.792200893412382E-15</v>
      </c>
      <c r="AO13">
        <f>HLOOKUP(AO$4,Conversion!$C$4:$CC$47,$A13,)</f>
        <v>6.792200893412382E-15</v>
      </c>
      <c r="AP13">
        <f>HLOOKUP(AP$4,Conversion!$C$4:$CC$47,$A13,)</f>
        <v>6.792200893412382E-15</v>
      </c>
      <c r="AQ13">
        <f>HLOOKUP(AQ$4,Conversion!$C$4:$CC$47,$A13,)</f>
        <v>3.6906066060883375E-14</v>
      </c>
      <c r="AR13">
        <f>HLOOKUP(AR$4,Conversion!$C$4:$CC$47,$A13,)</f>
        <v>3.6906066060883375E-14</v>
      </c>
      <c r="AS13">
        <f>HLOOKUP(AS$4,Conversion!$C$4:$CC$47,$A13,)</f>
        <v>2.5585374282049248E-18</v>
      </c>
      <c r="AT13">
        <f>HLOOKUP(AT$4,Conversion!$C$4:$CC$47,$A13,)</f>
        <v>6.2698777449076809E-17</v>
      </c>
      <c r="AU13">
        <f>HLOOKUP(AU$4,Conversion!$C$4:$CC$47,$A13,)</f>
        <v>2.0114669624382918E-14</v>
      </c>
      <c r="AV13">
        <f>HLOOKUP(AV$4,Conversion!$C$4:$CC$47,$A13,)</f>
        <v>0</v>
      </c>
      <c r="AW13">
        <f>HLOOKUP(AW$4,Conversion!$C$4:$CC$47,$A13,)</f>
        <v>2.6480819765932383E-18</v>
      </c>
      <c r="AX13">
        <f>HLOOKUP(AX$4,Conversion!$C$4:$CC$47,$A13,)</f>
        <v>2.7509796222800157E-18</v>
      </c>
      <c r="AY13">
        <f>HLOOKUP(AY$4,Conversion!$C$4:$CC$47,$A13,)</f>
        <v>2.7509796222800157E-18</v>
      </c>
      <c r="AZ13">
        <f>HLOOKUP(AZ$4,Conversion!$C$4:$CC$47,$A13,)</f>
        <v>1.7006628247595195E-15</v>
      </c>
      <c r="BA13">
        <f>HLOOKUP(BA$4,Conversion!$C$4:$CC$47,$A13,)</f>
        <v>2.6569015390769552E-14</v>
      </c>
      <c r="BB13">
        <f>HLOOKUP(BB$4,Conversion!$C$4:$CC$47,$A13,)</f>
        <v>2.1351490058285559E-17</v>
      </c>
      <c r="BC13">
        <f>HLOOKUP(BC$4,Conversion!$C$4:$CC$47,$A13,)</f>
        <v>1.8071126494254528E-17</v>
      </c>
      <c r="BD13">
        <f>HLOOKUP(BD$4,Conversion!$C$4:$CC$47,$A13,)</f>
        <v>1.8071126494254528E-17</v>
      </c>
      <c r="BE13">
        <f>HLOOKUP(BE$4,Conversion!$C$4:$CC$47,$A13,)</f>
        <v>1.7019906520298695E-14</v>
      </c>
      <c r="BF13">
        <f>HLOOKUP(BF$4,Conversion!$C$4:$CC$47,$A13,)</f>
        <v>3.992502168302558E-16</v>
      </c>
      <c r="BG13">
        <f>HLOOKUP(BG$4,Conversion!$C$4:$CC$47,$A13,)</f>
        <v>2.5129516445485352E-17</v>
      </c>
      <c r="BH13">
        <f>HLOOKUP(BH$4,Conversion!$C$4:$CC$47,$A13,)</f>
        <v>2.5185693672593499E-17</v>
      </c>
      <c r="BI13">
        <f>HLOOKUP(BI$4,Conversion!$C$4:$CC$47,$A13,)</f>
        <v>2.5185693672593499E-17</v>
      </c>
      <c r="BJ13">
        <f>HLOOKUP(BJ$4,Conversion!$C$4:$CC$47,$A13,)</f>
        <v>2.5185693672593499E-17</v>
      </c>
      <c r="BK13">
        <f>HLOOKUP(BK$4,Conversion!$C$4:$CC$47,$A13,)</f>
        <v>1.3892666511781692E-16</v>
      </c>
      <c r="BL13">
        <f>HLOOKUP(BL$4,Conversion!$C$4:$CC$47,$A13,)</f>
        <v>1.0358191354754433E-16</v>
      </c>
      <c r="BM13">
        <f>HLOOKUP(BM$4,Conversion!$C$4:$CC$47,$A13,)</f>
        <v>9.063542042898069E-17</v>
      </c>
      <c r="BN13">
        <f>HLOOKUP(BN$4,Conversion!$C$4:$CC$47,$A13,)</f>
        <v>9.063542042898069E-17</v>
      </c>
      <c r="BO13">
        <f>HLOOKUP(BO$4,Conversion!$C$4:$CC$47,$A13,)</f>
        <v>1.3990513116704566E-14</v>
      </c>
      <c r="BP13">
        <f>HLOOKUP(BP$4,Conversion!$C$4:$CC$47,$A13,)</f>
        <v>1.3990513116704566E-14</v>
      </c>
      <c r="BQ13">
        <f>HLOOKUP(BQ$4,Conversion!$C$4:$CC$47,$A13,)</f>
        <v>0</v>
      </c>
      <c r="BR13">
        <f>HLOOKUP(BR$4,Conversion!$C$4:$CC$47,$A13,)</f>
        <v>1.915097929491895E-15</v>
      </c>
      <c r="BS13">
        <f>HLOOKUP(BS$4,Conversion!$C$4:$CC$47,$A13,)</f>
        <v>7.471845234909857E-15</v>
      </c>
      <c r="BT13">
        <f>HLOOKUP(BT$4,Conversion!$C$4:$CC$47,$A13,)</f>
        <v>3.873463856984193E-14</v>
      </c>
      <c r="BU13">
        <f>HLOOKUP(BU$4,Conversion!$C$4:$CC$47,$A13,)</f>
        <v>4.4383349476424591E-14</v>
      </c>
      <c r="BV13">
        <f>HLOOKUP(BV$4,Conversion!$C$4:$CC$47,$A13,)</f>
        <v>1.1420893407929219E-15</v>
      </c>
      <c r="BW13">
        <f>HLOOKUP(BW$4,Conversion!$C$4:$CC$47,$A13,)</f>
        <v>1.8380465479442472E-15</v>
      </c>
      <c r="BX13">
        <f>HLOOKUP(BX$4,Conversion!$C$4:$CC$47,$A13,)</f>
        <v>1.8380465479442472E-15</v>
      </c>
      <c r="BY13">
        <f>HLOOKUP(BY$4,Conversion!$C$4:$CC$47,$A13,)</f>
        <v>1.9678687521066221E-17</v>
      </c>
      <c r="BZ13">
        <f>HLOOKUP(BZ$4,Conversion!$C$4:$CC$47,$A13,)</f>
        <v>3.5314142081325463E-18</v>
      </c>
      <c r="CA13">
        <f>HLOOKUP(CA$4,Conversion!$C$4:$CC$47,$A13,)</f>
        <v>3.5410990918288475E-18</v>
      </c>
      <c r="CB13">
        <f>HLOOKUP(CB$4,Conversion!$C$4:$CC$47,$A13,)</f>
        <v>3.0776385730378731E-18</v>
      </c>
      <c r="CC13">
        <f>HLOOKUP(CC$4,Conversion!$C$4:$CC$47,$A13,)</f>
        <v>6.7780608162812635E-16</v>
      </c>
    </row>
    <row r="14" spans="1:81" x14ac:dyDescent="0.15">
      <c r="A14">
        <v>11</v>
      </c>
      <c r="B14" t="s">
        <v>16</v>
      </c>
      <c r="C14">
        <f>HLOOKUP($C$4,Conversion!$C$4:$CC$47,$A14,)</f>
        <v>6.1634716915648648E-16</v>
      </c>
      <c r="D14">
        <f>HLOOKUP($D$4,Conversion!$C$4:$CC$47,$A14,)</f>
        <v>1.1204788286044339E-16</v>
      </c>
      <c r="E14">
        <f>HLOOKUP($E$4,Conversion!$C$4:$CC$47,$A14,)</f>
        <v>9.371050591375903E-16</v>
      </c>
      <c r="F14">
        <f>HLOOKUP($F$4,Conversion!$C$4:$CC$47,$A14,)</f>
        <v>2.251514040154311E-16</v>
      </c>
      <c r="G14">
        <f>HLOOKUP($G$4,Conversion!$C$4:$CC$47,$A14,)</f>
        <v>1.8921139844213488E-15</v>
      </c>
      <c r="H14">
        <f>HLOOKUP($H$4,Conversion!$C$4:$CC$47,$A14,)</f>
        <v>8.9600845342822938E-16</v>
      </c>
      <c r="I14">
        <f>HLOOKUP($I$4,Conversion!$C$4:$CC$47,$A14,)</f>
        <v>7.814839158148201E-15</v>
      </c>
      <c r="J14">
        <f>HLOOKUP($J$4,Conversion!$C$4:$CC$47,$A14,)</f>
        <v>7.814839158148201E-15</v>
      </c>
      <c r="K14">
        <f>HLOOKUP($K$4,Conversion!$C$4:$CC$47,$A14,)</f>
        <v>7.814839158148201E-15</v>
      </c>
      <c r="L14">
        <f>HLOOKUP($L$4,Conversion!$C$4:$CC$47,$A14,)</f>
        <v>9.371050591375903E-16</v>
      </c>
      <c r="M14">
        <f>HLOOKUP($M$4,Conversion!$C$4:$CC$47,$A14,)</f>
        <v>9.371050591375903E-16</v>
      </c>
      <c r="N14">
        <f>HLOOKUP($N$4,Conversion!$C$4:$CC$47,$A14,)</f>
        <v>9.371050591375903E-16</v>
      </c>
      <c r="O14">
        <f>HLOOKUP($O$4,Conversion!$C$4:$CC$47,$A14,)</f>
        <v>4.3154167936145859E-15</v>
      </c>
      <c r="P14">
        <f>HLOOKUP($P$4,Conversion!$C$4:$CC$47,$A14,)</f>
        <v>5.4685535570753866E-17</v>
      </c>
      <c r="Q14">
        <f>HLOOKUP($Q$4,Conversion!$C$4:$CC$47,$A14,)</f>
        <v>1.28681704833834E-15</v>
      </c>
      <c r="R14">
        <f>HLOOKUP($R$4,Conversion!$C$4:$CC$47,$A14,)</f>
        <v>1.28681704833834E-15</v>
      </c>
      <c r="S14">
        <f>HLOOKUP($S$4,Conversion!$C$4:$CC$47,$A14,)</f>
        <v>4.1404395161297774E-15</v>
      </c>
      <c r="T14">
        <f>HLOOKUP($T$4,Conversion!$C$4:$CC$47,$A14,)</f>
        <v>7.6179369258514846E-14</v>
      </c>
      <c r="U14">
        <f>HLOOKUP($U$4,Conversion!$C$4:$CC$47,$A14,)</f>
        <v>7.6179369258514846E-14</v>
      </c>
      <c r="V14">
        <f>HLOOKUP($V$4,Conversion!$C$4:$CC$47,$A14,)</f>
        <v>7.6179369258514846E-14</v>
      </c>
      <c r="W14">
        <f>HLOOKUP($W$4,Conversion!$C$4:$CC$47,$A14,)</f>
        <v>7.6179369258514846E-14</v>
      </c>
      <c r="X14">
        <f>HLOOKUP($X$4,Conversion!$C$4:$CC$47,$A14,)</f>
        <v>7.6179369258514846E-14</v>
      </c>
      <c r="Y14">
        <f>HLOOKUP($Y$4,Conversion!$C$4:$CC$47,$A14,)</f>
        <v>2.4262700016121811E-15</v>
      </c>
      <c r="Z14">
        <f>HLOOKUP($Z$4,Conversion!$C$4:$CC$47,$A14,)</f>
        <v>1.1932008997665351E-16</v>
      </c>
      <c r="AA14">
        <f>HLOOKUP($AA$4,Conversion!$C$4:$CC$47,$A14,)</f>
        <v>1.4506060347106199E-16</v>
      </c>
      <c r="AB14">
        <f>HLOOKUP($AB$4,Conversion!$C$4:$CC$47,$A14,)</f>
        <v>6.6761766742044211E-16</v>
      </c>
      <c r="AC14">
        <f>HLOOKUP($AC$4,Conversion!$C$4:$CC$47,$A14,)</f>
        <v>8.2415291490009736E-17</v>
      </c>
      <c r="AD14">
        <f>HLOOKUP($AD$4,Conversion!$C$4:$CC$47,$A14,)</f>
        <v>1.6233552695170769E-17</v>
      </c>
      <c r="AE14">
        <f>HLOOKUP($AE$4,Conversion!$C$4:$CC$47,$A14,)</f>
        <v>1.4991034405525629E-17</v>
      </c>
      <c r="AF14">
        <f>HLOOKUP($AF$4,Conversion!$C$4:$CC$47,$A14,)</f>
        <v>1.4991034405525629E-17</v>
      </c>
      <c r="AG14">
        <f>HLOOKUP(AG$4,Conversion!$C$4:$CC$47,$A14,)</f>
        <v>2.2130467069703643E-16</v>
      </c>
      <c r="AH14">
        <f>HLOOKUP(AH$4,Conversion!$C$4:$CC$47,$A14,)</f>
        <v>1.1664862347860815E-15</v>
      </c>
      <c r="AI14">
        <f>HLOOKUP(AI$4,Conversion!$C$4:$CC$47,$A14,)</f>
        <v>9.1232031651660298E-16</v>
      </c>
      <c r="AJ14">
        <f>HLOOKUP(AJ$4,Conversion!$C$4:$CC$47,$A14,)</f>
        <v>3.4745309392042997E-12</v>
      </c>
      <c r="AK14">
        <f>HLOOKUP(AK$4,Conversion!$C$4:$CC$47,$A14,)</f>
        <v>1.1001494068874732E-15</v>
      </c>
      <c r="AL14">
        <f>HLOOKUP(AL$4,Conversion!$C$4:$CC$47,$A14,)</f>
        <v>1.0219270744411993E-14</v>
      </c>
      <c r="AM14">
        <f>HLOOKUP(AM$4,Conversion!$C$4:$CC$47,$A14,)</f>
        <v>9.5855951603666778E-16</v>
      </c>
      <c r="AN14">
        <f>HLOOKUP(AN$4,Conversion!$C$4:$CC$47,$A14,)</f>
        <v>7.3260704921561756E-15</v>
      </c>
      <c r="AO14">
        <f>HLOOKUP(AO$4,Conversion!$C$4:$CC$47,$A14,)</f>
        <v>7.3260704921561756E-15</v>
      </c>
      <c r="AP14">
        <f>HLOOKUP(AP$4,Conversion!$C$4:$CC$47,$A14,)</f>
        <v>7.3260704921561756E-15</v>
      </c>
      <c r="AQ14">
        <f>HLOOKUP(AQ$4,Conversion!$C$4:$CC$47,$A14,)</f>
        <v>5.8551743635283428E-14</v>
      </c>
      <c r="AR14">
        <f>HLOOKUP(AR$4,Conversion!$C$4:$CC$47,$A14,)</f>
        <v>5.8551743635283428E-14</v>
      </c>
      <c r="AS14">
        <f>HLOOKUP(AS$4,Conversion!$C$4:$CC$47,$A14,)</f>
        <v>3.4510307445712957E-18</v>
      </c>
      <c r="AT14">
        <f>HLOOKUP(AT$4,Conversion!$C$4:$CC$47,$A14,)</f>
        <v>7.6558715678362067E-17</v>
      </c>
      <c r="AU14">
        <f>HLOOKUP(AU$4,Conversion!$C$4:$CC$47,$A14,)</f>
        <v>4.974809565281562E-15</v>
      </c>
      <c r="AV14">
        <f>HLOOKUP(AV$4,Conversion!$C$4:$CC$47,$A14,)</f>
        <v>0</v>
      </c>
      <c r="AW14">
        <f>HLOOKUP(AW$4,Conversion!$C$4:$CC$47,$A14,)</f>
        <v>4.9722843319648641E-18</v>
      </c>
      <c r="AX14">
        <f>HLOOKUP(AX$4,Conversion!$C$4:$CC$47,$A14,)</f>
        <v>5.4836962044467812E-18</v>
      </c>
      <c r="AY14">
        <f>HLOOKUP(AY$4,Conversion!$C$4:$CC$47,$A14,)</f>
        <v>3.9019639120915443E-18</v>
      </c>
      <c r="AZ14">
        <f>HLOOKUP(AZ$4,Conversion!$C$4:$CC$47,$A14,)</f>
        <v>1.4544902011837527E-15</v>
      </c>
      <c r="BA14">
        <f>HLOOKUP(BA$4,Conversion!$C$4:$CC$47,$A14,)</f>
        <v>1.6642554260103821E-15</v>
      </c>
      <c r="BB14">
        <f>HLOOKUP(BB$4,Conversion!$C$4:$CC$47,$A14,)</f>
        <v>2.1469787570476003E-17</v>
      </c>
      <c r="BC14">
        <f>HLOOKUP(BC$4,Conversion!$C$4:$CC$47,$A14,)</f>
        <v>2.761387348740195E-17</v>
      </c>
      <c r="BD14">
        <f>HLOOKUP(BD$4,Conversion!$C$4:$CC$47,$A14,)</f>
        <v>2.761387348740195E-17</v>
      </c>
      <c r="BE14">
        <f>HLOOKUP(BE$4,Conversion!$C$4:$CC$47,$A14,)</f>
        <v>2.6571546970592597E-14</v>
      </c>
      <c r="BF14">
        <f>HLOOKUP(BF$4,Conversion!$C$4:$CC$47,$A14,)</f>
        <v>4.7222696598031956E-16</v>
      </c>
      <c r="BG14">
        <f>HLOOKUP(BG$4,Conversion!$C$4:$CC$47,$A14,)</f>
        <v>4.4266021104324598E-17</v>
      </c>
      <c r="BH14">
        <f>HLOOKUP(BH$4,Conversion!$C$4:$CC$47,$A14,)</f>
        <v>2.389803560607286E-17</v>
      </c>
      <c r="BI14">
        <f>HLOOKUP(BI$4,Conversion!$C$4:$CC$47,$A14,)</f>
        <v>2.389803560607286E-17</v>
      </c>
      <c r="BJ14">
        <f>HLOOKUP(BJ$4,Conversion!$C$4:$CC$47,$A14,)</f>
        <v>2.389803560607286E-17</v>
      </c>
      <c r="BK14">
        <f>HLOOKUP(BK$4,Conversion!$C$4:$CC$47,$A14,)</f>
        <v>1.7027202427306545E-16</v>
      </c>
      <c r="BL14">
        <f>HLOOKUP(BL$4,Conversion!$C$4:$CC$47,$A14,)</f>
        <v>1.3181653438459373E-16</v>
      </c>
      <c r="BM14">
        <f>HLOOKUP(BM$4,Conversion!$C$4:$CC$47,$A14,)</f>
        <v>1.3608545818931712E-16</v>
      </c>
      <c r="BN14">
        <f>HLOOKUP(BN$4,Conversion!$C$4:$CC$47,$A14,)</f>
        <v>1.3610891343889838E-16</v>
      </c>
      <c r="BO14">
        <f>HLOOKUP(BO$4,Conversion!$C$4:$CC$47,$A14,)</f>
        <v>1.4219281599621045E-14</v>
      </c>
      <c r="BP14">
        <f>HLOOKUP(BP$4,Conversion!$C$4:$CC$47,$A14,)</f>
        <v>1.4219281599621045E-14</v>
      </c>
      <c r="BQ14">
        <f>HLOOKUP(BQ$4,Conversion!$C$4:$CC$47,$A14,)</f>
        <v>0</v>
      </c>
      <c r="BR14">
        <f>HLOOKUP(BR$4,Conversion!$C$4:$CC$47,$A14,)</f>
        <v>2.9630444841323655E-15</v>
      </c>
      <c r="BS14">
        <f>HLOOKUP(BS$4,Conversion!$C$4:$CC$47,$A14,)</f>
        <v>1.3301603674707298E-14</v>
      </c>
      <c r="BT14">
        <f>HLOOKUP(BT$4,Conversion!$C$4:$CC$47,$A14,)</f>
        <v>5.1504239794208235E-14</v>
      </c>
      <c r="BU14">
        <f>HLOOKUP(BU$4,Conversion!$C$4:$CC$47,$A14,)</f>
        <v>1.9493339522720064E-14</v>
      </c>
      <c r="BV14">
        <f>HLOOKUP(BV$4,Conversion!$C$4:$CC$47,$A14,)</f>
        <v>1.0419188510570342E-15</v>
      </c>
      <c r="BW14">
        <f>HLOOKUP(BW$4,Conversion!$C$4:$CC$47,$A14,)</f>
        <v>1.4260339772883811E-15</v>
      </c>
      <c r="BX14">
        <f>HLOOKUP(BX$4,Conversion!$C$4:$CC$47,$A14,)</f>
        <v>1.4260339772883811E-15</v>
      </c>
      <c r="BY14">
        <f>HLOOKUP(BY$4,Conversion!$C$4:$CC$47,$A14,)</f>
        <v>2.7210173926521434E-17</v>
      </c>
      <c r="BZ14">
        <f>HLOOKUP(BZ$4,Conversion!$C$4:$CC$47,$A14,)</f>
        <v>2.0167624614167077E-18</v>
      </c>
      <c r="CA14">
        <f>HLOOKUP(CA$4,Conversion!$C$4:$CC$47,$A14,)</f>
        <v>5.3092335532625626E-18</v>
      </c>
      <c r="CB14">
        <f>HLOOKUP(CB$4,Conversion!$C$4:$CC$47,$A14,)</f>
        <v>4.3542259983323511E-18</v>
      </c>
      <c r="CC14">
        <f>HLOOKUP(CC$4,Conversion!$C$4:$CC$47,$A14,)</f>
        <v>5.5684870836767225E-16</v>
      </c>
    </row>
    <row r="15" spans="1:81" x14ac:dyDescent="0.15">
      <c r="A15">
        <v>12</v>
      </c>
      <c r="B15" t="s">
        <v>4</v>
      </c>
      <c r="C15">
        <f>HLOOKUP($C$4,Conversion!$C$4:$CC$47,$A15,)</f>
        <v>5.8705502694681625E-16</v>
      </c>
      <c r="D15">
        <f>HLOOKUP($D$4,Conversion!$C$4:$CC$47,$A15,)</f>
        <v>1.2436647988493321E-15</v>
      </c>
      <c r="E15">
        <f>HLOOKUP($E$4,Conversion!$C$4:$CC$47,$A15,)</f>
        <v>1.3894624669157391E-14</v>
      </c>
      <c r="F15">
        <f>HLOOKUP($F$4,Conversion!$C$4:$CC$47,$A15,)</f>
        <v>4.2407655921913109E-15</v>
      </c>
      <c r="G15">
        <f>HLOOKUP($G$4,Conversion!$C$4:$CC$47,$A15,)</f>
        <v>1.5735782354039873E-16</v>
      </c>
      <c r="H15">
        <f>HLOOKUP($H$4,Conversion!$C$4:$CC$47,$A15,)</f>
        <v>2.2618658465137722E-15</v>
      </c>
      <c r="I15">
        <f>HLOOKUP($I$4,Conversion!$C$4:$CC$47,$A15,)</f>
        <v>4.7740381641876717E-12</v>
      </c>
      <c r="J15">
        <f>HLOOKUP($J$4,Conversion!$C$4:$CC$47,$A15,)</f>
        <v>5.8660486782429907E-12</v>
      </c>
      <c r="K15">
        <f>HLOOKUP($K$4,Conversion!$C$4:$CC$47,$A15,)</f>
        <v>4.8982155835893348E-12</v>
      </c>
      <c r="L15">
        <f>HLOOKUP($L$4,Conversion!$C$4:$CC$47,$A15,)</f>
        <v>5.0024073165151391E-14</v>
      </c>
      <c r="M15">
        <f>HLOOKUP($M$4,Conversion!$C$4:$CC$47,$A15,)</f>
        <v>1.4032279744865861E-14</v>
      </c>
      <c r="N15">
        <f>HLOOKUP($N$4,Conversion!$C$4:$CC$47,$A15,)</f>
        <v>1.4032279744865861E-14</v>
      </c>
      <c r="O15">
        <f>HLOOKUP($O$4,Conversion!$C$4:$CC$47,$A15,)</f>
        <v>7.5197356508139331E-16</v>
      </c>
      <c r="P15">
        <f>HLOOKUP($P$4,Conversion!$C$4:$CC$47,$A15,)</f>
        <v>1.9299236504365053E-16</v>
      </c>
      <c r="Q15">
        <f>HLOOKUP($Q$4,Conversion!$C$4:$CC$47,$A15,)</f>
        <v>9.8042575663076917E-16</v>
      </c>
      <c r="R15">
        <f>HLOOKUP($R$4,Conversion!$C$4:$CC$47,$A15,)</f>
        <v>9.8042575663076917E-16</v>
      </c>
      <c r="S15">
        <f>HLOOKUP($S$4,Conversion!$C$4:$CC$47,$A15,)</f>
        <v>2.8074740637151549E-16</v>
      </c>
      <c r="T15">
        <f>HLOOKUP($T$4,Conversion!$C$4:$CC$47,$A15,)</f>
        <v>6.9394619528152864E-16</v>
      </c>
      <c r="U15">
        <f>HLOOKUP($U$4,Conversion!$C$4:$CC$47,$A15,)</f>
        <v>6.9394619528152864E-16</v>
      </c>
      <c r="V15">
        <f>HLOOKUP($V$4,Conversion!$C$4:$CC$47,$A15,)</f>
        <v>6.9394619528152864E-16</v>
      </c>
      <c r="W15">
        <f>HLOOKUP($W$4,Conversion!$C$4:$CC$47,$A15,)</f>
        <v>6.9394619528152864E-16</v>
      </c>
      <c r="X15">
        <f>HLOOKUP($X$4,Conversion!$C$4:$CC$47,$A15,)</f>
        <v>6.9394619528152864E-16</v>
      </c>
      <c r="Y15">
        <f>HLOOKUP($Y$4,Conversion!$C$4:$CC$47,$A15,)</f>
        <v>2.1251869064627577E-16</v>
      </c>
      <c r="Z15">
        <f>HLOOKUP($Z$4,Conversion!$C$4:$CC$47,$A15,)</f>
        <v>9.7049609085633376E-16</v>
      </c>
      <c r="AA15">
        <f>HLOOKUP($AA$4,Conversion!$C$4:$CC$47,$A15,)</f>
        <v>9.8579656787250051E-16</v>
      </c>
      <c r="AB15">
        <f>HLOOKUP($AB$4,Conversion!$C$4:$CC$47,$A15,)</f>
        <v>1.6807677809918968E-14</v>
      </c>
      <c r="AC15">
        <f>HLOOKUP($AC$4,Conversion!$C$4:$CC$47,$A15,)</f>
        <v>5.9423511671075587E-16</v>
      </c>
      <c r="AD15">
        <f>HLOOKUP($AD$4,Conversion!$C$4:$CC$47,$A15,)</f>
        <v>1.1101401735835336E-16</v>
      </c>
      <c r="AE15">
        <f>HLOOKUP($AE$4,Conversion!$C$4:$CC$47,$A15,)</f>
        <v>1.0756972490024203E-16</v>
      </c>
      <c r="AF15">
        <f>HLOOKUP($AF$4,Conversion!$C$4:$CC$47,$A15,)</f>
        <v>1.0756972490024203E-16</v>
      </c>
      <c r="AG15">
        <f>HLOOKUP(AG$4,Conversion!$C$4:$CC$47,$A15,)</f>
        <v>1.595384661757226E-15</v>
      </c>
      <c r="AH15">
        <f>HLOOKUP(AH$4,Conversion!$C$4:$CC$47,$A15,)</f>
        <v>9.3103709882881434E-14</v>
      </c>
      <c r="AI15">
        <f>HLOOKUP(AI$4,Conversion!$C$4:$CC$47,$A15,)</f>
        <v>1.475974608152217E-14</v>
      </c>
      <c r="AJ15">
        <f>HLOOKUP(AJ$4,Conversion!$C$4:$CC$47,$A15,)</f>
        <v>9.7229035396807409E-16</v>
      </c>
      <c r="AK15">
        <f>HLOOKUP(AK$4,Conversion!$C$4:$CC$47,$A15,)</f>
        <v>3.0422994327216418E-15</v>
      </c>
      <c r="AL15">
        <f>HLOOKUP(AL$4,Conversion!$C$4:$CC$47,$A15,)</f>
        <v>1.0090032528060481E-13</v>
      </c>
      <c r="AM15">
        <f>HLOOKUP(AM$4,Conversion!$C$4:$CC$47,$A15,)</f>
        <v>6.4752583088004421E-16</v>
      </c>
      <c r="AN15">
        <f>HLOOKUP(AN$4,Conversion!$C$4:$CC$47,$A15,)</f>
        <v>1.9291194878055917E-14</v>
      </c>
      <c r="AO15">
        <f>HLOOKUP(AO$4,Conversion!$C$4:$CC$47,$A15,)</f>
        <v>1.9291194878055917E-14</v>
      </c>
      <c r="AP15">
        <f>HLOOKUP(AP$4,Conversion!$C$4:$CC$47,$A15,)</f>
        <v>1.9291194878055917E-14</v>
      </c>
      <c r="AQ15">
        <f>HLOOKUP(AQ$4,Conversion!$C$4:$CC$47,$A15,)</f>
        <v>5.96792326551757E-16</v>
      </c>
      <c r="AR15">
        <f>HLOOKUP(AR$4,Conversion!$C$4:$CC$47,$A15,)</f>
        <v>5.96792326551757E-16</v>
      </c>
      <c r="AS15">
        <f>HLOOKUP(AS$4,Conversion!$C$4:$CC$47,$A15,)</f>
        <v>2.3370239779461615E-17</v>
      </c>
      <c r="AT15">
        <f>HLOOKUP(AT$4,Conversion!$C$4:$CC$47,$A15,)</f>
        <v>6.0089860569326962E-16</v>
      </c>
      <c r="AU15">
        <f>HLOOKUP(AU$4,Conversion!$C$4:$CC$47,$A15,)</f>
        <v>2.6501711762297424E-16</v>
      </c>
      <c r="AV15">
        <f>HLOOKUP(AV$4,Conversion!$C$4:$CC$47,$A15,)</f>
        <v>0</v>
      </c>
      <c r="AW15">
        <f>HLOOKUP(AW$4,Conversion!$C$4:$CC$47,$A15,)</f>
        <v>3.1614697368031806E-17</v>
      </c>
      <c r="AX15">
        <f>HLOOKUP(AX$4,Conversion!$C$4:$CC$47,$A15,)</f>
        <v>2.5099816101897559E-17</v>
      </c>
      <c r="AY15">
        <f>HLOOKUP(AY$4,Conversion!$C$4:$CC$47,$A15,)</f>
        <v>2.5099816101897559E-17</v>
      </c>
      <c r="AZ15">
        <f>HLOOKUP(AZ$4,Conversion!$C$4:$CC$47,$A15,)</f>
        <v>2.2802679592398484E-15</v>
      </c>
      <c r="BA15">
        <f>HLOOKUP(BA$4,Conversion!$C$4:$CC$47,$A15,)</f>
        <v>5.8948138727728803E-14</v>
      </c>
      <c r="BB15">
        <f>HLOOKUP(BB$4,Conversion!$C$4:$CC$47,$A15,)</f>
        <v>1.4748948624641014E-16</v>
      </c>
      <c r="BC15">
        <f>HLOOKUP(BC$4,Conversion!$C$4:$CC$47,$A15,)</f>
        <v>1.4299910678134813E-16</v>
      </c>
      <c r="BD15">
        <f>HLOOKUP(BD$4,Conversion!$C$4:$CC$47,$A15,)</f>
        <v>1.4299910678134813E-16</v>
      </c>
      <c r="BE15">
        <f>HLOOKUP(BE$4,Conversion!$C$4:$CC$47,$A15,)</f>
        <v>5.7309676360494285E-16</v>
      </c>
      <c r="BF15">
        <f>HLOOKUP(BF$4,Conversion!$C$4:$CC$47,$A15,)</f>
        <v>4.1507915522333198E-16</v>
      </c>
      <c r="BG15">
        <f>HLOOKUP(BG$4,Conversion!$C$4:$CC$47,$A15,)</f>
        <v>2.5983210529740154E-16</v>
      </c>
      <c r="BH15">
        <f>HLOOKUP(BH$4,Conversion!$C$4:$CC$47,$A15,)</f>
        <v>2.1581898217705207E-16</v>
      </c>
      <c r="BI15">
        <f>HLOOKUP(BI$4,Conversion!$C$4:$CC$47,$A15,)</f>
        <v>2.1581898217705207E-16</v>
      </c>
      <c r="BJ15">
        <f>HLOOKUP(BJ$4,Conversion!$C$4:$CC$47,$A15,)</f>
        <v>2.1581898217705207E-16</v>
      </c>
      <c r="BK15">
        <f>HLOOKUP(BK$4,Conversion!$C$4:$CC$47,$A15,)</f>
        <v>1.7177828907684213E-15</v>
      </c>
      <c r="BL15">
        <f>HLOOKUP(BL$4,Conversion!$C$4:$CC$47,$A15,)</f>
        <v>1.3217154051870574E-15</v>
      </c>
      <c r="BM15">
        <f>HLOOKUP(BM$4,Conversion!$C$4:$CC$47,$A15,)</f>
        <v>1.0570004115807719E-15</v>
      </c>
      <c r="BN15">
        <f>HLOOKUP(BN$4,Conversion!$C$4:$CC$47,$A15,)</f>
        <v>1.0570004115807719E-15</v>
      </c>
      <c r="BO15">
        <f>HLOOKUP(BO$4,Conversion!$C$4:$CC$47,$A15,)</f>
        <v>4.8547186108094478E-16</v>
      </c>
      <c r="BP15">
        <f>HLOOKUP(BP$4,Conversion!$C$4:$CC$47,$A15,)</f>
        <v>4.8547186108094478E-16</v>
      </c>
      <c r="BQ15">
        <f>HLOOKUP(BQ$4,Conversion!$C$4:$CC$47,$A15,)</f>
        <v>0</v>
      </c>
      <c r="BR15">
        <f>HLOOKUP(BR$4,Conversion!$C$4:$CC$47,$A15,)</f>
        <v>7.9552848570776144E-15</v>
      </c>
      <c r="BS15">
        <f>HLOOKUP(BS$4,Conversion!$C$4:$CC$47,$A15,)</f>
        <v>2.7684059756220601E-15</v>
      </c>
      <c r="BT15">
        <f>HLOOKUP(BT$4,Conversion!$C$4:$CC$47,$A15,)</f>
        <v>6.2822058110977255E-16</v>
      </c>
      <c r="BU15">
        <f>HLOOKUP(BU$4,Conversion!$C$4:$CC$47,$A15,)</f>
        <v>5.0723675140698857E-16</v>
      </c>
      <c r="BV15">
        <f>HLOOKUP(BV$4,Conversion!$C$4:$CC$47,$A15,)</f>
        <v>1.2245144344130798E-15</v>
      </c>
      <c r="BW15">
        <f>HLOOKUP(BW$4,Conversion!$C$4:$CC$47,$A15,)</f>
        <v>7.7256760532956507E-16</v>
      </c>
      <c r="BX15">
        <f>HLOOKUP(BX$4,Conversion!$C$4:$CC$47,$A15,)</f>
        <v>7.7256760532956507E-16</v>
      </c>
      <c r="BY15">
        <f>HLOOKUP(BY$4,Conversion!$C$4:$CC$47,$A15,)</f>
        <v>2.1976731088859219E-16</v>
      </c>
      <c r="BZ15">
        <f>HLOOKUP(BZ$4,Conversion!$C$4:$CC$47,$A15,)</f>
        <v>2.6215916325624027E-17</v>
      </c>
      <c r="CA15">
        <f>HLOOKUP(CA$4,Conversion!$C$4:$CC$47,$A15,)</f>
        <v>2.4259515603013651E-17</v>
      </c>
      <c r="CB15">
        <f>HLOOKUP(CB$4,Conversion!$C$4:$CC$47,$A15,)</f>
        <v>2.0175746467975534E-17</v>
      </c>
      <c r="CC15">
        <f>HLOOKUP(CC$4,Conversion!$C$4:$CC$47,$A15,)</f>
        <v>5.7148728070048644E-16</v>
      </c>
    </row>
    <row r="16" spans="1:81" x14ac:dyDescent="0.15">
      <c r="A16">
        <v>13</v>
      </c>
      <c r="B16" t="s">
        <v>5</v>
      </c>
      <c r="C16">
        <f>HLOOKUP($C$4,Conversion!$C$4:$CC$47,$A16,)</f>
        <v>5.8705502694681625E-16</v>
      </c>
      <c r="D16">
        <f>HLOOKUP($D$4,Conversion!$C$4:$CC$47,$A16,)</f>
        <v>1.2436647988493321E-15</v>
      </c>
      <c r="E16">
        <f>HLOOKUP($E$4,Conversion!$C$4:$CC$47,$A16,)</f>
        <v>1.3794572159976154E-14</v>
      </c>
      <c r="F16">
        <f>HLOOKUP($F$4,Conversion!$C$4:$CC$47,$A16,)</f>
        <v>4.2407655921913109E-15</v>
      </c>
      <c r="G16">
        <f>HLOOKUP($G$4,Conversion!$C$4:$CC$47,$A16,)</f>
        <v>1.5735782354039873E-16</v>
      </c>
      <c r="H16">
        <f>HLOOKUP($H$4,Conversion!$C$4:$CC$47,$A16,)</f>
        <v>2.2618658465137722E-15</v>
      </c>
      <c r="I16">
        <f>HLOOKUP($I$4,Conversion!$C$4:$CC$47,$A16,)</f>
        <v>5.888104342475699E-12</v>
      </c>
      <c r="J16">
        <f>HLOOKUP($J$4,Conversion!$C$4:$CC$47,$A16,)</f>
        <v>6.2059085202168084E-12</v>
      </c>
      <c r="K16">
        <f>HLOOKUP($K$4,Conversion!$C$4:$CC$47,$A16,)</f>
        <v>4.4847021335154824E-12</v>
      </c>
      <c r="L16">
        <f>HLOOKUP($L$4,Conversion!$C$4:$CC$47,$A16,)</f>
        <v>5.0024073165151391E-14</v>
      </c>
      <c r="M16">
        <f>HLOOKUP($M$4,Conversion!$C$4:$CC$47,$A16,)</f>
        <v>1.4032279744865861E-14</v>
      </c>
      <c r="N16">
        <f>HLOOKUP($N$4,Conversion!$C$4:$CC$47,$A16,)</f>
        <v>1.4032279744865861E-14</v>
      </c>
      <c r="O16">
        <f>HLOOKUP($O$4,Conversion!$C$4:$CC$47,$A16,)</f>
        <v>7.5197356508139331E-16</v>
      </c>
      <c r="P16">
        <f>HLOOKUP($P$4,Conversion!$C$4:$CC$47,$A16,)</f>
        <v>1.9299236504365053E-16</v>
      </c>
      <c r="Q16">
        <f>HLOOKUP($Q$4,Conversion!$C$4:$CC$47,$A16,)</f>
        <v>9.8042575663076917E-16</v>
      </c>
      <c r="R16">
        <f>HLOOKUP($R$4,Conversion!$C$4:$CC$47,$A16,)</f>
        <v>9.8042575663076917E-16</v>
      </c>
      <c r="S16">
        <f>HLOOKUP($S$4,Conversion!$C$4:$CC$47,$A16,)</f>
        <v>2.8074740637151549E-16</v>
      </c>
      <c r="T16">
        <f>HLOOKUP($T$4,Conversion!$C$4:$CC$47,$A16,)</f>
        <v>6.9394619528152864E-16</v>
      </c>
      <c r="U16">
        <f>HLOOKUP($U$4,Conversion!$C$4:$CC$47,$A16,)</f>
        <v>6.9394619528152864E-16</v>
      </c>
      <c r="V16">
        <f>HLOOKUP($V$4,Conversion!$C$4:$CC$47,$A16,)</f>
        <v>6.9394619528152864E-16</v>
      </c>
      <c r="W16">
        <f>HLOOKUP($W$4,Conversion!$C$4:$CC$47,$A16,)</f>
        <v>6.9394619528152864E-16</v>
      </c>
      <c r="X16">
        <f>HLOOKUP($X$4,Conversion!$C$4:$CC$47,$A16,)</f>
        <v>6.9394619528152864E-16</v>
      </c>
      <c r="Y16">
        <f>HLOOKUP($Y$4,Conversion!$C$4:$CC$47,$A16,)</f>
        <v>2.1251869064627577E-16</v>
      </c>
      <c r="Z16">
        <f>HLOOKUP($Z$4,Conversion!$C$4:$CC$47,$A16,)</f>
        <v>9.7049609085633376E-16</v>
      </c>
      <c r="AA16">
        <f>HLOOKUP($AA$4,Conversion!$C$4:$CC$47,$A16,)</f>
        <v>9.8579656787250051E-16</v>
      </c>
      <c r="AB16">
        <f>HLOOKUP($AB$4,Conversion!$C$4:$CC$47,$A16,)</f>
        <v>1.6807677809918968E-14</v>
      </c>
      <c r="AC16">
        <f>HLOOKUP($AC$4,Conversion!$C$4:$CC$47,$A16,)</f>
        <v>5.9423511671075587E-16</v>
      </c>
      <c r="AD16">
        <f>HLOOKUP($AD$4,Conversion!$C$4:$CC$47,$A16,)</f>
        <v>1.1101401735835336E-16</v>
      </c>
      <c r="AE16">
        <f>HLOOKUP($AE$4,Conversion!$C$4:$CC$47,$A16,)</f>
        <v>1.0756972490024203E-16</v>
      </c>
      <c r="AF16">
        <f>HLOOKUP($AF$4,Conversion!$C$4:$CC$47,$A16,)</f>
        <v>1.0756972490024203E-16</v>
      </c>
      <c r="AG16">
        <f>HLOOKUP(AG$4,Conversion!$C$4:$CC$47,$A16,)</f>
        <v>1.595384661757226E-15</v>
      </c>
      <c r="AH16">
        <f>HLOOKUP(AH$4,Conversion!$C$4:$CC$47,$A16,)</f>
        <v>9.2418534954947766E-14</v>
      </c>
      <c r="AI16">
        <f>HLOOKUP(AI$4,Conversion!$C$4:$CC$47,$A16,)</f>
        <v>1.475974608152217E-14</v>
      </c>
      <c r="AJ16">
        <f>HLOOKUP(AJ$4,Conversion!$C$4:$CC$47,$A16,)</f>
        <v>9.7229035396807409E-16</v>
      </c>
      <c r="AK16">
        <f>HLOOKUP(AK$4,Conversion!$C$4:$CC$47,$A16,)</f>
        <v>3.0422994327216418E-15</v>
      </c>
      <c r="AL16">
        <f>HLOOKUP(AL$4,Conversion!$C$4:$CC$47,$A16,)</f>
        <v>1.0090032528060481E-13</v>
      </c>
      <c r="AM16">
        <f>HLOOKUP(AM$4,Conversion!$C$4:$CC$47,$A16,)</f>
        <v>6.4752583088004421E-16</v>
      </c>
      <c r="AN16">
        <f>HLOOKUP(AN$4,Conversion!$C$4:$CC$47,$A16,)</f>
        <v>1.9291194878055917E-14</v>
      </c>
      <c r="AO16">
        <f>HLOOKUP(AO$4,Conversion!$C$4:$CC$47,$A16,)</f>
        <v>1.9291194878055917E-14</v>
      </c>
      <c r="AP16">
        <f>HLOOKUP(AP$4,Conversion!$C$4:$CC$47,$A16,)</f>
        <v>1.9291194878055917E-14</v>
      </c>
      <c r="AQ16">
        <f>HLOOKUP(AQ$4,Conversion!$C$4:$CC$47,$A16,)</f>
        <v>5.96792326551757E-16</v>
      </c>
      <c r="AR16">
        <f>HLOOKUP(AR$4,Conversion!$C$4:$CC$47,$A16,)</f>
        <v>5.96792326551757E-16</v>
      </c>
      <c r="AS16">
        <f>HLOOKUP(AS$4,Conversion!$C$4:$CC$47,$A16,)</f>
        <v>2.3370239779461615E-17</v>
      </c>
      <c r="AT16">
        <f>HLOOKUP(AT$4,Conversion!$C$4:$CC$47,$A16,)</f>
        <v>6.0089860569326962E-16</v>
      </c>
      <c r="AU16">
        <f>HLOOKUP(AU$4,Conversion!$C$4:$CC$47,$A16,)</f>
        <v>2.6501711762297424E-16</v>
      </c>
      <c r="AV16">
        <f>HLOOKUP(AV$4,Conversion!$C$4:$CC$47,$A16,)</f>
        <v>0</v>
      </c>
      <c r="AW16">
        <f>HLOOKUP(AW$4,Conversion!$C$4:$CC$47,$A16,)</f>
        <v>3.1614697368031806E-17</v>
      </c>
      <c r="AX16">
        <f>HLOOKUP(AX$4,Conversion!$C$4:$CC$47,$A16,)</f>
        <v>2.5099816101897559E-17</v>
      </c>
      <c r="AY16">
        <f>HLOOKUP(AY$4,Conversion!$C$4:$CC$47,$A16,)</f>
        <v>2.5099816101897559E-17</v>
      </c>
      <c r="AZ16">
        <f>HLOOKUP(AZ$4,Conversion!$C$4:$CC$47,$A16,)</f>
        <v>2.2802679592398484E-15</v>
      </c>
      <c r="BA16">
        <f>HLOOKUP(BA$4,Conversion!$C$4:$CC$47,$A16,)</f>
        <v>6.442602307882437E-14</v>
      </c>
      <c r="BB16">
        <f>HLOOKUP(BB$4,Conversion!$C$4:$CC$47,$A16,)</f>
        <v>1.4748948624641014E-16</v>
      </c>
      <c r="BC16">
        <f>HLOOKUP(BC$4,Conversion!$C$4:$CC$47,$A16,)</f>
        <v>1.4299910678134813E-16</v>
      </c>
      <c r="BD16">
        <f>HLOOKUP(BD$4,Conversion!$C$4:$CC$47,$A16,)</f>
        <v>1.4299910678134813E-16</v>
      </c>
      <c r="BE16">
        <f>HLOOKUP(BE$4,Conversion!$C$4:$CC$47,$A16,)</f>
        <v>5.7309676360494285E-16</v>
      </c>
      <c r="BF16">
        <f>HLOOKUP(BF$4,Conversion!$C$4:$CC$47,$A16,)</f>
        <v>4.1507915522333198E-16</v>
      </c>
      <c r="BG16">
        <f>HLOOKUP(BG$4,Conversion!$C$4:$CC$47,$A16,)</f>
        <v>2.5983210529740154E-16</v>
      </c>
      <c r="BH16">
        <f>HLOOKUP(BH$4,Conversion!$C$4:$CC$47,$A16,)</f>
        <v>2.1581898217705207E-16</v>
      </c>
      <c r="BI16">
        <f>HLOOKUP(BI$4,Conversion!$C$4:$CC$47,$A16,)</f>
        <v>2.1581898217705207E-16</v>
      </c>
      <c r="BJ16">
        <f>HLOOKUP(BJ$4,Conversion!$C$4:$CC$47,$A16,)</f>
        <v>2.1581898217705207E-16</v>
      </c>
      <c r="BK16">
        <f>HLOOKUP(BK$4,Conversion!$C$4:$CC$47,$A16,)</f>
        <v>1.7177828907684213E-15</v>
      </c>
      <c r="BL16">
        <f>HLOOKUP(BL$4,Conversion!$C$4:$CC$47,$A16,)</f>
        <v>1.3217154051870574E-15</v>
      </c>
      <c r="BM16">
        <f>HLOOKUP(BM$4,Conversion!$C$4:$CC$47,$A16,)</f>
        <v>1.0570004115807719E-15</v>
      </c>
      <c r="BN16">
        <f>HLOOKUP(BN$4,Conversion!$C$4:$CC$47,$A16,)</f>
        <v>1.0570004115807719E-15</v>
      </c>
      <c r="BO16">
        <f>HLOOKUP(BO$4,Conversion!$C$4:$CC$47,$A16,)</f>
        <v>4.8547186108094478E-16</v>
      </c>
      <c r="BP16">
        <f>HLOOKUP(BP$4,Conversion!$C$4:$CC$47,$A16,)</f>
        <v>4.8547186108094478E-16</v>
      </c>
      <c r="BQ16">
        <f>HLOOKUP(BQ$4,Conversion!$C$4:$CC$47,$A16,)</f>
        <v>0</v>
      </c>
      <c r="BR16">
        <f>HLOOKUP(BR$4,Conversion!$C$4:$CC$47,$A16,)</f>
        <v>7.9552848570776144E-15</v>
      </c>
      <c r="BS16">
        <f>HLOOKUP(BS$4,Conversion!$C$4:$CC$47,$A16,)</f>
        <v>2.7684059756220601E-15</v>
      </c>
      <c r="BT16">
        <f>HLOOKUP(BT$4,Conversion!$C$4:$CC$47,$A16,)</f>
        <v>6.2822058110977255E-16</v>
      </c>
      <c r="BU16">
        <f>HLOOKUP(BU$4,Conversion!$C$4:$CC$47,$A16,)</f>
        <v>5.0723675140698857E-16</v>
      </c>
      <c r="BV16">
        <f>HLOOKUP(BV$4,Conversion!$C$4:$CC$47,$A16,)</f>
        <v>1.2245144344130798E-15</v>
      </c>
      <c r="BW16">
        <f>HLOOKUP(BW$4,Conversion!$C$4:$CC$47,$A16,)</f>
        <v>7.7256760532956507E-16</v>
      </c>
      <c r="BX16">
        <f>HLOOKUP(BX$4,Conversion!$C$4:$CC$47,$A16,)</f>
        <v>7.7256760532956507E-16</v>
      </c>
      <c r="BY16">
        <f>HLOOKUP(BY$4,Conversion!$C$4:$CC$47,$A16,)</f>
        <v>2.1976731088859219E-16</v>
      </c>
      <c r="BZ16">
        <f>HLOOKUP(BZ$4,Conversion!$C$4:$CC$47,$A16,)</f>
        <v>2.6215916325624027E-17</v>
      </c>
      <c r="CA16">
        <f>HLOOKUP(CA$4,Conversion!$C$4:$CC$47,$A16,)</f>
        <v>2.4259515603013651E-17</v>
      </c>
      <c r="CB16">
        <f>HLOOKUP(CB$4,Conversion!$C$4:$CC$47,$A16,)</f>
        <v>2.0175746467975534E-17</v>
      </c>
      <c r="CC16">
        <f>HLOOKUP(CC$4,Conversion!$C$4:$CC$47,$A16,)</f>
        <v>5.7148728070048644E-16</v>
      </c>
    </row>
    <row r="17" spans="1:81" x14ac:dyDescent="0.15">
      <c r="A17">
        <v>14</v>
      </c>
      <c r="B17" t="s">
        <v>6</v>
      </c>
      <c r="C17">
        <f>HLOOKUP($C$4,Conversion!$C$4:$CC$47,$A17,)</f>
        <v>5.7556220261119017E-16</v>
      </c>
      <c r="D17">
        <f>HLOOKUP($D$4,Conversion!$C$4:$CC$47,$A17,)</f>
        <v>1.5804595692271874E-15</v>
      </c>
      <c r="E17">
        <f>HLOOKUP($E$4,Conversion!$C$4:$CC$47,$A17,)</f>
        <v>4.0958385377107449E-14</v>
      </c>
      <c r="F17">
        <f>HLOOKUP($F$4,Conversion!$C$4:$CC$47,$A17,)</f>
        <v>4.2407655921913109E-15</v>
      </c>
      <c r="G17">
        <f>HLOOKUP($G$4,Conversion!$C$4:$CC$47,$A17,)</f>
        <v>1.5698003655181449E-16</v>
      </c>
      <c r="H17">
        <f>HLOOKUP($H$4,Conversion!$C$4:$CC$47,$A17,)</f>
        <v>2.8639747786826143E-15</v>
      </c>
      <c r="I17">
        <f>HLOOKUP($I$4,Conversion!$C$4:$CC$47,$A17,)</f>
        <v>9.943214844315238E-15</v>
      </c>
      <c r="J17">
        <f>HLOOKUP($J$4,Conversion!$C$4:$CC$47,$A17,)</f>
        <v>9.943214844315238E-15</v>
      </c>
      <c r="K17">
        <f>HLOOKUP($K$4,Conversion!$C$4:$CC$47,$A17,)</f>
        <v>9.943214844315238E-15</v>
      </c>
      <c r="L17">
        <f>HLOOKUP($L$4,Conversion!$C$4:$CC$47,$A17,)</f>
        <v>7.1450532981663775E-13</v>
      </c>
      <c r="M17">
        <f>HLOOKUP($M$4,Conversion!$C$4:$CC$47,$A17,)</f>
        <v>7.8695231134009772E-13</v>
      </c>
      <c r="N17">
        <f>HLOOKUP($N$4,Conversion!$C$4:$CC$47,$A17,)</f>
        <v>5.9454036317936127E-13</v>
      </c>
      <c r="O17">
        <f>HLOOKUP($O$4,Conversion!$C$4:$CC$47,$A17,)</f>
        <v>7.892598971144359E-16</v>
      </c>
      <c r="P17">
        <f>HLOOKUP($P$4,Conversion!$C$4:$CC$47,$A17,)</f>
        <v>2.2825516852473176E-16</v>
      </c>
      <c r="Q17">
        <f>HLOOKUP($Q$4,Conversion!$C$4:$CC$47,$A17,)</f>
        <v>9.320446862254822E-16</v>
      </c>
      <c r="R17">
        <f>HLOOKUP($R$4,Conversion!$C$4:$CC$47,$A17,)</f>
        <v>9.320446862254822E-16</v>
      </c>
      <c r="S17">
        <f>HLOOKUP($S$4,Conversion!$C$4:$CC$47,$A17,)</f>
        <v>3.1242022252179807E-16</v>
      </c>
      <c r="T17">
        <f>HLOOKUP($T$4,Conversion!$C$4:$CC$47,$A17,)</f>
        <v>6.2615610042067597E-16</v>
      </c>
      <c r="U17">
        <f>HLOOKUP($U$4,Conversion!$C$4:$CC$47,$A17,)</f>
        <v>6.2615610042067597E-16</v>
      </c>
      <c r="V17">
        <f>HLOOKUP($V$4,Conversion!$C$4:$CC$47,$A17,)</f>
        <v>6.2615610042067597E-16</v>
      </c>
      <c r="W17">
        <f>HLOOKUP($W$4,Conversion!$C$4:$CC$47,$A17,)</f>
        <v>6.2615610042067597E-16</v>
      </c>
      <c r="X17">
        <f>HLOOKUP($X$4,Conversion!$C$4:$CC$47,$A17,)</f>
        <v>6.2615610042067597E-16</v>
      </c>
      <c r="Y17">
        <f>HLOOKUP($Y$4,Conversion!$C$4:$CC$47,$A17,)</f>
        <v>2.395387831782751E-16</v>
      </c>
      <c r="Z17">
        <f>HLOOKUP($Z$4,Conversion!$C$4:$CC$47,$A17,)</f>
        <v>1.3001758199742803E-15</v>
      </c>
      <c r="AA17">
        <f>HLOOKUP($AA$4,Conversion!$C$4:$CC$47,$A17,)</f>
        <v>1.2924261277820626E-15</v>
      </c>
      <c r="AB17">
        <f>HLOOKUP($AB$4,Conversion!$C$4:$CC$47,$A17,)</f>
        <v>7.0768810586441159E-15</v>
      </c>
      <c r="AC17">
        <f>HLOOKUP($AC$4,Conversion!$C$4:$CC$47,$A17,)</f>
        <v>8.0257181056412874E-16</v>
      </c>
      <c r="AD17">
        <f>HLOOKUP($AD$4,Conversion!$C$4:$CC$47,$A17,)</f>
        <v>1.4338904901900258E-16</v>
      </c>
      <c r="AE17">
        <f>HLOOKUP($AE$4,Conversion!$C$4:$CC$47,$A17,)</f>
        <v>1.3897802148103569E-16</v>
      </c>
      <c r="AF17">
        <f>HLOOKUP($AF$4,Conversion!$C$4:$CC$47,$A17,)</f>
        <v>1.3897802148103569E-16</v>
      </c>
      <c r="AG17">
        <f>HLOOKUP(AG$4,Conversion!$C$4:$CC$47,$A17,)</f>
        <v>2.4241206079538714E-15</v>
      </c>
      <c r="AH17">
        <f>HLOOKUP(AH$4,Conversion!$C$4:$CC$47,$A17,)</f>
        <v>5.325764679781033E-14</v>
      </c>
      <c r="AI17">
        <f>HLOOKUP(AI$4,Conversion!$C$4:$CC$47,$A17,)</f>
        <v>5.0465439039283606E-14</v>
      </c>
      <c r="AJ17">
        <f>HLOOKUP(AJ$4,Conversion!$C$4:$CC$47,$A17,)</f>
        <v>9.1987540951335181E-16</v>
      </c>
      <c r="AK17">
        <f>HLOOKUP(AK$4,Conversion!$C$4:$CC$47,$A17,)</f>
        <v>1.8414907881299237E-15</v>
      </c>
      <c r="AL17">
        <f>HLOOKUP(AL$4,Conversion!$C$4:$CC$47,$A17,)</f>
        <v>7.7871789878177353E-15</v>
      </c>
      <c r="AM17">
        <f>HLOOKUP(AM$4,Conversion!$C$4:$CC$47,$A17,)</f>
        <v>7.0814683966708715E-16</v>
      </c>
      <c r="AN17">
        <f>HLOOKUP(AN$4,Conversion!$C$4:$CC$47,$A17,)</f>
        <v>5.5237228613051199E-15</v>
      </c>
      <c r="AO17">
        <f>HLOOKUP(AO$4,Conversion!$C$4:$CC$47,$A17,)</f>
        <v>5.5237228613051199E-15</v>
      </c>
      <c r="AP17">
        <f>HLOOKUP(AP$4,Conversion!$C$4:$CC$47,$A17,)</f>
        <v>5.5237228613051199E-15</v>
      </c>
      <c r="AQ17">
        <f>HLOOKUP(AQ$4,Conversion!$C$4:$CC$47,$A17,)</f>
        <v>5.927473152782844E-16</v>
      </c>
      <c r="AR17">
        <f>HLOOKUP(AR$4,Conversion!$C$4:$CC$47,$A17,)</f>
        <v>5.927473152782844E-16</v>
      </c>
      <c r="AS17">
        <f>HLOOKUP(AS$4,Conversion!$C$4:$CC$47,$A17,)</f>
        <v>2.9768314427503977E-17</v>
      </c>
      <c r="AT17">
        <f>HLOOKUP(AT$4,Conversion!$C$4:$CC$47,$A17,)</f>
        <v>7.7186303386596268E-16</v>
      </c>
      <c r="AU17">
        <f>HLOOKUP(AU$4,Conversion!$C$4:$CC$47,$A17,)</f>
        <v>2.5099543131167987E-16</v>
      </c>
      <c r="AV17">
        <f>HLOOKUP(AV$4,Conversion!$C$4:$CC$47,$A17,)</f>
        <v>0</v>
      </c>
      <c r="AW17">
        <f>HLOOKUP(AW$4,Conversion!$C$4:$CC$47,$A17,)</f>
        <v>3.8221031662557731E-17</v>
      </c>
      <c r="AX17">
        <f>HLOOKUP(AX$4,Conversion!$C$4:$CC$47,$A17,)</f>
        <v>3.2740298219088129E-17</v>
      </c>
      <c r="AY17">
        <f>HLOOKUP(AY$4,Conversion!$C$4:$CC$47,$A17,)</f>
        <v>3.2740298219088129E-17</v>
      </c>
      <c r="AZ17">
        <f>HLOOKUP(AZ$4,Conversion!$C$4:$CC$47,$A17,)</f>
        <v>2.0526467281508833E-15</v>
      </c>
      <c r="BA17">
        <f>HLOOKUP(BA$4,Conversion!$C$4:$CC$47,$A17,)</f>
        <v>4.9330717938715491E-14</v>
      </c>
      <c r="BB17">
        <f>HLOOKUP(BB$4,Conversion!$C$4:$CC$47,$A17,)</f>
        <v>1.7569178155954929E-16</v>
      </c>
      <c r="BC17">
        <f>HLOOKUP(BC$4,Conversion!$C$4:$CC$47,$A17,)</f>
        <v>1.7772242427306131E-16</v>
      </c>
      <c r="BD17">
        <f>HLOOKUP(BD$4,Conversion!$C$4:$CC$47,$A17,)</f>
        <v>1.7772242427306131E-16</v>
      </c>
      <c r="BE17">
        <f>HLOOKUP(BE$4,Conversion!$C$4:$CC$47,$A17,)</f>
        <v>5.7020843688742706E-16</v>
      </c>
      <c r="BF17">
        <f>HLOOKUP(BF$4,Conversion!$C$4:$CC$47,$A17,)</f>
        <v>4.6031867528594235E-16</v>
      </c>
      <c r="BG17">
        <f>HLOOKUP(BG$4,Conversion!$C$4:$CC$47,$A17,)</f>
        <v>3.3617487371520976E-16</v>
      </c>
      <c r="BH17">
        <f>HLOOKUP(BH$4,Conversion!$C$4:$CC$47,$A17,)</f>
        <v>2.733887203168604E-16</v>
      </c>
      <c r="BI17">
        <f>HLOOKUP(BI$4,Conversion!$C$4:$CC$47,$A17,)</f>
        <v>2.733887203168604E-16</v>
      </c>
      <c r="BJ17">
        <f>HLOOKUP(BJ$4,Conversion!$C$4:$CC$47,$A17,)</f>
        <v>2.733887203168604E-16</v>
      </c>
      <c r="BK17">
        <f>HLOOKUP(BK$4,Conversion!$C$4:$CC$47,$A17,)</f>
        <v>2.8099114922911436E-15</v>
      </c>
      <c r="BL17">
        <f>HLOOKUP(BL$4,Conversion!$C$4:$CC$47,$A17,)</f>
        <v>1.953525426052772E-15</v>
      </c>
      <c r="BM17">
        <f>HLOOKUP(BM$4,Conversion!$C$4:$CC$47,$A17,)</f>
        <v>1.6368127496160864E-15</v>
      </c>
      <c r="BN17">
        <f>HLOOKUP(BN$4,Conversion!$C$4:$CC$47,$A17,)</f>
        <v>1.6368127496160864E-15</v>
      </c>
      <c r="BO17">
        <f>HLOOKUP(BO$4,Conversion!$C$4:$CC$47,$A17,)</f>
        <v>5.1081143554568304E-16</v>
      </c>
      <c r="BP17">
        <f>HLOOKUP(BP$4,Conversion!$C$4:$CC$47,$A17,)</f>
        <v>5.1081143554568304E-16</v>
      </c>
      <c r="BQ17">
        <f>HLOOKUP(BQ$4,Conversion!$C$4:$CC$47,$A17,)</f>
        <v>0</v>
      </c>
      <c r="BR17">
        <f>HLOOKUP(BR$4,Conversion!$C$4:$CC$47,$A17,)</f>
        <v>5.7168600016208847E-15</v>
      </c>
      <c r="BS17">
        <f>HLOOKUP(BS$4,Conversion!$C$4:$CC$47,$A17,)</f>
        <v>2.5456544503318393E-15</v>
      </c>
      <c r="BT17">
        <f>HLOOKUP(BT$4,Conversion!$C$4:$CC$47,$A17,)</f>
        <v>6.1125125837183615E-16</v>
      </c>
      <c r="BU17">
        <f>HLOOKUP(BU$4,Conversion!$C$4:$CC$47,$A17,)</f>
        <v>4.9521009242398881E-16</v>
      </c>
      <c r="BV17">
        <f>HLOOKUP(BV$4,Conversion!$C$4:$CC$47,$A17,)</f>
        <v>1.1334117052163866E-15</v>
      </c>
      <c r="BW17">
        <f>HLOOKUP(BW$4,Conversion!$C$4:$CC$47,$A17,)</f>
        <v>7.3607436003276973E-16</v>
      </c>
      <c r="BX17">
        <f>HLOOKUP(BX$4,Conversion!$C$4:$CC$47,$A17,)</f>
        <v>7.3607436003276973E-16</v>
      </c>
      <c r="BY17">
        <f>HLOOKUP(BY$4,Conversion!$C$4:$CC$47,$A17,)</f>
        <v>2.6531846668627456E-16</v>
      </c>
      <c r="BZ17">
        <f>HLOOKUP(BZ$4,Conversion!$C$4:$CC$47,$A17,)</f>
        <v>3.1197615603598097E-17</v>
      </c>
      <c r="CA17">
        <f>HLOOKUP(CA$4,Conversion!$C$4:$CC$47,$A17,)</f>
        <v>2.850963537528214E-17</v>
      </c>
      <c r="CB17">
        <f>HLOOKUP(CB$4,Conversion!$C$4:$CC$47,$A17,)</f>
        <v>2.9408901925417414E-17</v>
      </c>
      <c r="CC17">
        <f>HLOOKUP(CC$4,Conversion!$C$4:$CC$47,$A17,)</f>
        <v>5.4261559093825423E-16</v>
      </c>
    </row>
    <row r="18" spans="1:81" x14ac:dyDescent="0.15">
      <c r="A18">
        <v>15</v>
      </c>
      <c r="B18" t="s">
        <v>1</v>
      </c>
      <c r="C18">
        <f>HLOOKUP($C$4,Conversion!$C$4:$CC$47,$A18,)</f>
        <v>5.7556220261119017E-16</v>
      </c>
      <c r="D18">
        <f>HLOOKUP($D$4,Conversion!$C$4:$CC$47,$A18,)</f>
        <v>1.5804595692271874E-15</v>
      </c>
      <c r="E18">
        <f>HLOOKUP($E$4,Conversion!$C$4:$CC$47,$A18,)</f>
        <v>5.204157233700536E-14</v>
      </c>
      <c r="F18">
        <f>HLOOKUP($F$4,Conversion!$C$4:$CC$47,$A18,)</f>
        <v>8.0617603769603732E-15</v>
      </c>
      <c r="G18">
        <f>HLOOKUP($G$4,Conversion!$C$4:$CC$47,$A18,)</f>
        <v>1.5698003655181449E-16</v>
      </c>
      <c r="H18">
        <f>HLOOKUP($H$4,Conversion!$C$4:$CC$47,$A18,)</f>
        <v>2.8639747786826143E-15</v>
      </c>
      <c r="I18">
        <f>HLOOKUP($I$4,Conversion!$C$4:$CC$47,$A18,)</f>
        <v>9.943214844315238E-15</v>
      </c>
      <c r="J18">
        <f>HLOOKUP($J$4,Conversion!$C$4:$CC$47,$A18,)</f>
        <v>9.943214844315238E-15</v>
      </c>
      <c r="K18">
        <f>HLOOKUP($K$4,Conversion!$C$4:$CC$47,$A18,)</f>
        <v>9.943214844315238E-15</v>
      </c>
      <c r="L18">
        <f>HLOOKUP($L$4,Conversion!$C$4:$CC$47,$A18,)</f>
        <v>5.0024073165151391E-14</v>
      </c>
      <c r="M18">
        <f>HLOOKUP($M$4,Conversion!$C$4:$CC$47,$A18,)</f>
        <v>5.0024073165151391E-14</v>
      </c>
      <c r="N18">
        <f>HLOOKUP($N$4,Conversion!$C$4:$CC$47,$A18,)</f>
        <v>5.0024073165151391E-14</v>
      </c>
      <c r="O18">
        <f>HLOOKUP($O$4,Conversion!$C$4:$CC$47,$A18,)</f>
        <v>7.892598971144359E-16</v>
      </c>
      <c r="P18">
        <f>HLOOKUP($P$4,Conversion!$C$4:$CC$47,$A18,)</f>
        <v>2.2825516852473176E-16</v>
      </c>
      <c r="Q18">
        <f>HLOOKUP($Q$4,Conversion!$C$4:$CC$47,$A18,)</f>
        <v>9.320446862254822E-16</v>
      </c>
      <c r="R18">
        <f>HLOOKUP($R$4,Conversion!$C$4:$CC$47,$A18,)</f>
        <v>9.320446862254822E-16</v>
      </c>
      <c r="S18">
        <f>HLOOKUP($S$4,Conversion!$C$4:$CC$47,$A18,)</f>
        <v>3.1242022252179807E-16</v>
      </c>
      <c r="T18">
        <f>HLOOKUP($T$4,Conversion!$C$4:$CC$47,$A18,)</f>
        <v>6.2615610042067597E-16</v>
      </c>
      <c r="U18">
        <f>HLOOKUP($U$4,Conversion!$C$4:$CC$47,$A18,)</f>
        <v>6.2615610042067597E-16</v>
      </c>
      <c r="V18">
        <f>HLOOKUP($V$4,Conversion!$C$4:$CC$47,$A18,)</f>
        <v>6.2615610042067597E-16</v>
      </c>
      <c r="W18">
        <f>HLOOKUP($W$4,Conversion!$C$4:$CC$47,$A18,)</f>
        <v>6.2615610042067597E-16</v>
      </c>
      <c r="X18">
        <f>HLOOKUP($X$4,Conversion!$C$4:$CC$47,$A18,)</f>
        <v>6.2615610042067597E-16</v>
      </c>
      <c r="Y18">
        <f>HLOOKUP($Y$4,Conversion!$C$4:$CC$47,$A18,)</f>
        <v>2.395387831782751E-16</v>
      </c>
      <c r="Z18">
        <f>HLOOKUP($Z$4,Conversion!$C$4:$CC$47,$A18,)</f>
        <v>1.3001758199742803E-15</v>
      </c>
      <c r="AA18">
        <f>HLOOKUP($AA$4,Conversion!$C$4:$CC$47,$A18,)</f>
        <v>1.2924261277820626E-15</v>
      </c>
      <c r="AB18">
        <f>HLOOKUP($AB$4,Conversion!$C$4:$CC$47,$A18,)</f>
        <v>7.0768810586441159E-15</v>
      </c>
      <c r="AC18">
        <f>HLOOKUP($AC$4,Conversion!$C$4:$CC$47,$A18,)</f>
        <v>8.0257181056412874E-16</v>
      </c>
      <c r="AD18">
        <f>HLOOKUP($AD$4,Conversion!$C$4:$CC$47,$A18,)</f>
        <v>1.4338904901900258E-16</v>
      </c>
      <c r="AE18">
        <f>HLOOKUP($AE$4,Conversion!$C$4:$CC$47,$A18,)</f>
        <v>1.3897802148103569E-16</v>
      </c>
      <c r="AF18">
        <f>HLOOKUP($AF$4,Conversion!$C$4:$CC$47,$A18,)</f>
        <v>1.3897802148103569E-16</v>
      </c>
      <c r="AG18">
        <f>HLOOKUP(AG$4,Conversion!$C$4:$CC$47,$A18,)</f>
        <v>2.4241206079538714E-15</v>
      </c>
      <c r="AH18">
        <f>HLOOKUP(AH$4,Conversion!$C$4:$CC$47,$A18,)</f>
        <v>5.0603931711092232E-14</v>
      </c>
      <c r="AI18">
        <f>HLOOKUP(AI$4,Conversion!$C$4:$CC$47,$A18,)</f>
        <v>5.0465439039283606E-14</v>
      </c>
      <c r="AJ18">
        <f>HLOOKUP(AJ$4,Conversion!$C$4:$CC$47,$A18,)</f>
        <v>9.1987540951335181E-16</v>
      </c>
      <c r="AK18">
        <f>HLOOKUP(AK$4,Conversion!$C$4:$CC$47,$A18,)</f>
        <v>1.8414907881299237E-15</v>
      </c>
      <c r="AL18">
        <f>HLOOKUP(AL$4,Conversion!$C$4:$CC$47,$A18,)</f>
        <v>7.7871789878177353E-15</v>
      </c>
      <c r="AM18">
        <f>HLOOKUP(AM$4,Conversion!$C$4:$CC$47,$A18,)</f>
        <v>7.0814683966708715E-16</v>
      </c>
      <c r="AN18">
        <f>HLOOKUP(AN$4,Conversion!$C$4:$CC$47,$A18,)</f>
        <v>5.5237228613051199E-15</v>
      </c>
      <c r="AO18">
        <f>HLOOKUP(AO$4,Conversion!$C$4:$CC$47,$A18,)</f>
        <v>5.5237228613051199E-15</v>
      </c>
      <c r="AP18">
        <f>HLOOKUP(AP$4,Conversion!$C$4:$CC$47,$A18,)</f>
        <v>5.5237228613051199E-15</v>
      </c>
      <c r="AQ18">
        <f>HLOOKUP(AQ$4,Conversion!$C$4:$CC$47,$A18,)</f>
        <v>5.927473152782844E-16</v>
      </c>
      <c r="AR18">
        <f>HLOOKUP(AR$4,Conversion!$C$4:$CC$47,$A18,)</f>
        <v>5.927473152782844E-16</v>
      </c>
      <c r="AS18">
        <f>HLOOKUP(AS$4,Conversion!$C$4:$CC$47,$A18,)</f>
        <v>2.9768314427503977E-17</v>
      </c>
      <c r="AT18">
        <f>HLOOKUP(AT$4,Conversion!$C$4:$CC$47,$A18,)</f>
        <v>7.7186303386596268E-16</v>
      </c>
      <c r="AU18">
        <f>HLOOKUP(AU$4,Conversion!$C$4:$CC$47,$A18,)</f>
        <v>2.5099543131167987E-16</v>
      </c>
      <c r="AV18">
        <f>HLOOKUP(AV$4,Conversion!$C$4:$CC$47,$A18,)</f>
        <v>0</v>
      </c>
      <c r="AW18">
        <f>HLOOKUP(AW$4,Conversion!$C$4:$CC$47,$A18,)</f>
        <v>3.8221031662557731E-17</v>
      </c>
      <c r="AX18">
        <f>HLOOKUP(AX$4,Conversion!$C$4:$CC$47,$A18,)</f>
        <v>3.2740298219088129E-17</v>
      </c>
      <c r="AY18">
        <f>HLOOKUP(AY$4,Conversion!$C$4:$CC$47,$A18,)</f>
        <v>3.2740298219088129E-17</v>
      </c>
      <c r="AZ18">
        <f>HLOOKUP(AZ$4,Conversion!$C$4:$CC$47,$A18,)</f>
        <v>2.0526467281508833E-15</v>
      </c>
      <c r="BA18">
        <f>HLOOKUP(BA$4,Conversion!$C$4:$CC$47,$A18,)</f>
        <v>5.1100829499941741E-14</v>
      </c>
      <c r="BB18">
        <f>HLOOKUP(BB$4,Conversion!$C$4:$CC$47,$A18,)</f>
        <v>1.7569178155954929E-16</v>
      </c>
      <c r="BC18">
        <f>HLOOKUP(BC$4,Conversion!$C$4:$CC$47,$A18,)</f>
        <v>1.7772242427306131E-16</v>
      </c>
      <c r="BD18">
        <f>HLOOKUP(BD$4,Conversion!$C$4:$CC$47,$A18,)</f>
        <v>1.7772242427306131E-16</v>
      </c>
      <c r="BE18">
        <f>HLOOKUP(BE$4,Conversion!$C$4:$CC$47,$A18,)</f>
        <v>5.7020843688742706E-16</v>
      </c>
      <c r="BF18">
        <f>HLOOKUP(BF$4,Conversion!$C$4:$CC$47,$A18,)</f>
        <v>4.6031867528594235E-16</v>
      </c>
      <c r="BG18">
        <f>HLOOKUP(BG$4,Conversion!$C$4:$CC$47,$A18,)</f>
        <v>3.3617487371520976E-16</v>
      </c>
      <c r="BH18">
        <f>HLOOKUP(BH$4,Conversion!$C$4:$CC$47,$A18,)</f>
        <v>2.733887203168604E-16</v>
      </c>
      <c r="BI18">
        <f>HLOOKUP(BI$4,Conversion!$C$4:$CC$47,$A18,)</f>
        <v>2.733887203168604E-16</v>
      </c>
      <c r="BJ18">
        <f>HLOOKUP(BJ$4,Conversion!$C$4:$CC$47,$A18,)</f>
        <v>2.733887203168604E-16</v>
      </c>
      <c r="BK18">
        <f>HLOOKUP(BK$4,Conversion!$C$4:$CC$47,$A18,)</f>
        <v>2.8099114922911436E-15</v>
      </c>
      <c r="BL18">
        <f>HLOOKUP(BL$4,Conversion!$C$4:$CC$47,$A18,)</f>
        <v>1.953525426052772E-15</v>
      </c>
      <c r="BM18">
        <f>HLOOKUP(BM$4,Conversion!$C$4:$CC$47,$A18,)</f>
        <v>1.6368127496160864E-15</v>
      </c>
      <c r="BN18">
        <f>HLOOKUP(BN$4,Conversion!$C$4:$CC$47,$A18,)</f>
        <v>1.6368127496160864E-15</v>
      </c>
      <c r="BO18">
        <f>HLOOKUP(BO$4,Conversion!$C$4:$CC$47,$A18,)</f>
        <v>5.1081143554568304E-16</v>
      </c>
      <c r="BP18">
        <f>HLOOKUP(BP$4,Conversion!$C$4:$CC$47,$A18,)</f>
        <v>5.1081143554568304E-16</v>
      </c>
      <c r="BQ18">
        <f>HLOOKUP(BQ$4,Conversion!$C$4:$CC$47,$A18,)</f>
        <v>0</v>
      </c>
      <c r="BR18">
        <f>HLOOKUP(BR$4,Conversion!$C$4:$CC$47,$A18,)</f>
        <v>5.7168600016208847E-15</v>
      </c>
      <c r="BS18">
        <f>HLOOKUP(BS$4,Conversion!$C$4:$CC$47,$A18,)</f>
        <v>2.5456544503318393E-15</v>
      </c>
      <c r="BT18">
        <f>HLOOKUP(BT$4,Conversion!$C$4:$CC$47,$A18,)</f>
        <v>6.1125125837183615E-16</v>
      </c>
      <c r="BU18">
        <f>HLOOKUP(BU$4,Conversion!$C$4:$CC$47,$A18,)</f>
        <v>4.9521009242398881E-16</v>
      </c>
      <c r="BV18">
        <f>HLOOKUP(BV$4,Conversion!$C$4:$CC$47,$A18,)</f>
        <v>1.1334117052163866E-15</v>
      </c>
      <c r="BW18">
        <f>HLOOKUP(BW$4,Conversion!$C$4:$CC$47,$A18,)</f>
        <v>7.3607436003276973E-16</v>
      </c>
      <c r="BX18">
        <f>HLOOKUP(BX$4,Conversion!$C$4:$CC$47,$A18,)</f>
        <v>7.3607436003276973E-16</v>
      </c>
      <c r="BY18">
        <f>HLOOKUP(BY$4,Conversion!$C$4:$CC$47,$A18,)</f>
        <v>2.6531846668627456E-16</v>
      </c>
      <c r="BZ18">
        <f>HLOOKUP(BZ$4,Conversion!$C$4:$CC$47,$A18,)</f>
        <v>3.1197615603598097E-17</v>
      </c>
      <c r="CA18">
        <f>HLOOKUP(CA$4,Conversion!$C$4:$CC$47,$A18,)</f>
        <v>2.850963537528214E-17</v>
      </c>
      <c r="CB18">
        <f>HLOOKUP(CB$4,Conversion!$C$4:$CC$47,$A18,)</f>
        <v>2.9408901925417414E-17</v>
      </c>
      <c r="CC18">
        <f>HLOOKUP(CC$4,Conversion!$C$4:$CC$47,$A18,)</f>
        <v>5.4261559093825423E-16</v>
      </c>
    </row>
    <row r="19" spans="1:81" x14ac:dyDescent="0.15">
      <c r="A19">
        <v>16</v>
      </c>
      <c r="B19" t="s">
        <v>18</v>
      </c>
      <c r="C19">
        <f>HLOOKUP($C$4,Conversion!$C$4:$CC$47,$A19,)</f>
        <v>7.0006325047122851E-16</v>
      </c>
      <c r="D19">
        <f>HLOOKUP($D$4,Conversion!$C$4:$CC$47,$A19,)</f>
        <v>7.1394001662074808E-16</v>
      </c>
      <c r="E19">
        <f>HLOOKUP($E$4,Conversion!$C$4:$CC$47,$A19,)</f>
        <v>7.6767801747527884E-15</v>
      </c>
      <c r="F19">
        <f>HLOOKUP($F$4,Conversion!$C$4:$CC$47,$A19,)</f>
        <v>2.6732980366581152E-15</v>
      </c>
      <c r="G19">
        <f>HLOOKUP($G$4,Conversion!$C$4:$CC$47,$A19,)</f>
        <v>3.9425125958618183E-16</v>
      </c>
      <c r="H19">
        <f>HLOOKUP($H$4,Conversion!$C$4:$CC$47,$A19,)</f>
        <v>1.8184208243784406E-15</v>
      </c>
      <c r="I19">
        <f>HLOOKUP($I$4,Conversion!$C$4:$CC$47,$A19,)</f>
        <v>1.6380199159331288E-13</v>
      </c>
      <c r="J19">
        <f>HLOOKUP($J$4,Conversion!$C$4:$CC$47,$A19,)</f>
        <v>1.6380199159331288E-13</v>
      </c>
      <c r="K19">
        <f>HLOOKUP($K$4,Conversion!$C$4:$CC$47,$A19,)</f>
        <v>1.6380199159331288E-13</v>
      </c>
      <c r="L19">
        <f>HLOOKUP($L$4,Conversion!$C$4:$CC$47,$A19,)</f>
        <v>7.6767801747527884E-15</v>
      </c>
      <c r="M19">
        <f>HLOOKUP($M$4,Conversion!$C$4:$CC$47,$A19,)</f>
        <v>7.6767801747527884E-15</v>
      </c>
      <c r="N19">
        <f>HLOOKUP($N$4,Conversion!$C$4:$CC$47,$A19,)</f>
        <v>7.6767801747527884E-15</v>
      </c>
      <c r="O19">
        <f>HLOOKUP($O$4,Conversion!$C$4:$CC$47,$A19,)</f>
        <v>1.1811883605249635E-15</v>
      </c>
      <c r="P19">
        <f>HLOOKUP($P$4,Conversion!$C$4:$CC$47,$A19,)</f>
        <v>1.3992686419037259E-16</v>
      </c>
      <c r="Q19">
        <f>HLOOKUP($Q$4,Conversion!$C$4:$CC$47,$A19,)</f>
        <v>1.0103660336036639E-15</v>
      </c>
      <c r="R19">
        <f>HLOOKUP($R$4,Conversion!$C$4:$CC$47,$A19,)</f>
        <v>1.0103660336036639E-15</v>
      </c>
      <c r="S19">
        <f>HLOOKUP($S$4,Conversion!$C$4:$CC$47,$A19,)</f>
        <v>6.910400278947653E-16</v>
      </c>
      <c r="T19">
        <f>HLOOKUP($T$4,Conversion!$C$4:$CC$47,$A19,)</f>
        <v>9.0158151545075448E-15</v>
      </c>
      <c r="U19">
        <f>HLOOKUP($U$4,Conversion!$C$4:$CC$47,$A19,)</f>
        <v>9.0158151545075448E-15</v>
      </c>
      <c r="V19">
        <f>HLOOKUP($V$4,Conversion!$C$4:$CC$47,$A19,)</f>
        <v>9.0158151545075448E-15</v>
      </c>
      <c r="W19">
        <f>HLOOKUP($W$4,Conversion!$C$4:$CC$47,$A19,)</f>
        <v>9.0158151545075448E-15</v>
      </c>
      <c r="X19">
        <f>HLOOKUP($X$4,Conversion!$C$4:$CC$47,$A19,)</f>
        <v>9.0158151545075448E-15</v>
      </c>
      <c r="Y19">
        <f>HLOOKUP($Y$4,Conversion!$C$4:$CC$47,$A19,)</f>
        <v>4.4062852010240124E-16</v>
      </c>
      <c r="Z19">
        <f>HLOOKUP($Z$4,Conversion!$C$4:$CC$47,$A19,)</f>
        <v>6.2010883899399798E-16</v>
      </c>
      <c r="AA19">
        <f>HLOOKUP($AA$4,Conversion!$C$4:$CC$47,$A19,)</f>
        <v>6.0553655071383452E-16</v>
      </c>
      <c r="AB19">
        <f>HLOOKUP($AB$4,Conversion!$C$4:$CC$47,$A19,)</f>
        <v>1.0402896856959549E-14</v>
      </c>
      <c r="AC19">
        <f>HLOOKUP($AC$4,Conversion!$C$4:$CC$47,$A19,)</f>
        <v>3.9054112741346085E-16</v>
      </c>
      <c r="AD19">
        <f>HLOOKUP($AD$4,Conversion!$C$4:$CC$47,$A19,)</f>
        <v>6.9612090764097555E-17</v>
      </c>
      <c r="AE19">
        <f>HLOOKUP($AE$4,Conversion!$C$4:$CC$47,$A19,)</f>
        <v>5.7150302931979131E-17</v>
      </c>
      <c r="AF19">
        <f>HLOOKUP($AF$4,Conversion!$C$4:$CC$47,$A19,)</f>
        <v>5.7150302931979131E-17</v>
      </c>
      <c r="AG19">
        <f>HLOOKUP(AG$4,Conversion!$C$4:$CC$47,$A19,)</f>
        <v>9.92593205911657E-16</v>
      </c>
      <c r="AH19">
        <f>HLOOKUP(AH$4,Conversion!$C$4:$CC$47,$A19,)</f>
        <v>1.2881805197479093E-14</v>
      </c>
      <c r="AI19">
        <f>HLOOKUP(AI$4,Conversion!$C$4:$CC$47,$A19,)</f>
        <v>7.7751131045896358E-15</v>
      </c>
      <c r="AJ19">
        <f>HLOOKUP(AJ$4,Conversion!$C$4:$CC$47,$A19,)</f>
        <v>1.0014403719848932E-14</v>
      </c>
      <c r="AK19">
        <f>HLOOKUP(AK$4,Conversion!$C$4:$CC$47,$A19,)</f>
        <v>3.4379877223849948E-15</v>
      </c>
      <c r="AL19">
        <f>HLOOKUP(AL$4,Conversion!$C$4:$CC$47,$A19,)</f>
        <v>2.830065598690856E-12</v>
      </c>
      <c r="AM19">
        <f>HLOOKUP(AM$4,Conversion!$C$4:$CC$47,$A19,)</f>
        <v>7.2709365729448574E-16</v>
      </c>
      <c r="AN19">
        <f>HLOOKUP(AN$4,Conversion!$C$4:$CC$47,$A19,)</f>
        <v>3.1843431656269051E-14</v>
      </c>
      <c r="AO19">
        <f>HLOOKUP(AO$4,Conversion!$C$4:$CC$47,$A19,)</f>
        <v>3.1843431656269051E-14</v>
      </c>
      <c r="AP19">
        <f>HLOOKUP(AP$4,Conversion!$C$4:$CC$47,$A19,)</f>
        <v>3.1843431656269051E-14</v>
      </c>
      <c r="AQ19">
        <f>HLOOKUP(AQ$4,Conversion!$C$4:$CC$47,$A19,)</f>
        <v>2.4917246377025832E-15</v>
      </c>
      <c r="AR19">
        <f>HLOOKUP(AR$4,Conversion!$C$4:$CC$47,$A19,)</f>
        <v>2.4916378378138014E-15</v>
      </c>
      <c r="AS19">
        <f>HLOOKUP(AS$4,Conversion!$C$4:$CC$47,$A19,)</f>
        <v>1.3821413132668921E-17</v>
      </c>
      <c r="AT19">
        <f>HLOOKUP(AT$4,Conversion!$C$4:$CC$47,$A19,)</f>
        <v>3.3841608698939962E-16</v>
      </c>
      <c r="AU19">
        <f>HLOOKUP(AU$4,Conversion!$C$4:$CC$47,$A19,)</f>
        <v>8.1115366255215732E-16</v>
      </c>
      <c r="AV19">
        <f>HLOOKUP(AV$4,Conversion!$C$4:$CC$47,$A19,)</f>
        <v>0</v>
      </c>
      <c r="AW19">
        <f>HLOOKUP(AW$4,Conversion!$C$4:$CC$47,$A19,)</f>
        <v>1.5326222265476096E-17</v>
      </c>
      <c r="AX19">
        <f>HLOOKUP(AX$4,Conversion!$C$4:$CC$47,$A19,)</f>
        <v>1.489908522952024E-17</v>
      </c>
      <c r="AY19">
        <f>HLOOKUP(AY$4,Conversion!$C$4:$CC$47,$A19,)</f>
        <v>1.6751828184307184E-17</v>
      </c>
      <c r="AZ19">
        <f>HLOOKUP(AZ$4,Conversion!$C$4:$CC$47,$A19,)</f>
        <v>2.245461436897112E-15</v>
      </c>
      <c r="BA19">
        <f>HLOOKUP(BA$4,Conversion!$C$4:$CC$47,$A19,)</f>
        <v>9.2623477707996162E-15</v>
      </c>
      <c r="BB19">
        <f>HLOOKUP(BB$4,Conversion!$C$4:$CC$47,$A19,)</f>
        <v>9.0129975151850105E-17</v>
      </c>
      <c r="BC19">
        <f>HLOOKUP(BC$4,Conversion!$C$4:$CC$47,$A19,)</f>
        <v>8.926311063610476E-17</v>
      </c>
      <c r="BD19">
        <f>HLOOKUP(BD$4,Conversion!$C$4:$CC$47,$A19,)</f>
        <v>8.9274181748526546E-17</v>
      </c>
      <c r="BE19">
        <f>HLOOKUP(BE$4,Conversion!$C$4:$CC$47,$A19,)</f>
        <v>2.3788460390939048E-15</v>
      </c>
      <c r="BF19">
        <f>HLOOKUP(BF$4,Conversion!$C$4:$CC$47,$A19,)</f>
        <v>4.3434153730830522E-16</v>
      </c>
      <c r="BG19">
        <f>HLOOKUP(BG$4,Conversion!$C$4:$CC$47,$A19,)</f>
        <v>1.4384183604134065E-16</v>
      </c>
      <c r="BH19">
        <f>HLOOKUP(BH$4,Conversion!$C$4:$CC$47,$A19,)</f>
        <v>1.218133940134225E-16</v>
      </c>
      <c r="BI19">
        <f>HLOOKUP(BI$4,Conversion!$C$4:$CC$47,$A19,)</f>
        <v>1.218133940134225E-16</v>
      </c>
      <c r="BJ19">
        <f>HLOOKUP(BJ$4,Conversion!$C$4:$CC$47,$A19,)</f>
        <v>1.218133940134225E-16</v>
      </c>
      <c r="BK19">
        <f>HLOOKUP(BK$4,Conversion!$C$4:$CC$47,$A19,)</f>
        <v>8.8132526332617603E-16</v>
      </c>
      <c r="BL19">
        <f>HLOOKUP(BL$4,Conversion!$C$4:$CC$47,$A19,)</f>
        <v>6.8186774178073328E-16</v>
      </c>
      <c r="BM19">
        <f>HLOOKUP(BM$4,Conversion!$C$4:$CC$47,$A19,)</f>
        <v>5.6868051535226456E-16</v>
      </c>
      <c r="BN19">
        <f>HLOOKUP(BN$4,Conversion!$C$4:$CC$47,$A19,)</f>
        <v>5.6864273415645102E-16</v>
      </c>
      <c r="BO19">
        <f>HLOOKUP(BO$4,Conversion!$C$4:$CC$47,$A19,)</f>
        <v>1.5722824877191879E-15</v>
      </c>
      <c r="BP19">
        <f>HLOOKUP(BP$4,Conversion!$C$4:$CC$47,$A19,)</f>
        <v>1.5722824877191879E-15</v>
      </c>
      <c r="BQ19">
        <f>HLOOKUP(BQ$4,Conversion!$C$4:$CC$47,$A19,)</f>
        <v>0</v>
      </c>
      <c r="BR19">
        <f>HLOOKUP(BR$4,Conversion!$C$4:$CC$47,$A19,)</f>
        <v>1.9570473711829924E-14</v>
      </c>
      <c r="BS19">
        <f>HLOOKUP(BS$4,Conversion!$C$4:$CC$47,$A19,)</f>
        <v>5.4405300342472684E-14</v>
      </c>
      <c r="BT19">
        <f>HLOOKUP(BT$4,Conversion!$C$4:$CC$47,$A19,)</f>
        <v>2.6570561333359809E-15</v>
      </c>
      <c r="BU19">
        <f>HLOOKUP(BU$4,Conversion!$C$4:$CC$47,$A19,)</f>
        <v>1.8643218062735942E-15</v>
      </c>
      <c r="BV19">
        <f>HLOOKUP(BV$4,Conversion!$C$4:$CC$47,$A19,)</f>
        <v>1.3151966636635653E-15</v>
      </c>
      <c r="BW19">
        <f>HLOOKUP(BW$4,Conversion!$C$4:$CC$47,$A19,)</f>
        <v>9.2108853463511832E-16</v>
      </c>
      <c r="BX19">
        <f>HLOOKUP(BX$4,Conversion!$C$4:$CC$47,$A19,)</f>
        <v>9.2108853463511832E-16</v>
      </c>
      <c r="BY19">
        <f>HLOOKUP(BY$4,Conversion!$C$4:$CC$47,$A19,)</f>
        <v>1.163981033134442E-16</v>
      </c>
      <c r="BZ19">
        <f>HLOOKUP(BZ$4,Conversion!$C$4:$CC$47,$A19,)</f>
        <v>8.8422461749619452E-18</v>
      </c>
      <c r="CA19">
        <f>HLOOKUP(CA$4,Conversion!$C$4:$CC$47,$A19,)</f>
        <v>1.3803925086582944E-17</v>
      </c>
      <c r="CB19">
        <f>HLOOKUP(CB$4,Conversion!$C$4:$CC$47,$A19,)</f>
        <v>1.7060263682715196E-17</v>
      </c>
      <c r="CC19">
        <f>HLOOKUP(CC$4,Conversion!$C$4:$CC$47,$A19,)</f>
        <v>5.8250020533334546E-16</v>
      </c>
    </row>
    <row r="20" spans="1:81" x14ac:dyDescent="0.15">
      <c r="A20">
        <v>17</v>
      </c>
      <c r="B20" t="s">
        <v>27</v>
      </c>
      <c r="C20">
        <f>HLOOKUP($C$4,Conversion!$C$4:$CC$47,$A20,)</f>
        <v>6.8089792844615756E-16</v>
      </c>
      <c r="D20">
        <f>HLOOKUP($D$4,Conversion!$C$4:$CC$47,$A20,)</f>
        <v>3.0005176900607112E-15</v>
      </c>
      <c r="E20">
        <f>HLOOKUP($E$4,Conversion!$C$4:$CC$47,$A20,)</f>
        <v>2.0651380387407293E-15</v>
      </c>
      <c r="F20">
        <f>HLOOKUP($F$4,Conversion!$C$4:$CC$47,$A20,)</f>
        <v>6.5391044312220024E-15</v>
      </c>
      <c r="G20">
        <f>HLOOKUP($G$4,Conversion!$C$4:$CC$47,$A20,)</f>
        <v>9.4805968587298377E-16</v>
      </c>
      <c r="H20">
        <f>HLOOKUP($H$4,Conversion!$C$4:$CC$47,$A20,)</f>
        <v>8.5928435452252975E-16</v>
      </c>
      <c r="I20">
        <f>HLOOKUP($I$4,Conversion!$C$4:$CC$47,$A20,)</f>
        <v>2.3158583956084413E-15</v>
      </c>
      <c r="J20">
        <f>HLOOKUP($J$4,Conversion!$C$4:$CC$47,$A20,)</f>
        <v>2.3158583956084413E-15</v>
      </c>
      <c r="K20">
        <f>HLOOKUP($K$4,Conversion!$C$4:$CC$47,$A20,)</f>
        <v>2.3158583956084413E-15</v>
      </c>
      <c r="L20">
        <f>HLOOKUP($L$4,Conversion!$C$4:$CC$47,$A20,)</f>
        <v>2.0651380387407293E-15</v>
      </c>
      <c r="M20">
        <f>HLOOKUP($M$4,Conversion!$C$4:$CC$47,$A20,)</f>
        <v>2.0651380387407293E-15</v>
      </c>
      <c r="N20">
        <f>HLOOKUP($N$4,Conversion!$C$4:$CC$47,$A20,)</f>
        <v>2.0651380387407293E-15</v>
      </c>
      <c r="O20">
        <f>HLOOKUP($O$4,Conversion!$C$4:$CC$47,$A20,)</f>
        <v>4.5619106406593472E-15</v>
      </c>
      <c r="P20">
        <f>HLOOKUP($P$4,Conversion!$C$4:$CC$47,$A20,)</f>
        <v>2.1448361997591292E-16</v>
      </c>
      <c r="Q20">
        <f>HLOOKUP($Q$4,Conversion!$C$4:$CC$47,$A20,)</f>
        <v>2.3197203944184124E-15</v>
      </c>
      <c r="R20">
        <f>HLOOKUP($R$4,Conversion!$C$4:$CC$47,$A20,)</f>
        <v>1.970204848879432E-15</v>
      </c>
      <c r="S20">
        <f>HLOOKUP($S$4,Conversion!$C$4:$CC$47,$A20,)</f>
        <v>6.2999967906469164E-16</v>
      </c>
      <c r="T20">
        <f>HLOOKUP($T$4,Conversion!$C$4:$CC$47,$A20,)</f>
        <v>1.6978523469148054E-15</v>
      </c>
      <c r="U20">
        <f>HLOOKUP($U$4,Conversion!$C$4:$CC$47,$A20,)</f>
        <v>1.6978523469148054E-15</v>
      </c>
      <c r="V20">
        <f>HLOOKUP($V$4,Conversion!$C$4:$CC$47,$A20,)</f>
        <v>1.6978523469148054E-15</v>
      </c>
      <c r="W20">
        <f>HLOOKUP($W$4,Conversion!$C$4:$CC$47,$A20,)</f>
        <v>1.6978523469148054E-15</v>
      </c>
      <c r="X20">
        <f>HLOOKUP($X$4,Conversion!$C$4:$CC$47,$A20,)</f>
        <v>1.6978523469148054E-15</v>
      </c>
      <c r="Y20">
        <f>HLOOKUP($Y$4,Conversion!$C$4:$CC$47,$A20,)</f>
        <v>5.8111024335299465E-16</v>
      </c>
      <c r="Z20">
        <f>HLOOKUP($Z$4,Conversion!$C$4:$CC$47,$A20,)</f>
        <v>2.1175528527514283E-15</v>
      </c>
      <c r="AA20">
        <f>HLOOKUP($AA$4,Conversion!$C$4:$CC$47,$A20,)</f>
        <v>2.1122920636272861E-15</v>
      </c>
      <c r="AB20">
        <f>HLOOKUP($AB$4,Conversion!$C$4:$CC$47,$A20,)</f>
        <v>1.8283182793559716E-15</v>
      </c>
      <c r="AC20">
        <f>HLOOKUP($AC$4,Conversion!$C$4:$CC$47,$A20,)</f>
        <v>1.7084868356459129E-15</v>
      </c>
      <c r="AD20">
        <f>HLOOKUP($AD$4,Conversion!$C$4:$CC$47,$A20,)</f>
        <v>1.3842481478266666E-15</v>
      </c>
      <c r="AE20">
        <f>HLOOKUP($AE$4,Conversion!$C$4:$CC$47,$A20,)</f>
        <v>1.4165479162292325E-15</v>
      </c>
      <c r="AF20">
        <f>HLOOKUP($AF$4,Conversion!$C$4:$CC$47,$A20,)</f>
        <v>1.4165479162292325E-15</v>
      </c>
      <c r="AG20">
        <f>HLOOKUP(AG$4,Conversion!$C$4:$CC$47,$A20,)</f>
        <v>1.5514976820926112E-15</v>
      </c>
      <c r="AH20">
        <f>HLOOKUP(AH$4,Conversion!$C$4:$CC$47,$A20,)</f>
        <v>2.0735008372955921E-15</v>
      </c>
      <c r="AI20">
        <f>HLOOKUP(AI$4,Conversion!$C$4:$CC$47,$A20,)</f>
        <v>2.0528096797797362E-15</v>
      </c>
      <c r="AJ20">
        <f>HLOOKUP(AJ$4,Conversion!$C$4:$CC$47,$A20,)</f>
        <v>1.5128829308803537E-15</v>
      </c>
      <c r="AK20">
        <f>HLOOKUP(AK$4,Conversion!$C$4:$CC$47,$A20,)</f>
        <v>1.7260877224958727E-15</v>
      </c>
      <c r="AL20">
        <f>HLOOKUP(AL$4,Conversion!$C$4:$CC$47,$A20,)</f>
        <v>2.2779464405853211E-15</v>
      </c>
      <c r="AM20">
        <f>HLOOKUP(AM$4,Conversion!$C$4:$CC$47,$A20,)</f>
        <v>9.652147277270885E-16</v>
      </c>
      <c r="AN20">
        <f>HLOOKUP(AN$4,Conversion!$C$4:$CC$47,$A20,)</f>
        <v>3.0294157835201859E-15</v>
      </c>
      <c r="AO20">
        <f>HLOOKUP(AO$4,Conversion!$C$4:$CC$47,$A20,)</f>
        <v>3.0294157835201859E-15</v>
      </c>
      <c r="AP20">
        <f>HLOOKUP(AP$4,Conversion!$C$4:$CC$47,$A20,)</f>
        <v>3.0294157835201859E-15</v>
      </c>
      <c r="AQ20">
        <f>HLOOKUP(AQ$4,Conversion!$C$4:$CC$47,$A20,)</f>
        <v>1.3031648270064231E-15</v>
      </c>
      <c r="AR20">
        <f>HLOOKUP(AR$4,Conversion!$C$4:$CC$47,$A20,)</f>
        <v>1.3031648270064231E-15</v>
      </c>
      <c r="AS20">
        <f>HLOOKUP(AS$4,Conversion!$C$4:$CC$47,$A20,)</f>
        <v>1.8331685143086593E-15</v>
      </c>
      <c r="AT20">
        <f>HLOOKUP(AT$4,Conversion!$C$4:$CC$47,$A20,)</f>
        <v>1.6052602421713597E-15</v>
      </c>
      <c r="AU20">
        <f>HLOOKUP(AU$4,Conversion!$C$4:$CC$47,$A20,)</f>
        <v>1.4530003509650913E-15</v>
      </c>
      <c r="AV20">
        <f>HLOOKUP(AV$4,Conversion!$C$4:$CC$47,$A20,)</f>
        <v>0</v>
      </c>
      <c r="AW20">
        <f>HLOOKUP(AW$4,Conversion!$C$4:$CC$47,$A20,)</f>
        <v>1.9029940400893119E-15</v>
      </c>
      <c r="AX20">
        <f>HLOOKUP(AX$4,Conversion!$C$4:$CC$47,$A20,)</f>
        <v>1.734657307858939E-15</v>
      </c>
      <c r="AY20">
        <f>HLOOKUP(AY$4,Conversion!$C$4:$CC$47,$A20,)</f>
        <v>1.734657307858939E-15</v>
      </c>
      <c r="AZ20">
        <f>HLOOKUP(AZ$4,Conversion!$C$4:$CC$47,$A20,)</f>
        <v>2.2108406635233027E-14</v>
      </c>
      <c r="BA20">
        <f>HLOOKUP(BA$4,Conversion!$C$4:$CC$47,$A20,)</f>
        <v>2.063575463198048E-15</v>
      </c>
      <c r="BB20">
        <f>HLOOKUP(BB$4,Conversion!$C$4:$CC$47,$A20,)</f>
        <v>1.4281646256983224E-15</v>
      </c>
      <c r="BC20">
        <f>HLOOKUP(BC$4,Conversion!$C$4:$CC$47,$A20,)</f>
        <v>1.4418634726314066E-15</v>
      </c>
      <c r="BD20">
        <f>HLOOKUP(BD$4,Conversion!$C$4:$CC$47,$A20,)</f>
        <v>1.4418634726314066E-15</v>
      </c>
      <c r="BE20">
        <f>HLOOKUP(BE$4,Conversion!$C$4:$CC$47,$A20,)</f>
        <v>1.2029528326056263E-15</v>
      </c>
      <c r="BF20">
        <f>HLOOKUP(BF$4,Conversion!$C$4:$CC$47,$A20,)</f>
        <v>4.0743591024541721E-16</v>
      </c>
      <c r="BG20">
        <f>HLOOKUP(BG$4,Conversion!$C$4:$CC$47,$A20,)</f>
        <v>1.6427246507312156E-15</v>
      </c>
      <c r="BH20">
        <f>HLOOKUP(BH$4,Conversion!$C$4:$CC$47,$A20,)</f>
        <v>1.8799211327184263E-15</v>
      </c>
      <c r="BI20">
        <f>HLOOKUP(BI$4,Conversion!$C$4:$CC$47,$A20,)</f>
        <v>1.8799211327184263E-15</v>
      </c>
      <c r="BJ20">
        <f>HLOOKUP(BJ$4,Conversion!$C$4:$CC$47,$A20,)</f>
        <v>1.8799211327184263E-15</v>
      </c>
      <c r="BK20">
        <f>HLOOKUP(BK$4,Conversion!$C$4:$CC$47,$A20,)</f>
        <v>1.5561997893841254E-15</v>
      </c>
      <c r="BL20">
        <f>HLOOKUP(BL$4,Conversion!$C$4:$CC$47,$A20,)</f>
        <v>1.1973381456757444E-15</v>
      </c>
      <c r="BM20">
        <f>HLOOKUP(BM$4,Conversion!$C$4:$CC$47,$A20,)</f>
        <v>1.1753679436724094E-15</v>
      </c>
      <c r="BN20">
        <f>HLOOKUP(BN$4,Conversion!$C$4:$CC$47,$A20,)</f>
        <v>1.1753679436724094E-15</v>
      </c>
      <c r="BO20">
        <f>HLOOKUP(BO$4,Conversion!$C$4:$CC$47,$A20,)</f>
        <v>1.2540954079730407E-15</v>
      </c>
      <c r="BP20">
        <f>HLOOKUP(BP$4,Conversion!$C$4:$CC$47,$A20,)</f>
        <v>1.2540954079730407E-15</v>
      </c>
      <c r="BQ20">
        <f>HLOOKUP(BQ$4,Conversion!$C$4:$CC$47,$A20,)</f>
        <v>0</v>
      </c>
      <c r="BR20">
        <f>HLOOKUP(BR$4,Conversion!$C$4:$CC$47,$A20,)</f>
        <v>2.5940496442461129E-15</v>
      </c>
      <c r="BS20">
        <f>HLOOKUP(BS$4,Conversion!$C$4:$CC$47,$A20,)</f>
        <v>1.779144060549773E-15</v>
      </c>
      <c r="BT20">
        <f>HLOOKUP(BT$4,Conversion!$C$4:$CC$47,$A20,)</f>
        <v>1.3371063045148971E-15</v>
      </c>
      <c r="BU20">
        <f>HLOOKUP(BU$4,Conversion!$C$4:$CC$47,$A20,)</f>
        <v>1.3498097415131062E-15</v>
      </c>
      <c r="BV20">
        <f>HLOOKUP(BV$4,Conversion!$C$4:$CC$47,$A20,)</f>
        <v>1.1309044836324867E-14</v>
      </c>
      <c r="BW20">
        <f>HLOOKUP(BW$4,Conversion!$C$4:$CC$47,$A20,)</f>
        <v>9.9111289328721629E-15</v>
      </c>
      <c r="BX20">
        <f>HLOOKUP(BX$4,Conversion!$C$4:$CC$47,$A20,)</f>
        <v>8.7033960762147418E-15</v>
      </c>
      <c r="BY20">
        <f>HLOOKUP(BY$4,Conversion!$C$4:$CC$47,$A20,)</f>
        <v>3.3230043942864952E-15</v>
      </c>
      <c r="BZ20">
        <f>HLOOKUP(BZ$4,Conversion!$C$4:$CC$47,$A20,)</f>
        <v>1.4830748243003671E-15</v>
      </c>
      <c r="CA20">
        <f>HLOOKUP(CA$4,Conversion!$C$4:$CC$47,$A20,)</f>
        <v>1.6415153320676959E-15</v>
      </c>
      <c r="CB20">
        <f>HLOOKUP(CB$4,Conversion!$C$4:$CC$47,$A20,)</f>
        <v>1.7148038623032361E-15</v>
      </c>
      <c r="CC20">
        <f>HLOOKUP(CC$4,Conversion!$C$4:$CC$47,$A20,)</f>
        <v>7.9020913747328613E-15</v>
      </c>
    </row>
    <row r="21" spans="1:81" x14ac:dyDescent="0.15">
      <c r="A21">
        <v>18</v>
      </c>
      <c r="B21" t="s">
        <v>7</v>
      </c>
      <c r="C21">
        <f>HLOOKUP($C$4,Conversion!$C$4:$CC$47,$A21,)</f>
        <v>5.7219533999558165E-16</v>
      </c>
      <c r="D21">
        <f>HLOOKUP($D$4,Conversion!$C$4:$CC$47,$A21,)</f>
        <v>1.0821732179141622E-15</v>
      </c>
      <c r="E21">
        <f>HLOOKUP($E$4,Conversion!$C$4:$CC$47,$A21,)</f>
        <v>7.8762516320231135E-16</v>
      </c>
      <c r="F21">
        <f>HLOOKUP($F$4,Conversion!$C$4:$CC$47,$A21,)</f>
        <v>2.5352451863521269E-15</v>
      </c>
      <c r="G21">
        <f>HLOOKUP($G$4,Conversion!$C$4:$CC$47,$A21,)</f>
        <v>1.6640121702031912E-15</v>
      </c>
      <c r="H21">
        <f>HLOOKUP($H$4,Conversion!$C$4:$CC$47,$A21,)</f>
        <v>3.5707897445027879E-16</v>
      </c>
      <c r="I21">
        <f>HLOOKUP($I$4,Conversion!$C$4:$CC$47,$A21,)</f>
        <v>9.1925630392987621E-16</v>
      </c>
      <c r="J21">
        <f>HLOOKUP($J$4,Conversion!$C$4:$CC$47,$A21,)</f>
        <v>9.1925630392987621E-16</v>
      </c>
      <c r="K21">
        <f>HLOOKUP($K$4,Conversion!$C$4:$CC$47,$A21,)</f>
        <v>9.1925630392987621E-16</v>
      </c>
      <c r="L21">
        <f>HLOOKUP($L$4,Conversion!$C$4:$CC$47,$A21,)</f>
        <v>7.8762516320231135E-16</v>
      </c>
      <c r="M21">
        <f>HLOOKUP($M$4,Conversion!$C$4:$CC$47,$A21,)</f>
        <v>7.8762516320231135E-16</v>
      </c>
      <c r="N21">
        <f>HLOOKUP($N$4,Conversion!$C$4:$CC$47,$A21,)</f>
        <v>7.8762516320231135E-16</v>
      </c>
      <c r="O21">
        <f>HLOOKUP($O$4,Conversion!$C$4:$CC$47,$A21,)</f>
        <v>5.0489128800100253E-15</v>
      </c>
      <c r="P21">
        <f>HLOOKUP($P$4,Conversion!$C$4:$CC$47,$A21,)</f>
        <v>1.0678008896189243E-15</v>
      </c>
      <c r="Q21">
        <f>HLOOKUP($Q$4,Conversion!$C$4:$CC$47,$A21,)</f>
        <v>4.0992772938130613E-15</v>
      </c>
      <c r="R21">
        <f>HLOOKUP($R$4,Conversion!$C$4:$CC$47,$A21,)</f>
        <v>2.1560469465116687E-15</v>
      </c>
      <c r="S21">
        <f>HLOOKUP($S$4,Conversion!$C$4:$CC$47,$A21,)</f>
        <v>8.5999776587316734E-16</v>
      </c>
      <c r="T21">
        <f>HLOOKUP($T$4,Conversion!$C$4:$CC$47,$A21,)</f>
        <v>1.5167325800523526E-15</v>
      </c>
      <c r="U21">
        <f>HLOOKUP($U$4,Conversion!$C$4:$CC$47,$A21,)</f>
        <v>1.5167325800523526E-15</v>
      </c>
      <c r="V21">
        <f>HLOOKUP($V$4,Conversion!$C$4:$CC$47,$A21,)</f>
        <v>1.5167325800523526E-15</v>
      </c>
      <c r="W21">
        <f>HLOOKUP($W$4,Conversion!$C$4:$CC$47,$A21,)</f>
        <v>1.5167325800523526E-15</v>
      </c>
      <c r="X21">
        <f>HLOOKUP($X$4,Conversion!$C$4:$CC$47,$A21,)</f>
        <v>1.5167325800523526E-15</v>
      </c>
      <c r="Y21">
        <f>HLOOKUP($Y$4,Conversion!$C$4:$CC$47,$A21,)</f>
        <v>8.911824991475827E-16</v>
      </c>
      <c r="Z21">
        <f>HLOOKUP($Z$4,Conversion!$C$4:$CC$47,$A21,)</f>
        <v>7.9164297628581906E-16</v>
      </c>
      <c r="AA21">
        <f>HLOOKUP($AA$4,Conversion!$C$4:$CC$47,$A21,)</f>
        <v>7.8822563977182039E-16</v>
      </c>
      <c r="AB21">
        <f>HLOOKUP($AB$4,Conversion!$C$4:$CC$47,$A21,)</f>
        <v>6.8507221802322482E-16</v>
      </c>
      <c r="AC21">
        <f>HLOOKUP($AC$4,Conversion!$C$4:$CC$47,$A21,)</f>
        <v>6.8467801766996814E-16</v>
      </c>
      <c r="AD21">
        <f>HLOOKUP($AD$4,Conversion!$C$4:$CC$47,$A21,)</f>
        <v>6.9946336851509035E-16</v>
      </c>
      <c r="AE21">
        <f>HLOOKUP($AE$4,Conversion!$C$4:$CC$47,$A21,)</f>
        <v>7.2120273202289492E-16</v>
      </c>
      <c r="AF21">
        <f>HLOOKUP($AF$4,Conversion!$C$4:$CC$47,$A21,)</f>
        <v>7.2120273202289492E-16</v>
      </c>
      <c r="AG21">
        <f>HLOOKUP(AG$4,Conversion!$C$4:$CC$47,$A21,)</f>
        <v>5.9368725682926588E-16</v>
      </c>
      <c r="AH21">
        <f>HLOOKUP(AH$4,Conversion!$C$4:$CC$47,$A21,)</f>
        <v>7.9205580076589802E-16</v>
      </c>
      <c r="AI21">
        <f>HLOOKUP(AI$4,Conversion!$C$4:$CC$47,$A21,)</f>
        <v>7.8222066304606756E-16</v>
      </c>
      <c r="AJ21">
        <f>HLOOKUP(AJ$4,Conversion!$C$4:$CC$47,$A21,)</f>
        <v>1.0263632401773018E-15</v>
      </c>
      <c r="AK21">
        <f>HLOOKUP(AK$4,Conversion!$C$4:$CC$47,$A21,)</f>
        <v>8.5950160855169E-16</v>
      </c>
      <c r="AL21">
        <f>HLOOKUP(AL$4,Conversion!$C$4:$CC$47,$A21,)</f>
        <v>9.2183586363521242E-16</v>
      </c>
      <c r="AM21">
        <f>HLOOKUP(AM$4,Conversion!$C$4:$CC$47,$A21,)</f>
        <v>7.6123160173497123E-16</v>
      </c>
      <c r="AN21">
        <f>HLOOKUP(AN$4,Conversion!$C$4:$CC$47,$A21,)</f>
        <v>1.1785136498006965E-15</v>
      </c>
      <c r="AO21">
        <f>HLOOKUP(AO$4,Conversion!$C$4:$CC$47,$A21,)</f>
        <v>1.1785136498006965E-15</v>
      </c>
      <c r="AP21">
        <f>HLOOKUP(AP$4,Conversion!$C$4:$CC$47,$A21,)</f>
        <v>1.1785136498006965E-15</v>
      </c>
      <c r="AQ21">
        <f>HLOOKUP(AQ$4,Conversion!$C$4:$CC$47,$A21,)</f>
        <v>1.2253948970252086E-15</v>
      </c>
      <c r="AR21">
        <f>HLOOKUP(AR$4,Conversion!$C$4:$CC$47,$A21,)</f>
        <v>1.2253948970252086E-15</v>
      </c>
      <c r="AS21">
        <f>HLOOKUP(AS$4,Conversion!$C$4:$CC$47,$A21,)</f>
        <v>1.1839099038957949E-15</v>
      </c>
      <c r="AT21">
        <f>HLOOKUP(AT$4,Conversion!$C$4:$CC$47,$A21,)</f>
        <v>6.3509855233559219E-16</v>
      </c>
      <c r="AU21">
        <f>HLOOKUP(AU$4,Conversion!$C$4:$CC$47,$A21,)</f>
        <v>2.2858539234534717E-15</v>
      </c>
      <c r="AV21">
        <f>HLOOKUP(AV$4,Conversion!$C$4:$CC$47,$A21,)</f>
        <v>0</v>
      </c>
      <c r="AW21">
        <f>HLOOKUP(AW$4,Conversion!$C$4:$CC$47,$A21,)</f>
        <v>1.070983544007741E-15</v>
      </c>
      <c r="AX21">
        <f>HLOOKUP(AX$4,Conversion!$C$4:$CC$47,$A21,)</f>
        <v>1.0236495015302962E-15</v>
      </c>
      <c r="AY21">
        <f>HLOOKUP(AY$4,Conversion!$C$4:$CC$47,$A21,)</f>
        <v>1.0236495015302962E-15</v>
      </c>
      <c r="AZ21">
        <f>HLOOKUP(AZ$4,Conversion!$C$4:$CC$47,$A21,)</f>
        <v>9.3393393999379136E-15</v>
      </c>
      <c r="BA21">
        <f>HLOOKUP(BA$4,Conversion!$C$4:$CC$47,$A21,)</f>
        <v>7.9489936540353645E-16</v>
      </c>
      <c r="BB21">
        <f>HLOOKUP(BB$4,Conversion!$C$4:$CC$47,$A21,)</f>
        <v>6.9372262252121354E-16</v>
      </c>
      <c r="BC21">
        <f>HLOOKUP(BC$4,Conversion!$C$4:$CC$47,$A21,)</f>
        <v>6.9959831889527256E-16</v>
      </c>
      <c r="BD21">
        <f>HLOOKUP(BD$4,Conversion!$C$4:$CC$47,$A21,)</f>
        <v>6.9959831889527256E-16</v>
      </c>
      <c r="BE21">
        <f>HLOOKUP(BE$4,Conversion!$C$4:$CC$47,$A21,)</f>
        <v>1.1542930141092647E-15</v>
      </c>
      <c r="BF21">
        <f>HLOOKUP(BF$4,Conversion!$C$4:$CC$47,$A21,)</f>
        <v>4.6108630270639346E-16</v>
      </c>
      <c r="BG21">
        <f>HLOOKUP(BG$4,Conversion!$C$4:$CC$47,$A21,)</f>
        <v>7.7618768858598923E-16</v>
      </c>
      <c r="BH21">
        <f>HLOOKUP(BH$4,Conversion!$C$4:$CC$47,$A21,)</f>
        <v>8.9397901234002844E-16</v>
      </c>
      <c r="BI21">
        <f>HLOOKUP(BI$4,Conversion!$C$4:$CC$47,$A21,)</f>
        <v>8.9397901234002844E-16</v>
      </c>
      <c r="BJ21">
        <f>HLOOKUP(BJ$4,Conversion!$C$4:$CC$47,$A21,)</f>
        <v>8.9397901234002844E-16</v>
      </c>
      <c r="BK21">
        <f>HLOOKUP(BK$4,Conversion!$C$4:$CC$47,$A21,)</f>
        <v>6.1530784431435427E-16</v>
      </c>
      <c r="BL21">
        <f>HLOOKUP(BL$4,Conversion!$C$4:$CC$47,$A21,)</f>
        <v>4.7670912171681305E-16</v>
      </c>
      <c r="BM21">
        <f>HLOOKUP(BM$4,Conversion!$C$4:$CC$47,$A21,)</f>
        <v>4.7038984567293214E-16</v>
      </c>
      <c r="BN21">
        <f>HLOOKUP(BN$4,Conversion!$C$4:$CC$47,$A21,)</f>
        <v>4.7038984567293214E-16</v>
      </c>
      <c r="BO21">
        <f>HLOOKUP(BO$4,Conversion!$C$4:$CC$47,$A21,)</f>
        <v>1.2319952801259246E-15</v>
      </c>
      <c r="BP21">
        <f>HLOOKUP(BP$4,Conversion!$C$4:$CC$47,$A21,)</f>
        <v>1.2319952801259246E-15</v>
      </c>
      <c r="BQ21">
        <f>HLOOKUP(BQ$4,Conversion!$C$4:$CC$47,$A21,)</f>
        <v>0</v>
      </c>
      <c r="BR21">
        <f>HLOOKUP(BR$4,Conversion!$C$4:$CC$47,$A21,)</f>
        <v>1.0308046681518271E-15</v>
      </c>
      <c r="BS21">
        <f>HLOOKUP(BS$4,Conversion!$C$4:$CC$47,$A21,)</f>
        <v>8.648286915931493E-16</v>
      </c>
      <c r="BT21">
        <f>HLOOKUP(BT$4,Conversion!$C$4:$CC$47,$A21,)</f>
        <v>1.1889072410109575E-15</v>
      </c>
      <c r="BU21">
        <f>HLOOKUP(BU$4,Conversion!$C$4:$CC$47,$A21,)</f>
        <v>1.3378998588532157E-15</v>
      </c>
      <c r="BV21">
        <f>HLOOKUP(BV$4,Conversion!$C$4:$CC$47,$A21,)</f>
        <v>1.1847825235315176E-14</v>
      </c>
      <c r="BW21">
        <f>HLOOKUP(BW$4,Conversion!$C$4:$CC$47,$A21,)</f>
        <v>4.6401513202597708E-14</v>
      </c>
      <c r="BX21">
        <f>HLOOKUP(BX$4,Conversion!$C$4:$CC$47,$A21,)</f>
        <v>1.7017238956776675E-14</v>
      </c>
      <c r="BY21">
        <f>HLOOKUP(BY$4,Conversion!$C$4:$CC$47,$A21,)</f>
        <v>1.4993303140421028E-15</v>
      </c>
      <c r="BZ21">
        <f>HLOOKUP(BZ$4,Conversion!$C$4:$CC$47,$A21,)</f>
        <v>9.4835557607539047E-16</v>
      </c>
      <c r="CA21">
        <f>HLOOKUP(CA$4,Conversion!$C$4:$CC$47,$A21,)</f>
        <v>1.0637116665826697E-15</v>
      </c>
      <c r="CB21">
        <f>HLOOKUP(CB$4,Conversion!$C$4:$CC$47,$A21,)</f>
        <v>1.0846557406323573E-15</v>
      </c>
      <c r="CC21">
        <f>HLOOKUP(CC$4,Conversion!$C$4:$CC$47,$A21,)</f>
        <v>9.0453707483067167E-15</v>
      </c>
    </row>
    <row r="22" spans="1:81" x14ac:dyDescent="0.15">
      <c r="A22">
        <v>19</v>
      </c>
      <c r="B22" t="s">
        <v>2</v>
      </c>
      <c r="C22">
        <f>HLOOKUP($C$4,Conversion!$C$4:$CC$47,$A22,)</f>
        <v>2.2971472814420346E-16</v>
      </c>
      <c r="D22">
        <f>HLOOKUP($D$4,Conversion!$C$4:$CC$47,$A22,)</f>
        <v>2.7856020254707242E-17</v>
      </c>
      <c r="E22">
        <f>HLOOKUP($E$4,Conversion!$C$4:$CC$47,$A22,)</f>
        <v>1.5841830257886672E-16</v>
      </c>
      <c r="F22">
        <f>HLOOKUP($F$4,Conversion!$C$4:$CC$47,$A22,)</f>
        <v>7.6643603306310608E-16</v>
      </c>
      <c r="G22">
        <f>HLOOKUP($G$4,Conversion!$C$4:$CC$47,$A22,)</f>
        <v>4.6944597549867415E-14</v>
      </c>
      <c r="H22">
        <f>HLOOKUP($H$4,Conversion!$C$4:$CC$47,$A22,)</f>
        <v>1.6770474452472721E-16</v>
      </c>
      <c r="I22">
        <f>HLOOKUP($I$4,Conversion!$C$4:$CC$47,$A22,)</f>
        <v>3.4388508814584235E-16</v>
      </c>
      <c r="J22">
        <f>HLOOKUP($J$4,Conversion!$C$4:$CC$47,$A22,)</f>
        <v>3.4388508814584235E-16</v>
      </c>
      <c r="K22">
        <f>HLOOKUP($K$4,Conversion!$C$4:$CC$47,$A22,)</f>
        <v>3.4388508814584235E-16</v>
      </c>
      <c r="L22">
        <f>HLOOKUP($L$4,Conversion!$C$4:$CC$47,$A22,)</f>
        <v>1.5841830257886672E-16</v>
      </c>
      <c r="M22">
        <f>HLOOKUP($M$4,Conversion!$C$4:$CC$47,$A22,)</f>
        <v>1.5841830257886672E-16</v>
      </c>
      <c r="N22">
        <f>HLOOKUP($N$4,Conversion!$C$4:$CC$47,$A22,)</f>
        <v>1.5841830257886672E-16</v>
      </c>
      <c r="O22">
        <f>HLOOKUP($O$4,Conversion!$C$4:$CC$47,$A22,)</f>
        <v>6.7769787041189735E-16</v>
      </c>
      <c r="P22">
        <f>HLOOKUP($P$4,Conversion!$C$4:$CC$47,$A22,)</f>
        <v>1.3625020259493626E-17</v>
      </c>
      <c r="Q22">
        <f>HLOOKUP($Q$4,Conversion!$C$4:$CC$47,$A22,)</f>
        <v>1.4059821700054266E-15</v>
      </c>
      <c r="R22">
        <f>HLOOKUP($R$4,Conversion!$C$4:$CC$47,$A22,)</f>
        <v>1.4059821700054266E-15</v>
      </c>
      <c r="S22">
        <f>HLOOKUP($S$4,Conversion!$C$4:$CC$47,$A22,)</f>
        <v>3.0110639818519722E-15</v>
      </c>
      <c r="T22">
        <f>HLOOKUP($T$4,Conversion!$C$4:$CC$47,$A22,)</f>
        <v>4.4838956634590077E-15</v>
      </c>
      <c r="U22">
        <f>HLOOKUP($U$4,Conversion!$C$4:$CC$47,$A22,)</f>
        <v>4.4838956634590077E-15</v>
      </c>
      <c r="V22">
        <f>HLOOKUP($V$4,Conversion!$C$4:$CC$47,$A22,)</f>
        <v>4.4838956634590077E-15</v>
      </c>
      <c r="W22">
        <f>HLOOKUP($W$4,Conversion!$C$4:$CC$47,$A22,)</f>
        <v>4.4838956634590077E-15</v>
      </c>
      <c r="X22">
        <f>HLOOKUP($X$4,Conversion!$C$4:$CC$47,$A22,)</f>
        <v>4.4838956634590077E-15</v>
      </c>
      <c r="Y22">
        <f>HLOOKUP($Y$4,Conversion!$C$4:$CC$47,$A22,)</f>
        <v>4.0057518180519188E-15</v>
      </c>
      <c r="Z22">
        <f>HLOOKUP($Z$4,Conversion!$C$4:$CC$47,$A22,)</f>
        <v>2.8289191430787109E-17</v>
      </c>
      <c r="AA22">
        <f>HLOOKUP($AA$4,Conversion!$C$4:$CC$47,$A22,)</f>
        <v>2.7826662047970108E-17</v>
      </c>
      <c r="AB22">
        <f>HLOOKUP($AB$4,Conversion!$C$4:$CC$47,$A22,)</f>
        <v>1.131517238228155E-16</v>
      </c>
      <c r="AC22">
        <f>HLOOKUP($AC$4,Conversion!$C$4:$CC$47,$A22,)</f>
        <v>1.8473950849065061E-17</v>
      </c>
      <c r="AD22">
        <f>HLOOKUP($AD$4,Conversion!$C$4:$CC$47,$A22,)</f>
        <v>4.7775365817223422E-18</v>
      </c>
      <c r="AE22">
        <f>HLOOKUP($AE$4,Conversion!$C$4:$CC$47,$A22,)</f>
        <v>4.7965581879171147E-18</v>
      </c>
      <c r="AF22">
        <f>HLOOKUP($AF$4,Conversion!$C$4:$CC$47,$A22,)</f>
        <v>4.7965581879171147E-18</v>
      </c>
      <c r="AG22">
        <f>HLOOKUP(AG$4,Conversion!$C$4:$CC$47,$A22,)</f>
        <v>4.3582574850496723E-17</v>
      </c>
      <c r="AH22">
        <f>HLOOKUP(AH$4,Conversion!$C$4:$CC$47,$A22,)</f>
        <v>1.6463150158350875E-16</v>
      </c>
      <c r="AI22">
        <f>HLOOKUP(AI$4,Conversion!$C$4:$CC$47,$A22,)</f>
        <v>1.5598202209955089E-16</v>
      </c>
      <c r="AJ22">
        <f>HLOOKUP(AJ$4,Conversion!$C$4:$CC$47,$A22,)</f>
        <v>1.8706563672709229E-15</v>
      </c>
      <c r="AK22">
        <f>HLOOKUP(AK$4,Conversion!$C$4:$CC$47,$A22,)</f>
        <v>2.1290873537523224E-16</v>
      </c>
      <c r="AL22">
        <f>HLOOKUP(AL$4,Conversion!$C$4:$CC$47,$A22,)</f>
        <v>3.8618377415099373E-16</v>
      </c>
      <c r="AM22">
        <f>HLOOKUP(AM$4,Conversion!$C$4:$CC$47,$A22,)</f>
        <v>1.6255496872695381E-16</v>
      </c>
      <c r="AN22">
        <f>HLOOKUP(AN$4,Conversion!$C$4:$CC$47,$A22,)</f>
        <v>3.4544345127138318E-16</v>
      </c>
      <c r="AO22">
        <f>HLOOKUP(AO$4,Conversion!$C$4:$CC$47,$A22,)</f>
        <v>3.4544345127138318E-16</v>
      </c>
      <c r="AP22">
        <f>HLOOKUP(AP$4,Conversion!$C$4:$CC$47,$A22,)</f>
        <v>3.4544345127138318E-16</v>
      </c>
      <c r="AQ22">
        <f>HLOOKUP(AQ$4,Conversion!$C$4:$CC$47,$A22,)</f>
        <v>2.7017002193702074E-15</v>
      </c>
      <c r="AR22">
        <f>HLOOKUP(AR$4,Conversion!$C$4:$CC$47,$A22,)</f>
        <v>2.7017002193702074E-15</v>
      </c>
      <c r="AS22">
        <f>HLOOKUP(AS$4,Conversion!$C$4:$CC$47,$A22,)</f>
        <v>1.0815498805050829E-18</v>
      </c>
      <c r="AT22">
        <f>HLOOKUP(AT$4,Conversion!$C$4:$CC$47,$A22,)</f>
        <v>1.8931000300815906E-17</v>
      </c>
      <c r="AU22">
        <f>HLOOKUP(AU$4,Conversion!$C$4:$CC$47,$A22,)</f>
        <v>1.9072114844756786E-14</v>
      </c>
      <c r="AV22">
        <f>HLOOKUP(AV$4,Conversion!$C$4:$CC$47,$A22,)</f>
        <v>0</v>
      </c>
      <c r="AW22">
        <f>HLOOKUP(AW$4,Conversion!$C$4:$CC$47,$A22,)</f>
        <v>1.2553616030764717E-18</v>
      </c>
      <c r="AX22">
        <f>HLOOKUP(AX$4,Conversion!$C$4:$CC$47,$A22,)</f>
        <v>1.1289179373735042E-18</v>
      </c>
      <c r="AY22">
        <f>HLOOKUP(AY$4,Conversion!$C$4:$CC$47,$A22,)</f>
        <v>1.1289179373735042E-18</v>
      </c>
      <c r="AZ22">
        <f>HLOOKUP(AZ$4,Conversion!$C$4:$CC$47,$A22,)</f>
        <v>9.5044661924939738E-16</v>
      </c>
      <c r="BA22">
        <f>HLOOKUP(BA$4,Conversion!$C$4:$CC$47,$A22,)</f>
        <v>1.9801660716300664E-16</v>
      </c>
      <c r="BB22">
        <f>HLOOKUP(BB$4,Conversion!$C$4:$CC$47,$A22,)</f>
        <v>6.3929538618662137E-18</v>
      </c>
      <c r="BC22">
        <f>HLOOKUP(BC$4,Conversion!$C$4:$CC$47,$A22,)</f>
        <v>6.6705035382192939E-18</v>
      </c>
      <c r="BD22">
        <f>HLOOKUP(BD$4,Conversion!$C$4:$CC$47,$A22,)</f>
        <v>6.6705035382192939E-18</v>
      </c>
      <c r="BE22">
        <f>HLOOKUP(BE$4,Conversion!$C$4:$CC$47,$A22,)</f>
        <v>3.4487195317039319E-15</v>
      </c>
      <c r="BF22">
        <f>HLOOKUP(BF$4,Conversion!$C$4:$CC$47,$A22,)</f>
        <v>3.3488369272323004E-16</v>
      </c>
      <c r="BG22">
        <f>HLOOKUP(BG$4,Conversion!$C$4:$CC$47,$A22,)</f>
        <v>9.163067276954383E-18</v>
      </c>
      <c r="BH22">
        <f>HLOOKUP(BH$4,Conversion!$C$4:$CC$47,$A22,)</f>
        <v>7.8809290525529327E-18</v>
      </c>
      <c r="BI22">
        <f>HLOOKUP(BI$4,Conversion!$C$4:$CC$47,$A22,)</f>
        <v>7.8809290525529327E-18</v>
      </c>
      <c r="BJ22">
        <f>HLOOKUP(BJ$4,Conversion!$C$4:$CC$47,$A22,)</f>
        <v>7.8809290525529327E-18</v>
      </c>
      <c r="BK22">
        <f>HLOOKUP(BK$4,Conversion!$C$4:$CC$47,$A22,)</f>
        <v>4.3400358210730627E-17</v>
      </c>
      <c r="BL22">
        <f>HLOOKUP(BL$4,Conversion!$C$4:$CC$47,$A22,)</f>
        <v>3.4242369711579752E-17</v>
      </c>
      <c r="BM22">
        <f>HLOOKUP(BM$4,Conversion!$C$4:$CC$47,$A22,)</f>
        <v>3.084574827318402E-17</v>
      </c>
      <c r="BN22">
        <f>HLOOKUP(BN$4,Conversion!$C$4:$CC$47,$A22,)</f>
        <v>3.084574827318402E-17</v>
      </c>
      <c r="BO22">
        <f>HLOOKUP(BO$4,Conversion!$C$4:$CC$47,$A22,)</f>
        <v>2.2637141834921861E-15</v>
      </c>
      <c r="BP22">
        <f>HLOOKUP(BP$4,Conversion!$C$4:$CC$47,$A22,)</f>
        <v>2.2637141834921861E-15</v>
      </c>
      <c r="BQ22">
        <f>HLOOKUP(BQ$4,Conversion!$C$4:$CC$47,$A22,)</f>
        <v>0</v>
      </c>
      <c r="BR22">
        <f>HLOOKUP(BR$4,Conversion!$C$4:$CC$47,$A22,)</f>
        <v>3.0183508833923839E-16</v>
      </c>
      <c r="BS22">
        <f>HLOOKUP(BS$4,Conversion!$C$4:$CC$47,$A22,)</f>
        <v>6.7561321752830961E-16</v>
      </c>
      <c r="BT22">
        <f>HLOOKUP(BT$4,Conversion!$C$4:$CC$47,$A22,)</f>
        <v>2.7706630269224451E-15</v>
      </c>
      <c r="BU22">
        <f>HLOOKUP(BU$4,Conversion!$C$4:$CC$47,$A22,)</f>
        <v>3.9828722226460726E-15</v>
      </c>
      <c r="BV22">
        <f>HLOOKUP(BV$4,Conversion!$C$4:$CC$47,$A22,)</f>
        <v>8.2669187700021055E-16</v>
      </c>
      <c r="BW22">
        <f>HLOOKUP(BW$4,Conversion!$C$4:$CC$47,$A22,)</f>
        <v>2.0925901853133536E-15</v>
      </c>
      <c r="BX22">
        <f>HLOOKUP(BX$4,Conversion!$C$4:$CC$47,$A22,)</f>
        <v>2.0925901853133536E-15</v>
      </c>
      <c r="BY22">
        <f>HLOOKUP(BY$4,Conversion!$C$4:$CC$47,$A22,)</f>
        <v>6.8302104954546462E-18</v>
      </c>
      <c r="BZ22">
        <f>HLOOKUP(BZ$4,Conversion!$C$4:$CC$47,$A22,)</f>
        <v>1.3101790578919922E-18</v>
      </c>
      <c r="CA22">
        <f>HLOOKUP(CA$4,Conversion!$C$4:$CC$47,$A22,)</f>
        <v>1.1027080966865715E-18</v>
      </c>
      <c r="CB22">
        <f>HLOOKUP(CB$4,Conversion!$C$4:$CC$47,$A22,)</f>
        <v>1.1111328400880288E-18</v>
      </c>
      <c r="CC22">
        <f>HLOOKUP(CC$4,Conversion!$C$4:$CC$47,$A22,)</f>
        <v>6.4802099613072615E-16</v>
      </c>
    </row>
    <row r="23" spans="1:81" x14ac:dyDescent="0.15">
      <c r="A23">
        <v>20</v>
      </c>
      <c r="B23" t="s">
        <v>10</v>
      </c>
      <c r="C23">
        <f>HLOOKUP($C$4,Conversion!$C$4:$CC$47,$A23,)</f>
        <v>4.1113023008752914E-16</v>
      </c>
      <c r="D23">
        <f>HLOOKUP($D$4,Conversion!$C$4:$CC$47,$A23,)</f>
        <v>6.5066555583818016E-17</v>
      </c>
      <c r="E23">
        <f>HLOOKUP($E$4,Conversion!$C$4:$CC$47,$A23,)</f>
        <v>2.3076935043968239E-16</v>
      </c>
      <c r="F23">
        <f>HLOOKUP($F$4,Conversion!$C$4:$CC$47,$A23,)</f>
        <v>3.3028193162956561E-16</v>
      </c>
      <c r="G23">
        <f>HLOOKUP($G$4,Conversion!$C$4:$CC$47,$A23,)</f>
        <v>3.6508907179806797E-15</v>
      </c>
      <c r="H23">
        <f>HLOOKUP($H$4,Conversion!$C$4:$CC$47,$A23,)</f>
        <v>4.6153797995210615E-16</v>
      </c>
      <c r="I23">
        <f>HLOOKUP($I$4,Conversion!$C$4:$CC$47,$A23,)</f>
        <v>3.7424575086787883E-16</v>
      </c>
      <c r="J23">
        <f>HLOOKUP($J$4,Conversion!$C$4:$CC$47,$A23,)</f>
        <v>3.7424575086787883E-16</v>
      </c>
      <c r="K23">
        <f>HLOOKUP($K$4,Conversion!$C$4:$CC$47,$A23,)</f>
        <v>3.7424575086787883E-16</v>
      </c>
      <c r="L23">
        <f>HLOOKUP($L$4,Conversion!$C$4:$CC$47,$A23,)</f>
        <v>2.3076935043968239E-16</v>
      </c>
      <c r="M23">
        <f>HLOOKUP($M$4,Conversion!$C$4:$CC$47,$A23,)</f>
        <v>2.3076935043968239E-16</v>
      </c>
      <c r="N23">
        <f>HLOOKUP($N$4,Conversion!$C$4:$CC$47,$A23,)</f>
        <v>2.3076935043968239E-16</v>
      </c>
      <c r="O23">
        <f>HLOOKUP($O$4,Conversion!$C$4:$CC$47,$A23,)</f>
        <v>4.4341487131900852E-16</v>
      </c>
      <c r="P23">
        <f>HLOOKUP($P$4,Conversion!$C$4:$CC$47,$A23,)</f>
        <v>3.649764887926321E-17</v>
      </c>
      <c r="Q23">
        <f>HLOOKUP($Q$4,Conversion!$C$4:$CC$47,$A23,)</f>
        <v>1.099726404741145E-15</v>
      </c>
      <c r="R23">
        <f>HLOOKUP($R$4,Conversion!$C$4:$CC$47,$A23,)</f>
        <v>1.099726404741145E-15</v>
      </c>
      <c r="S23">
        <f>HLOOKUP($S$4,Conversion!$C$4:$CC$47,$A23,)</f>
        <v>2.6567011874799216E-14</v>
      </c>
      <c r="T23">
        <f>HLOOKUP($T$4,Conversion!$C$4:$CC$47,$A23,)</f>
        <v>6.0432782363737297E-15</v>
      </c>
      <c r="U23">
        <f>HLOOKUP($U$4,Conversion!$C$4:$CC$47,$A23,)</f>
        <v>6.0432782363737297E-15</v>
      </c>
      <c r="V23">
        <f>HLOOKUP($V$4,Conversion!$C$4:$CC$47,$A23,)</f>
        <v>6.0432782363737297E-15</v>
      </c>
      <c r="W23">
        <f>HLOOKUP($W$4,Conversion!$C$4:$CC$47,$A23,)</f>
        <v>6.0432782363737297E-15</v>
      </c>
      <c r="X23">
        <f>HLOOKUP($X$4,Conversion!$C$4:$CC$47,$A23,)</f>
        <v>6.0432782363737297E-15</v>
      </c>
      <c r="Y23">
        <f>HLOOKUP($Y$4,Conversion!$C$4:$CC$47,$A23,)</f>
        <v>8.4853265480785238E-11</v>
      </c>
      <c r="Z23">
        <f>HLOOKUP($Z$4,Conversion!$C$4:$CC$47,$A23,)</f>
        <v>3.8431089874045856E-17</v>
      </c>
      <c r="AA23">
        <f>HLOOKUP($AA$4,Conversion!$C$4:$CC$47,$A23,)</f>
        <v>5.9085490000433393E-17</v>
      </c>
      <c r="AB23">
        <f>HLOOKUP($AB$4,Conversion!$C$4:$CC$47,$A23,)</f>
        <v>2.3356923015900996E-16</v>
      </c>
      <c r="AC23">
        <f>HLOOKUP($AC$4,Conversion!$C$4:$CC$47,$A23,)</f>
        <v>4.3779398813991161E-17</v>
      </c>
      <c r="AD23">
        <f>HLOOKUP($AD$4,Conversion!$C$4:$CC$47,$A23,)</f>
        <v>6.1477662507595895E-18</v>
      </c>
      <c r="AE23">
        <f>HLOOKUP($AE$4,Conversion!$C$4:$CC$47,$A23,)</f>
        <v>2.593053366363266E-17</v>
      </c>
      <c r="AF23">
        <f>HLOOKUP($AF$4,Conversion!$C$4:$CC$47,$A23,)</f>
        <v>1.7175212991035341E-17</v>
      </c>
      <c r="AG23">
        <f>HLOOKUP(AG$4,Conversion!$C$4:$CC$47,$A23,)</f>
        <v>9.0158864983837351E-17</v>
      </c>
      <c r="AH23">
        <f>HLOOKUP(AH$4,Conversion!$C$4:$CC$47,$A23,)</f>
        <v>2.354816753263113E-16</v>
      </c>
      <c r="AI23">
        <f>HLOOKUP(AI$4,Conversion!$C$4:$CC$47,$A23,)</f>
        <v>2.395387831782751E-16</v>
      </c>
      <c r="AJ23">
        <f>HLOOKUP(AJ$4,Conversion!$C$4:$CC$47,$A23,)</f>
        <v>2.3506345163122268E-15</v>
      </c>
      <c r="AK23">
        <f>HLOOKUP(AK$4,Conversion!$C$4:$CC$47,$A23,)</f>
        <v>1.8742143388446665E-16</v>
      </c>
      <c r="AL23">
        <f>HLOOKUP(AL$4,Conversion!$C$4:$CC$47,$A23,)</f>
        <v>3.8781561009208517E-16</v>
      </c>
      <c r="AM23">
        <f>HLOOKUP(AM$4,Conversion!$C$4:$CC$47,$A23,)</f>
        <v>1.9728908850557656E-16</v>
      </c>
      <c r="AN23">
        <f>HLOOKUP(AN$4,Conversion!$C$4:$CC$47,$A23,)</f>
        <v>3.3286824155722991E-16</v>
      </c>
      <c r="AO23">
        <f>HLOOKUP(AO$4,Conversion!$C$4:$CC$47,$A23,)</f>
        <v>3.3286824155722991E-16</v>
      </c>
      <c r="AP23">
        <f>HLOOKUP(AP$4,Conversion!$C$4:$CC$47,$A23,)</f>
        <v>3.3291429578026112E-16</v>
      </c>
      <c r="AQ23">
        <f>HLOOKUP(AQ$4,Conversion!$C$4:$CC$47,$A23,)</f>
        <v>6.7307655451537911E-15</v>
      </c>
      <c r="AR23">
        <f>HLOOKUP(AR$4,Conversion!$C$4:$CC$47,$A23,)</f>
        <v>6.7300507762565004E-15</v>
      </c>
      <c r="AS23">
        <f>HLOOKUP(AS$4,Conversion!$C$4:$CC$47,$A23,)</f>
        <v>3.7401896718941518E-18</v>
      </c>
      <c r="AT23">
        <f>HLOOKUP(AT$4,Conversion!$C$4:$CC$47,$A23,)</f>
        <v>6.0312548019244183E-17</v>
      </c>
      <c r="AU23">
        <f>HLOOKUP(AU$4,Conversion!$C$4:$CC$47,$A23,)</f>
        <v>4.819897808490594E-15</v>
      </c>
      <c r="AV23">
        <f>HLOOKUP(AV$4,Conversion!$C$4:$CC$47,$A23,)</f>
        <v>0</v>
      </c>
      <c r="AW23">
        <f>HLOOKUP(AW$4,Conversion!$C$4:$CC$47,$A23,)</f>
        <v>0</v>
      </c>
      <c r="AX23">
        <f>HLOOKUP(AX$4,Conversion!$C$4:$CC$47,$A23,)</f>
        <v>0</v>
      </c>
      <c r="AY23">
        <f>HLOOKUP(AY$4,Conversion!$C$4:$CC$47,$A23,)</f>
        <v>4.3639524559666688E-18</v>
      </c>
      <c r="AZ23">
        <f>HLOOKUP(AZ$4,Conversion!$C$4:$CC$47,$A23,)</f>
        <v>6.5739869637428083E-16</v>
      </c>
      <c r="BA23">
        <f>HLOOKUP(BA$4,Conversion!$C$4:$CC$47,$A23,)</f>
        <v>2.8291795378091511E-16</v>
      </c>
      <c r="BB23">
        <f>HLOOKUP(BB$4,Conversion!$C$4:$CC$47,$A23,)</f>
        <v>3.3862328920305101E-17</v>
      </c>
      <c r="BC23">
        <f>HLOOKUP(BC$4,Conversion!$C$4:$CC$47,$A23,)</f>
        <v>1.6039240295419925E-17</v>
      </c>
      <c r="BD23">
        <f>HLOOKUP(BD$4,Conversion!$C$4:$CC$47,$A23,)</f>
        <v>1.6039240295419925E-17</v>
      </c>
      <c r="BE23">
        <f>HLOOKUP(BE$4,Conversion!$C$4:$CC$47,$A23,)</f>
        <v>3.0741243267744357E-15</v>
      </c>
      <c r="BF23">
        <f>HLOOKUP(BF$4,Conversion!$C$4:$CC$47,$A23,)</f>
        <v>5.7641734506175616E-16</v>
      </c>
      <c r="BG23">
        <f>HLOOKUP(BG$4,Conversion!$C$4:$CC$47,$A23,)</f>
        <v>1.717824345795126E-17</v>
      </c>
      <c r="BH23">
        <f>HLOOKUP(BH$4,Conversion!$C$4:$CC$47,$A23,)</f>
        <v>3.2873079562827842E-17</v>
      </c>
      <c r="BI23">
        <f>HLOOKUP(BI$4,Conversion!$C$4:$CC$47,$A23,)</f>
        <v>3.2873079562827842E-17</v>
      </c>
      <c r="BJ23">
        <f>HLOOKUP(BJ$4,Conversion!$C$4:$CC$47,$A23,)</f>
        <v>3.2873079562827842E-17</v>
      </c>
      <c r="BK23">
        <f>HLOOKUP(BK$4,Conversion!$C$4:$CC$47,$A23,)</f>
        <v>7.7487922617153186E-17</v>
      </c>
      <c r="BL23">
        <f>HLOOKUP(BL$4,Conversion!$C$4:$CC$47,$A23,)</f>
        <v>6.7069417950254692E-17</v>
      </c>
      <c r="BM23">
        <f>HLOOKUP(BM$4,Conversion!$C$4:$CC$47,$A23,)</f>
        <v>4.553666119552961E-17</v>
      </c>
      <c r="BN23">
        <f>HLOOKUP(BN$4,Conversion!$C$4:$CC$47,$A23,)</f>
        <v>8.0495309188427982E-17</v>
      </c>
      <c r="BO23">
        <f>HLOOKUP(BO$4,Conversion!$C$4:$CC$47,$A23,)</f>
        <v>7.8036910596779209E-15</v>
      </c>
      <c r="BP23">
        <f>HLOOKUP(BP$4,Conversion!$C$4:$CC$47,$A23,)</f>
        <v>7.8036910596779209E-15</v>
      </c>
      <c r="BQ23">
        <f>HLOOKUP(BQ$4,Conversion!$C$4:$CC$47,$A23,)</f>
        <v>0</v>
      </c>
      <c r="BR23">
        <f>HLOOKUP(BR$4,Conversion!$C$4:$CC$47,$A23,)</f>
        <v>4.5392985221469276E-16</v>
      </c>
      <c r="BS23">
        <f>HLOOKUP(BS$4,Conversion!$C$4:$CC$47,$A23,)</f>
        <v>7.8032495339459748E-16</v>
      </c>
      <c r="BT23">
        <f>HLOOKUP(BT$4,Conversion!$C$4:$CC$47,$A23,)</f>
        <v>5.4585742265814838E-15</v>
      </c>
      <c r="BU23">
        <f>HLOOKUP(BU$4,Conversion!$C$4:$CC$47,$A23,)</f>
        <v>5.5485039420658384E-15</v>
      </c>
      <c r="BV23">
        <f>HLOOKUP(BV$4,Conversion!$C$4:$CC$47,$A23,)</f>
        <v>4.4938266463562133E-16</v>
      </c>
      <c r="BW23">
        <f>HLOOKUP(BW$4,Conversion!$C$4:$CC$47,$A23,)</f>
        <v>1.2361653585991092E-15</v>
      </c>
      <c r="BX23">
        <f>HLOOKUP(BX$4,Conversion!$C$4:$CC$47,$A23,)</f>
        <v>1.2361653585991092E-15</v>
      </c>
      <c r="BY23">
        <f>HLOOKUP(BY$4,Conversion!$C$4:$CC$47,$A23,)</f>
        <v>2.3569593522567345E-17</v>
      </c>
      <c r="BZ23">
        <f>HLOOKUP(BZ$4,Conversion!$C$4:$CC$47,$A23,)</f>
        <v>0</v>
      </c>
      <c r="CA23">
        <f>HLOOKUP(CA$4,Conversion!$C$4:$CC$47,$A23,)</f>
        <v>5.3933303024171785E-18</v>
      </c>
      <c r="CB23">
        <f>HLOOKUP(CB$4,Conversion!$C$4:$CC$47,$A23,)</f>
        <v>3.7642653084757973E-18</v>
      </c>
      <c r="CC23">
        <f>HLOOKUP(CC$4,Conversion!$C$4:$CC$47,$A23,)</f>
        <v>3.6516638069862743E-16</v>
      </c>
    </row>
    <row r="24" spans="1:81" x14ac:dyDescent="0.15">
      <c r="A24">
        <v>21</v>
      </c>
      <c r="B24" t="s">
        <v>24</v>
      </c>
      <c r="C24">
        <f>HLOOKUP($C$4,Conversion!$C$4:$CC$47,$A24,)</f>
        <v>2.9687709076079406E-16</v>
      </c>
      <c r="D24">
        <f>HLOOKUP($D$4,Conversion!$C$4:$CC$47,$A24,)</f>
        <v>4.8853403706764504E-17</v>
      </c>
      <c r="E24">
        <f>HLOOKUP($E$4,Conversion!$C$4:$CC$47,$A24,)</f>
        <v>2.2036968394210728E-16</v>
      </c>
      <c r="F24">
        <f>HLOOKUP($F$4,Conversion!$C$4:$CC$47,$A24,)</f>
        <v>4.9474310130507182E-16</v>
      </c>
      <c r="G24">
        <f>HLOOKUP($G$4,Conversion!$C$4:$CC$47,$A24,)</f>
        <v>1.8838399462448438E-14</v>
      </c>
      <c r="H24">
        <f>HLOOKUP($H$4,Conversion!$C$4:$CC$47,$A24,)</f>
        <v>2.9536755103429107E-16</v>
      </c>
      <c r="I24">
        <f>HLOOKUP($I$4,Conversion!$C$4:$CC$47,$A24,)</f>
        <v>7.6361696386923448E-16</v>
      </c>
      <c r="J24">
        <f>HLOOKUP($J$4,Conversion!$C$4:$CC$47,$A24,)</f>
        <v>7.6361696386923448E-16</v>
      </c>
      <c r="K24">
        <f>HLOOKUP($K$4,Conversion!$C$4:$CC$47,$A24,)</f>
        <v>7.6361696386923448E-16</v>
      </c>
      <c r="L24">
        <f>HLOOKUP($L$4,Conversion!$C$4:$CC$47,$A24,)</f>
        <v>2.2034153441583503E-16</v>
      </c>
      <c r="M24">
        <f>HLOOKUP($M$4,Conversion!$C$4:$CC$47,$A24,)</f>
        <v>2.2034153441583503E-16</v>
      </c>
      <c r="N24">
        <f>HLOOKUP($N$4,Conversion!$C$4:$CC$47,$A24,)</f>
        <v>2.2034153441583503E-16</v>
      </c>
      <c r="O24">
        <f>HLOOKUP($O$4,Conversion!$C$4:$CC$47,$A24,)</f>
        <v>9.2588950155173026E-16</v>
      </c>
      <c r="P24">
        <f>HLOOKUP($P$4,Conversion!$C$4:$CC$47,$A24,)</f>
        <v>1.6135523755922346E-17</v>
      </c>
      <c r="Q24">
        <f>HLOOKUP($Q$4,Conversion!$C$4:$CC$47,$A24,)</f>
        <v>2.8249860072204456E-15</v>
      </c>
      <c r="R24">
        <f>HLOOKUP($R$4,Conversion!$C$4:$CC$47,$A24,)</f>
        <v>2.8249860072204456E-15</v>
      </c>
      <c r="S24">
        <f>HLOOKUP($S$4,Conversion!$C$4:$CC$47,$A24,)</f>
        <v>5.1551701138699896E-15</v>
      </c>
      <c r="T24">
        <f>HLOOKUP($T$4,Conversion!$C$4:$CC$47,$A24,)</f>
        <v>1.9785490495876098E-14</v>
      </c>
      <c r="U24">
        <f>HLOOKUP($U$4,Conversion!$C$4:$CC$47,$A24,)</f>
        <v>1.9785490495876098E-14</v>
      </c>
      <c r="V24">
        <f>HLOOKUP($V$4,Conversion!$C$4:$CC$47,$A24,)</f>
        <v>1.9785490495876098E-14</v>
      </c>
      <c r="W24">
        <f>HLOOKUP($W$4,Conversion!$C$4:$CC$47,$A24,)</f>
        <v>1.9785490495876098E-14</v>
      </c>
      <c r="X24">
        <f>HLOOKUP($X$4,Conversion!$C$4:$CC$47,$A24,)</f>
        <v>1.9785490495876098E-14</v>
      </c>
      <c r="Y24">
        <f>HLOOKUP($Y$4,Conversion!$C$4:$CC$47,$A24,)</f>
        <v>5.1714446998619322E-15</v>
      </c>
      <c r="Z24">
        <f>HLOOKUP($Z$4,Conversion!$C$4:$CC$47,$A24,)</f>
        <v>5.3048448403370071E-17</v>
      </c>
      <c r="AA24">
        <f>HLOOKUP($AA$4,Conversion!$C$4:$CC$47,$A24,)</f>
        <v>4.6929350355444046E-17</v>
      </c>
      <c r="AB24">
        <f>HLOOKUP($AB$4,Conversion!$C$4:$CC$47,$A24,)</f>
        <v>1.6284477825650161E-16</v>
      </c>
      <c r="AC24">
        <f>HLOOKUP($AC$4,Conversion!$C$4:$CC$47,$A24,)</f>
        <v>2.8608106945244477E-17</v>
      </c>
      <c r="AD24">
        <f>HLOOKUP($AD$4,Conversion!$C$4:$CC$47,$A24,)</f>
        <v>5.11010141334633E-18</v>
      </c>
      <c r="AE24">
        <f>HLOOKUP($AE$4,Conversion!$C$4:$CC$47,$A24,)</f>
        <v>1.057345987380187E-17</v>
      </c>
      <c r="AF24">
        <f>HLOOKUP($AF$4,Conversion!$C$4:$CC$47,$A24,)</f>
        <v>6.8785266385266083E-18</v>
      </c>
      <c r="AG24">
        <f>HLOOKUP(AG$4,Conversion!$C$4:$CC$47,$A24,)</f>
        <v>7.0428788569812991E-17</v>
      </c>
      <c r="AH24">
        <f>HLOOKUP(AH$4,Conversion!$C$4:$CC$47,$A24,)</f>
        <v>2.3844573525603441E-16</v>
      </c>
      <c r="AI24">
        <f>HLOOKUP(AI$4,Conversion!$C$4:$CC$47,$A24,)</f>
        <v>2.8728640491692342E-16</v>
      </c>
      <c r="AJ24">
        <f>HLOOKUP(AJ$4,Conversion!$C$4:$CC$47,$A24,)</f>
        <v>4.9919950886157905E-15</v>
      </c>
      <c r="AK24">
        <f>HLOOKUP(AK$4,Conversion!$C$4:$CC$47,$A24,)</f>
        <v>3.6001159050097649E-16</v>
      </c>
      <c r="AL24">
        <f>HLOOKUP(AL$4,Conversion!$C$4:$CC$47,$A24,)</f>
        <v>8.117528602953516E-16</v>
      </c>
      <c r="AM24">
        <f>HLOOKUP(AM$4,Conversion!$C$4:$CC$47,$A24,)</f>
        <v>2.9108898440333978E-16</v>
      </c>
      <c r="AN24">
        <f>HLOOKUP(AN$4,Conversion!$C$4:$CC$47,$A24,)</f>
        <v>6.3119335936313158E-16</v>
      </c>
      <c r="AO24">
        <f>HLOOKUP(AO$4,Conversion!$C$4:$CC$47,$A24,)</f>
        <v>6.3119335936313158E-16</v>
      </c>
      <c r="AP24">
        <f>HLOOKUP(AP$4,Conversion!$C$4:$CC$47,$A24,)</f>
        <v>6.3128571519071011E-16</v>
      </c>
      <c r="AQ24">
        <f>HLOOKUP(AQ$4,Conversion!$C$4:$CC$47,$A24,)</f>
        <v>8.6161904678202543E-15</v>
      </c>
      <c r="AR24">
        <f>HLOOKUP(AR$4,Conversion!$C$4:$CC$47,$A24,)</f>
        <v>8.6161904678202543E-15</v>
      </c>
      <c r="AS24">
        <f>HLOOKUP(AS$4,Conversion!$C$4:$CC$47,$A24,)</f>
        <v>1.465762483790596E-18</v>
      </c>
      <c r="AT24">
        <f>HLOOKUP(AT$4,Conversion!$C$4:$CC$47,$A24,)</f>
        <v>1.32422549537249E-17</v>
      </c>
      <c r="AU24">
        <f>HLOOKUP(AU$4,Conversion!$C$4:$CC$47,$A24,)</f>
        <v>5.7174490447851929E-11</v>
      </c>
      <c r="AV24">
        <f>HLOOKUP(AV$4,Conversion!$C$4:$CC$47,$A24,)</f>
        <v>0</v>
      </c>
      <c r="AW24">
        <f>HLOOKUP(AW$4,Conversion!$C$4:$CC$47,$A24,)</f>
        <v>0</v>
      </c>
      <c r="AX24">
        <f>HLOOKUP(AX$4,Conversion!$C$4:$CC$47,$A24,)</f>
        <v>0</v>
      </c>
      <c r="AY24">
        <f>HLOOKUP(AY$4,Conversion!$C$4:$CC$47,$A24,)</f>
        <v>1.9671651632253126E-18</v>
      </c>
      <c r="AZ24">
        <f>HLOOKUP(AZ$4,Conversion!$C$4:$CC$47,$A24,)</f>
        <v>1.4238672701649294E-15</v>
      </c>
      <c r="BA24">
        <f>HLOOKUP(BA$4,Conversion!$C$4:$CC$47,$A24,)</f>
        <v>3.9697021928009331E-16</v>
      </c>
      <c r="BB24">
        <f>HLOOKUP(BB$4,Conversion!$C$4:$CC$47,$A24,)</f>
        <v>1.0796901163705895E-17</v>
      </c>
      <c r="BC24">
        <f>HLOOKUP(BC$4,Conversion!$C$4:$CC$47,$A24,)</f>
        <v>5.8196396388451209E-18</v>
      </c>
      <c r="BD24">
        <f>HLOOKUP(BD$4,Conversion!$C$4:$CC$47,$A24,)</f>
        <v>9.5488957897627915E-18</v>
      </c>
      <c r="BE24">
        <f>HLOOKUP(BE$4,Conversion!$C$4:$CC$47,$A24,)</f>
        <v>8.0486939117520517E-15</v>
      </c>
      <c r="BF24">
        <f>HLOOKUP(BF$4,Conversion!$C$4:$CC$47,$A24,)</f>
        <v>3.8057315088073477E-16</v>
      </c>
      <c r="BG24">
        <f>HLOOKUP(BG$4,Conversion!$C$4:$CC$47,$A24,)</f>
        <v>8.8014022824940536E-18</v>
      </c>
      <c r="BH24">
        <f>HLOOKUP(BH$4,Conversion!$C$4:$CC$47,$A24,)</f>
        <v>1.088406955290124E-17</v>
      </c>
      <c r="BI24">
        <f>HLOOKUP(BI$4,Conversion!$C$4:$CC$47,$A24,)</f>
        <v>1.088406955290124E-17</v>
      </c>
      <c r="BJ24">
        <f>HLOOKUP(BJ$4,Conversion!$C$4:$CC$47,$A24,)</f>
        <v>1.088406955290124E-17</v>
      </c>
      <c r="BK24">
        <f>HLOOKUP(BK$4,Conversion!$C$4:$CC$47,$A24,)</f>
        <v>6.1521009385033758E-17</v>
      </c>
      <c r="BL24">
        <f>HLOOKUP(BL$4,Conversion!$C$4:$CC$47,$A24,)</f>
        <v>4.6010561240631135E-17</v>
      </c>
      <c r="BM24">
        <f>HLOOKUP(BM$4,Conversion!$C$4:$CC$47,$A24,)</f>
        <v>3.4195744670409743E-17</v>
      </c>
      <c r="BN24">
        <f>HLOOKUP(BN$4,Conversion!$C$4:$CC$47,$A24,)</f>
        <v>4.7325990430212522E-17</v>
      </c>
      <c r="BO24">
        <f>HLOOKUP(BO$4,Conversion!$C$4:$CC$47,$A24,)</f>
        <v>6.0593204469947452E-15</v>
      </c>
      <c r="BP24">
        <f>HLOOKUP(BP$4,Conversion!$C$4:$CC$47,$A24,)</f>
        <v>6.0593204469947452E-15</v>
      </c>
      <c r="BQ24">
        <f>HLOOKUP(BQ$4,Conversion!$C$4:$CC$47,$A24,)</f>
        <v>0</v>
      </c>
      <c r="BR24">
        <f>HLOOKUP(BR$4,Conversion!$C$4:$CC$47,$A24,)</f>
        <v>6.5431579813439466E-16</v>
      </c>
      <c r="BS24">
        <f>HLOOKUP(BS$4,Conversion!$C$4:$CC$47,$A24,)</f>
        <v>1.4200251570779034E-15</v>
      </c>
      <c r="BT24">
        <f>HLOOKUP(BT$4,Conversion!$C$4:$CC$47,$A24,)</f>
        <v>8.8041142440964697E-15</v>
      </c>
      <c r="BU24">
        <f>HLOOKUP(BU$4,Conversion!$C$4:$CC$47,$A24,)</f>
        <v>1.4102163620489818E-14</v>
      </c>
      <c r="BV24">
        <f>HLOOKUP(BV$4,Conversion!$C$4:$CC$47,$A24,)</f>
        <v>1.0775279907361997E-15</v>
      </c>
      <c r="BW24">
        <f>HLOOKUP(BW$4,Conversion!$C$4:$CC$47,$A24,)</f>
        <v>2.9179582456148411E-15</v>
      </c>
      <c r="BX24">
        <f>HLOOKUP(BX$4,Conversion!$C$4:$CC$47,$A24,)</f>
        <v>2.9179582456148411E-15</v>
      </c>
      <c r="BY24">
        <f>HLOOKUP(BY$4,Conversion!$C$4:$CC$47,$A24,)</f>
        <v>9.0104801986149326E-18</v>
      </c>
      <c r="BZ24">
        <f>HLOOKUP(BZ$4,Conversion!$C$4:$CC$47,$A24,)</f>
        <v>0</v>
      </c>
      <c r="CA24">
        <f>HLOOKUP(CA$4,Conversion!$C$4:$CC$47,$A24,)</f>
        <v>1.8864113749241544E-18</v>
      </c>
      <c r="CB24">
        <f>HLOOKUP(CB$4,Conversion!$C$4:$CC$47,$A24,)</f>
        <v>1.9189424315371447E-18</v>
      </c>
      <c r="CC24">
        <f>HLOOKUP(CC$4,Conversion!$C$4:$CC$47,$A24,)</f>
        <v>8.6300835378809577E-16</v>
      </c>
    </row>
    <row r="25" spans="1:81" x14ac:dyDescent="0.15">
      <c r="A25">
        <v>22</v>
      </c>
      <c r="B25" t="s">
        <v>37</v>
      </c>
      <c r="C25">
        <f>HLOOKUP($C$4,Conversion!$C$4:$CC$47,$A25,)</f>
        <v>4.773640373096658E-16</v>
      </c>
      <c r="D25">
        <f>HLOOKUP($D$4,Conversion!$C$4:$CC$47,$A25,)</f>
        <v>1.0533841060201479E-16</v>
      </c>
      <c r="E25">
        <f>HLOOKUP($E$4,Conversion!$C$4:$CC$47,$A25,)</f>
        <v>6.1949959078999271E-16</v>
      </c>
      <c r="F25">
        <f>HLOOKUP($F$4,Conversion!$C$4:$CC$47,$A25,)</f>
        <v>9.5983224557269177E-16</v>
      </c>
      <c r="G25">
        <f>HLOOKUP($G$4,Conversion!$C$4:$CC$47,$A25,)</f>
        <v>2.7476884111539739E-15</v>
      </c>
      <c r="H25">
        <f>HLOOKUP($H$4,Conversion!$C$4:$CC$47,$A25,)</f>
        <v>7.3482163300508385E-16</v>
      </c>
      <c r="I25">
        <f>HLOOKUP($I$4,Conversion!$C$4:$CC$47,$A25,)</f>
        <v>2.3346728073785935E-15</v>
      </c>
      <c r="J25">
        <f>HLOOKUP($J$4,Conversion!$C$4:$CC$47,$A25,)</f>
        <v>2.3346728073785935E-15</v>
      </c>
      <c r="K25">
        <f>HLOOKUP($K$4,Conversion!$C$4:$CC$47,$A25,)</f>
        <v>2.3346728073785935E-15</v>
      </c>
      <c r="L25">
        <f>HLOOKUP($L$4,Conversion!$C$4:$CC$47,$A25,)</f>
        <v>6.1949959078999271E-16</v>
      </c>
      <c r="M25">
        <f>HLOOKUP($M$4,Conversion!$C$4:$CC$47,$A25,)</f>
        <v>6.1949959078999271E-16</v>
      </c>
      <c r="N25">
        <f>HLOOKUP($N$4,Conversion!$C$4:$CC$47,$A25,)</f>
        <v>6.1949959078999271E-16</v>
      </c>
      <c r="O25">
        <f>HLOOKUP($O$4,Conversion!$C$4:$CC$47,$A25,)</f>
        <v>1.3652313727920786E-15</v>
      </c>
      <c r="P25">
        <f>HLOOKUP($P$4,Conversion!$C$4:$CC$47,$A25,)</f>
        <v>3.6616567928647423E-17</v>
      </c>
      <c r="Q25">
        <f>HLOOKUP($Q$4,Conversion!$C$4:$CC$47,$A25,)</f>
        <v>1.6289379565689143E-15</v>
      </c>
      <c r="R25">
        <f>HLOOKUP($R$4,Conversion!$C$4:$CC$47,$A25,)</f>
        <v>1.6289379565689143E-15</v>
      </c>
      <c r="S25">
        <f>HLOOKUP($S$4,Conversion!$C$4:$CC$47,$A25,)</f>
        <v>1.2465705102235311E-14</v>
      </c>
      <c r="T25">
        <f>HLOOKUP($T$4,Conversion!$C$4:$CC$47,$A25,)</f>
        <v>3.8520597980270244E-14</v>
      </c>
      <c r="U25">
        <f>HLOOKUP($U$4,Conversion!$C$4:$CC$47,$A25,)</f>
        <v>3.8520597980270244E-14</v>
      </c>
      <c r="V25">
        <f>HLOOKUP($V$4,Conversion!$C$4:$CC$47,$A25,)</f>
        <v>3.8520597980270244E-14</v>
      </c>
      <c r="W25">
        <f>HLOOKUP($W$4,Conversion!$C$4:$CC$47,$A25,)</f>
        <v>3.8520597980270244E-14</v>
      </c>
      <c r="X25">
        <f>HLOOKUP($X$4,Conversion!$C$4:$CC$47,$A25,)</f>
        <v>3.8520597980270244E-14</v>
      </c>
      <c r="Y25">
        <f>HLOOKUP($Y$4,Conversion!$C$4:$CC$47,$A25,)</f>
        <v>5.6592671149127566E-15</v>
      </c>
      <c r="Z25">
        <f>HLOOKUP($Z$4,Conversion!$C$4:$CC$47,$A25,)</f>
        <v>1.1226606328042935E-16</v>
      </c>
      <c r="AA25">
        <f>HLOOKUP($AA$4,Conversion!$C$4:$CC$47,$A25,)</f>
        <v>1.1702772268629322E-16</v>
      </c>
      <c r="AB25">
        <f>HLOOKUP($AB$4,Conversion!$C$4:$CC$47,$A25,)</f>
        <v>5.0372935748997518E-16</v>
      </c>
      <c r="AC25">
        <f>HLOOKUP($AC$4,Conversion!$C$4:$CC$47,$A25,)</f>
        <v>6.2316475505820522E-17</v>
      </c>
      <c r="AD25">
        <f>HLOOKUP($AD$4,Conversion!$C$4:$CC$47,$A25,)</f>
        <v>1.6775461487593361E-17</v>
      </c>
      <c r="AE25">
        <f>HLOOKUP($AE$4,Conversion!$C$4:$CC$47,$A25,)</f>
        <v>1.6551609627519798E-17</v>
      </c>
      <c r="AF25">
        <f>HLOOKUP($AF$4,Conversion!$C$4:$CC$47,$A25,)</f>
        <v>1.6551609627519798E-17</v>
      </c>
      <c r="AG25">
        <f>HLOOKUP(AG$4,Conversion!$C$4:$CC$47,$A25,)</f>
        <v>1.6648965531698259E-16</v>
      </c>
      <c r="AH25">
        <f>HLOOKUP(AH$4,Conversion!$C$4:$CC$47,$A25,)</f>
        <v>6.7667318652612452E-16</v>
      </c>
      <c r="AI25">
        <f>HLOOKUP(AI$4,Conversion!$C$4:$CC$47,$A25,)</f>
        <v>6.1219283679948321E-16</v>
      </c>
      <c r="AJ25">
        <f>HLOOKUP(AJ$4,Conversion!$C$4:$CC$47,$A25,)</f>
        <v>5.1113357707881314E-14</v>
      </c>
      <c r="AK25">
        <f>HLOOKUP(AK$4,Conversion!$C$4:$CC$47,$A25,)</f>
        <v>6.642189983983801E-16</v>
      </c>
      <c r="AL25">
        <f>HLOOKUP(AL$4,Conversion!$C$4:$CC$47,$A25,)</f>
        <v>2.6724132225612489E-15</v>
      </c>
      <c r="AM25">
        <f>HLOOKUP(AM$4,Conversion!$C$4:$CC$47,$A25,)</f>
        <v>5.2286968310272761E-16</v>
      </c>
      <c r="AN25">
        <f>HLOOKUP(AN$4,Conversion!$C$4:$CC$47,$A25,)</f>
        <v>2.410136081056189E-15</v>
      </c>
      <c r="AO25">
        <f>HLOOKUP(AO$4,Conversion!$C$4:$CC$47,$A25,)</f>
        <v>2.410136081056189E-15</v>
      </c>
      <c r="AP25">
        <f>HLOOKUP(AP$4,Conversion!$C$4:$CC$47,$A25,)</f>
        <v>2.410136081056189E-15</v>
      </c>
      <c r="AQ25">
        <f>HLOOKUP(AQ$4,Conversion!$C$4:$CC$47,$A25,)</f>
        <v>6.0595417206481851E-13</v>
      </c>
      <c r="AR25">
        <f>HLOOKUP(AR$4,Conversion!$C$4:$CC$47,$A25,)</f>
        <v>6.0595417206481851E-13</v>
      </c>
      <c r="AS25">
        <f>HLOOKUP(AS$4,Conversion!$C$4:$CC$47,$A25,)</f>
        <v>3.5763807440269812E-18</v>
      </c>
      <c r="AT25">
        <f>HLOOKUP(AT$4,Conversion!$C$4:$CC$47,$A25,)</f>
        <v>7.7367514178970485E-17</v>
      </c>
      <c r="AU25">
        <f>HLOOKUP(AU$4,Conversion!$C$4:$CC$47,$A25,)</f>
        <v>8.7773206624025196E-15</v>
      </c>
      <c r="AV25">
        <f>HLOOKUP(AV$4,Conversion!$C$4:$CC$47,$A25,)</f>
        <v>0</v>
      </c>
      <c r="AW25">
        <f>HLOOKUP(AW$4,Conversion!$C$4:$CC$47,$A25,)</f>
        <v>4.7625806542876282E-18</v>
      </c>
      <c r="AX25">
        <f>HLOOKUP(AX$4,Conversion!$C$4:$CC$47,$A25,)</f>
        <v>3.9480605405192578E-18</v>
      </c>
      <c r="AY25">
        <f>HLOOKUP(AY$4,Conversion!$C$4:$CC$47,$A25,)</f>
        <v>3.9480605405192578E-18</v>
      </c>
      <c r="AZ25">
        <f>HLOOKUP(AZ$4,Conversion!$C$4:$CC$47,$A25,)</f>
        <v>1.3229128707137122E-15</v>
      </c>
      <c r="BA25">
        <f>HLOOKUP(BA$4,Conversion!$C$4:$CC$47,$A25,)</f>
        <v>9.6836599072361592E-16</v>
      </c>
      <c r="BB25">
        <f>HLOOKUP(BB$4,Conversion!$C$4:$CC$47,$A25,)</f>
        <v>2.4537677872994118E-17</v>
      </c>
      <c r="BC25">
        <f>HLOOKUP(BC$4,Conversion!$C$4:$CC$47,$A25,)</f>
        <v>2.3734756328159999E-17</v>
      </c>
      <c r="BD25">
        <f>HLOOKUP(BD$4,Conversion!$C$4:$CC$47,$A25,)</f>
        <v>2.3734756328159999E-17</v>
      </c>
      <c r="BE25">
        <f>HLOOKUP(BE$4,Conversion!$C$4:$CC$47,$A25,)</f>
        <v>1.9654482197072737E-14</v>
      </c>
      <c r="BF25">
        <f>HLOOKUP(BF$4,Conversion!$C$4:$CC$47,$A25,)</f>
        <v>4.1088654287953906E-16</v>
      </c>
      <c r="BG25">
        <f>HLOOKUP(BG$4,Conversion!$C$4:$CC$47,$A25,)</f>
        <v>3.5924107564331718E-17</v>
      </c>
      <c r="BH25">
        <f>HLOOKUP(BH$4,Conversion!$C$4:$CC$47,$A25,)</f>
        <v>2.858476301895651E-17</v>
      </c>
      <c r="BI25">
        <f>HLOOKUP(BI$4,Conversion!$C$4:$CC$47,$A25,)</f>
        <v>2.858476301895651E-17</v>
      </c>
      <c r="BJ25">
        <f>HLOOKUP(BJ$4,Conversion!$C$4:$CC$47,$A25,)</f>
        <v>2.858476301895651E-17</v>
      </c>
      <c r="BK25">
        <f>HLOOKUP(BK$4,Conversion!$C$4:$CC$47,$A25,)</f>
        <v>1.3486329029440369E-16</v>
      </c>
      <c r="BL25">
        <f>HLOOKUP(BL$4,Conversion!$C$4:$CC$47,$A25,)</f>
        <v>1.2465873618627172E-16</v>
      </c>
      <c r="BM25">
        <f>HLOOKUP(BM$4,Conversion!$C$4:$CC$47,$A25,)</f>
        <v>1.1363319897105088E-16</v>
      </c>
      <c r="BN25">
        <f>HLOOKUP(BN$4,Conversion!$C$4:$CC$47,$A25,)</f>
        <v>1.1363319897105088E-16</v>
      </c>
      <c r="BO25">
        <f>HLOOKUP(BO$4,Conversion!$C$4:$CC$47,$A25,)</f>
        <v>5.8152067962938687E-14</v>
      </c>
      <c r="BP25">
        <f>HLOOKUP(BP$4,Conversion!$C$4:$CC$47,$A25,)</f>
        <v>5.8152067962938687E-14</v>
      </c>
      <c r="BQ25">
        <f>HLOOKUP(BQ$4,Conversion!$C$4:$CC$47,$A25,)</f>
        <v>0</v>
      </c>
      <c r="BR25">
        <f>HLOOKUP(BR$4,Conversion!$C$4:$CC$47,$A25,)</f>
        <v>1.7451126754525156E-15</v>
      </c>
      <c r="BS25">
        <f>HLOOKUP(BS$4,Conversion!$C$4:$CC$47,$A25,)</f>
        <v>4.8179975401765378E-15</v>
      </c>
      <c r="BT25">
        <f>HLOOKUP(BT$4,Conversion!$C$4:$CC$47,$A25,)</f>
        <v>7.625870010518516E-13</v>
      </c>
      <c r="BU25">
        <f>HLOOKUP(BU$4,Conversion!$C$4:$CC$47,$A25,)</f>
        <v>6.9125277067984818E-14</v>
      </c>
      <c r="BV25">
        <f>HLOOKUP(BV$4,Conversion!$C$4:$CC$47,$A25,)</f>
        <v>9.8224660803323285E-16</v>
      </c>
      <c r="BW25">
        <f>HLOOKUP(BW$4,Conversion!$C$4:$CC$47,$A25,)</f>
        <v>1.7166471580103103E-15</v>
      </c>
      <c r="BX25">
        <f>HLOOKUP(BX$4,Conversion!$C$4:$CC$47,$A25,)</f>
        <v>1.7166471580103103E-15</v>
      </c>
      <c r="BY25">
        <f>HLOOKUP(BY$4,Conversion!$C$4:$CC$47,$A25,)</f>
        <v>2.6562259911942653E-17</v>
      </c>
      <c r="BZ25">
        <f>HLOOKUP(BZ$4,Conversion!$C$4:$CC$47,$A25,)</f>
        <v>4.8230140499520127E-18</v>
      </c>
      <c r="CA25">
        <f>HLOOKUP(CA$4,Conversion!$C$4:$CC$47,$A25,)</f>
        <v>4.0979701880171645E-18</v>
      </c>
      <c r="CB25">
        <f>HLOOKUP(CB$4,Conversion!$C$4:$CC$47,$A25,)</f>
        <v>3.6448837719671142E-18</v>
      </c>
      <c r="CC25">
        <f>HLOOKUP(CC$4,Conversion!$C$4:$CC$47,$A25,)</f>
        <v>6.7861810444322169E-16</v>
      </c>
    </row>
    <row r="26" spans="1:81" x14ac:dyDescent="0.15">
      <c r="A26">
        <v>23</v>
      </c>
      <c r="B26" t="s">
        <v>38</v>
      </c>
      <c r="C26">
        <f>HLOOKUP($C$4,Conversion!$C$4:$CC$47,$A26,)</f>
        <v>5.9064876152200956E-16</v>
      </c>
      <c r="D26">
        <f>HLOOKUP($D$4,Conversion!$C$4:$CC$47,$A26,)</f>
        <v>7.5867178547300936E-17</v>
      </c>
      <c r="E26">
        <f>HLOOKUP($E$4,Conversion!$C$4:$CC$47,$A26,)</f>
        <v>4.892401024392388E-16</v>
      </c>
      <c r="F26">
        <f>HLOOKUP($F$4,Conversion!$C$4:$CC$47,$A26,)</f>
        <v>4.3244562733628119E-16</v>
      </c>
      <c r="G26">
        <f>HLOOKUP($G$4,Conversion!$C$4:$CC$47,$A26,)</f>
        <v>3.8900180843399684E-15</v>
      </c>
      <c r="H26">
        <f>HLOOKUP($H$4,Conversion!$C$4:$CC$47,$A26,)</f>
        <v>5.5821760351258823E-16</v>
      </c>
      <c r="I26">
        <f>HLOOKUP($I$4,Conversion!$C$4:$CC$47,$A26,)</f>
        <v>1.6031171811967491E-15</v>
      </c>
      <c r="J26">
        <f>HLOOKUP($J$4,Conversion!$C$4:$CC$47,$A26,)</f>
        <v>1.6031171811967491E-15</v>
      </c>
      <c r="K26">
        <f>HLOOKUP($K$4,Conversion!$C$4:$CC$47,$A26,)</f>
        <v>1.6031171811967491E-15</v>
      </c>
      <c r="L26">
        <f>HLOOKUP($L$4,Conversion!$C$4:$CC$47,$A26,)</f>
        <v>4.892401024392388E-16</v>
      </c>
      <c r="M26">
        <f>HLOOKUP($M$4,Conversion!$C$4:$CC$47,$A26,)</f>
        <v>4.892401024392388E-16</v>
      </c>
      <c r="N26">
        <f>HLOOKUP($N$4,Conversion!$C$4:$CC$47,$A26,)</f>
        <v>4.892401024392388E-16</v>
      </c>
      <c r="O26">
        <f>HLOOKUP($O$4,Conversion!$C$4:$CC$47,$A26,)</f>
        <v>1.0996655190743344E-15</v>
      </c>
      <c r="P26">
        <f>HLOOKUP($P$4,Conversion!$C$4:$CC$47,$A26,)</f>
        <v>2.8438268277335491E-17</v>
      </c>
      <c r="Q26">
        <f>HLOOKUP($Q$4,Conversion!$C$4:$CC$47,$A26,)</f>
        <v>1.826234369046997E-15</v>
      </c>
      <c r="R26">
        <f>HLOOKUP($R$4,Conversion!$C$4:$CC$47,$A26,)</f>
        <v>1.826234369046997E-15</v>
      </c>
      <c r="S26">
        <f>HLOOKUP($S$4,Conversion!$C$4:$CC$47,$A26,)</f>
        <v>8.7480753228903532E-15</v>
      </c>
      <c r="T26">
        <f>HLOOKUP($T$4,Conversion!$C$4:$CC$47,$A26,)</f>
        <v>4.4345199523176037E-14</v>
      </c>
      <c r="U26">
        <f>HLOOKUP($U$4,Conversion!$C$4:$CC$47,$A26,)</f>
        <v>4.4345199523176037E-14</v>
      </c>
      <c r="V26">
        <f>HLOOKUP($V$4,Conversion!$C$4:$CC$47,$A26,)</f>
        <v>4.4345199523176037E-14</v>
      </c>
      <c r="W26">
        <f>HLOOKUP($W$4,Conversion!$C$4:$CC$47,$A26,)</f>
        <v>4.4345199523176037E-14</v>
      </c>
      <c r="X26">
        <f>HLOOKUP($X$4,Conversion!$C$4:$CC$47,$A26,)</f>
        <v>4.4345199523176037E-14</v>
      </c>
      <c r="Y26">
        <f>HLOOKUP($Y$4,Conversion!$C$4:$CC$47,$A26,)</f>
        <v>5.8129781574015107E-15</v>
      </c>
      <c r="Z26">
        <f>HLOOKUP($Z$4,Conversion!$C$4:$CC$47,$A26,)</f>
        <v>9.0009446196547114E-17</v>
      </c>
      <c r="AA26">
        <f>HLOOKUP($AA$4,Conversion!$C$4:$CC$47,$A26,)</f>
        <v>9.1976076380381584E-17</v>
      </c>
      <c r="AB26">
        <f>HLOOKUP($AB$4,Conversion!$C$4:$CC$47,$A26,)</f>
        <v>3.9926522027256776E-16</v>
      </c>
      <c r="AC26">
        <f>HLOOKUP($AC$4,Conversion!$C$4:$CC$47,$A26,)</f>
        <v>5.3327293624142249E-17</v>
      </c>
      <c r="AD26">
        <f>HLOOKUP($AD$4,Conversion!$C$4:$CC$47,$A26,)</f>
        <v>1.6808091310892756E-17</v>
      </c>
      <c r="AE26">
        <f>HLOOKUP($AE$4,Conversion!$C$4:$CC$47,$A26,)</f>
        <v>1.2499052866875382E-17</v>
      </c>
      <c r="AF26">
        <f>HLOOKUP($AF$4,Conversion!$C$4:$CC$47,$A26,)</f>
        <v>1.4002307775344577E-17</v>
      </c>
      <c r="AG26">
        <f>HLOOKUP(AG$4,Conversion!$C$4:$CC$47,$A26,)</f>
        <v>1.4244365538480266E-16</v>
      </c>
      <c r="AH26">
        <f>HLOOKUP(AH$4,Conversion!$C$4:$CC$47,$A26,)</f>
        <v>5.2642567544433364E-16</v>
      </c>
      <c r="AI26">
        <f>HLOOKUP(AI$4,Conversion!$C$4:$CC$47,$A26,)</f>
        <v>4.9723617718527158E-16</v>
      </c>
      <c r="AJ26">
        <f>HLOOKUP(AJ$4,Conversion!$C$4:$CC$47,$A26,)</f>
        <v>1.9163919194707499E-14</v>
      </c>
      <c r="AK26">
        <f>HLOOKUP(AK$4,Conversion!$C$4:$CC$47,$A26,)</f>
        <v>6.5879446140912122E-16</v>
      </c>
      <c r="AL26">
        <f>HLOOKUP(AL$4,Conversion!$C$4:$CC$47,$A26,)</f>
        <v>1.858329791993915E-15</v>
      </c>
      <c r="AM26">
        <f>HLOOKUP(AM$4,Conversion!$C$4:$CC$47,$A26,)</f>
        <v>6.5908697567500913E-16</v>
      </c>
      <c r="AN26">
        <f>HLOOKUP(AN$4,Conversion!$C$4:$CC$47,$A26,)</f>
        <v>1.6814031493107023E-15</v>
      </c>
      <c r="AO26">
        <f>HLOOKUP(AO$4,Conversion!$C$4:$CC$47,$A26,)</f>
        <v>1.6814031493107023E-15</v>
      </c>
      <c r="AP26">
        <f>HLOOKUP(AP$4,Conversion!$C$4:$CC$47,$A26,)</f>
        <v>1.6814031493107023E-15</v>
      </c>
      <c r="AQ26">
        <f>HLOOKUP(AQ$4,Conversion!$C$4:$CC$47,$A26,)</f>
        <v>7.4444288943071885E-14</v>
      </c>
      <c r="AR26">
        <f>HLOOKUP(AR$4,Conversion!$C$4:$CC$47,$A26,)</f>
        <v>7.4444288943071885E-14</v>
      </c>
      <c r="AS26">
        <f>HLOOKUP(AS$4,Conversion!$C$4:$CC$47,$A26,)</f>
        <v>3.7914022158286585E-18</v>
      </c>
      <c r="AT26">
        <f>HLOOKUP(AT$4,Conversion!$C$4:$CC$47,$A26,)</f>
        <v>5.8137993245582034E-17</v>
      </c>
      <c r="AU26">
        <f>HLOOKUP(AU$4,Conversion!$C$4:$CC$47,$A26,)</f>
        <v>1.4197573012945575E-14</v>
      </c>
      <c r="AV26">
        <f>HLOOKUP(AV$4,Conversion!$C$4:$CC$47,$A26,)</f>
        <v>0</v>
      </c>
      <c r="AW26">
        <f>HLOOKUP(AW$4,Conversion!$C$4:$CC$47,$A26,)</f>
        <v>3.5739930390960472E-19</v>
      </c>
      <c r="AX26">
        <f>HLOOKUP(AX$4,Conversion!$C$4:$CC$47,$A26,)</f>
        <v>2.2644708348885002E-18</v>
      </c>
      <c r="AY26">
        <f>HLOOKUP(AY$4,Conversion!$C$4:$CC$47,$A26,)</f>
        <v>2.2644708348885002E-18</v>
      </c>
      <c r="AZ26">
        <f>HLOOKUP(AZ$4,Conversion!$C$4:$CC$47,$A26,)</f>
        <v>1.3313350719332316E-15</v>
      </c>
      <c r="BA26">
        <f>HLOOKUP(BA$4,Conversion!$C$4:$CC$47,$A26,)</f>
        <v>8.8354585919642101E-16</v>
      </c>
      <c r="BB26">
        <f>HLOOKUP(BB$4,Conversion!$C$4:$CC$47,$A26,)</f>
        <v>1.7549441115622733E-17</v>
      </c>
      <c r="BC26">
        <f>HLOOKUP(BC$4,Conversion!$C$4:$CC$47,$A26,)</f>
        <v>1.5706630511983112E-17</v>
      </c>
      <c r="BD26">
        <f>HLOOKUP(BD$4,Conversion!$C$4:$CC$47,$A26,)</f>
        <v>1.5706979859866747E-17</v>
      </c>
      <c r="BE26">
        <f>HLOOKUP(BE$4,Conversion!$C$4:$CC$47,$A26,)</f>
        <v>1.9035060046613888E-14</v>
      </c>
      <c r="BF26">
        <f>HLOOKUP(BF$4,Conversion!$C$4:$CC$47,$A26,)</f>
        <v>3.6256621833530922E-16</v>
      </c>
      <c r="BG26">
        <f>HLOOKUP(BG$4,Conversion!$C$4:$CC$47,$A26,)</f>
        <v>2.319101288936138E-17</v>
      </c>
      <c r="BH26">
        <f>HLOOKUP(BH$4,Conversion!$C$4:$CC$47,$A26,)</f>
        <v>2.3112863444369487E-17</v>
      </c>
      <c r="BI26">
        <f>HLOOKUP(BI$4,Conversion!$C$4:$CC$47,$A26,)</f>
        <v>2.3421022831103332E-17</v>
      </c>
      <c r="BJ26">
        <f>HLOOKUP(BJ$4,Conversion!$C$4:$CC$47,$A26,)</f>
        <v>2.3112863444369487E-17</v>
      </c>
      <c r="BK26">
        <f>HLOOKUP(BK$4,Conversion!$C$4:$CC$47,$A26,)</f>
        <v>1.0931636378244348E-16</v>
      </c>
      <c r="BL26">
        <f>HLOOKUP(BL$4,Conversion!$C$4:$CC$47,$A26,)</f>
        <v>9.4292773763130817E-17</v>
      </c>
      <c r="BM26">
        <f>HLOOKUP(BM$4,Conversion!$C$4:$CC$47,$A26,)</f>
        <v>9.3413114859688273E-17</v>
      </c>
      <c r="BN26">
        <f>HLOOKUP(BN$4,Conversion!$C$4:$CC$47,$A26,)</f>
        <v>9.3413114859688273E-17</v>
      </c>
      <c r="BO26">
        <f>HLOOKUP(BO$4,Conversion!$C$4:$CC$47,$A26,)</f>
        <v>2.9645100204330616E-14</v>
      </c>
      <c r="BP26">
        <f>HLOOKUP(BP$4,Conversion!$C$4:$CC$47,$A26,)</f>
        <v>2.9645100204330616E-14</v>
      </c>
      <c r="BQ26">
        <f>HLOOKUP(BQ$4,Conversion!$C$4:$CC$47,$A26,)</f>
        <v>0</v>
      </c>
      <c r="BR26">
        <f>HLOOKUP(BR$4,Conversion!$C$4:$CC$47,$A26,)</f>
        <v>1.2017228705536969E-15</v>
      </c>
      <c r="BS26">
        <f>HLOOKUP(BS$4,Conversion!$C$4:$CC$47,$A26,)</f>
        <v>3.3892835890889992E-15</v>
      </c>
      <c r="BT26">
        <f>HLOOKUP(BT$4,Conversion!$C$4:$CC$47,$A26,)</f>
        <v>6.9294199038144626E-14</v>
      </c>
      <c r="BU26">
        <f>HLOOKUP(BU$4,Conversion!$C$4:$CC$47,$A26,)</f>
        <v>1.2203735827483687E-11</v>
      </c>
      <c r="BV26">
        <f>HLOOKUP(BV$4,Conversion!$C$4:$CC$47,$A26,)</f>
        <v>1.0353891341953575E-15</v>
      </c>
      <c r="BW26">
        <f>HLOOKUP(BW$4,Conversion!$C$4:$CC$47,$A26,)</f>
        <v>1.8339359654042304E-15</v>
      </c>
      <c r="BX26">
        <f>HLOOKUP(BX$4,Conversion!$C$4:$CC$47,$A26,)</f>
        <v>1.8339359654042304E-15</v>
      </c>
      <c r="BY26">
        <f>HLOOKUP(BY$4,Conversion!$C$4:$CC$47,$A26,)</f>
        <v>2.0728894386629454E-17</v>
      </c>
      <c r="BZ26">
        <f>HLOOKUP(BZ$4,Conversion!$C$4:$CC$47,$A26,)</f>
        <v>8.8283807649546524E-19</v>
      </c>
      <c r="CA26">
        <f>HLOOKUP(CA$4,Conversion!$C$4:$CC$47,$A26,)</f>
        <v>3.3260396608746741E-18</v>
      </c>
      <c r="CB26">
        <f>HLOOKUP(CB$4,Conversion!$C$4:$CC$47,$A26,)</f>
        <v>2.1868140255255412E-18</v>
      </c>
      <c r="CC26">
        <f>HLOOKUP(CC$4,Conversion!$C$4:$CC$47,$A26,)</f>
        <v>6.6604137366205159E-16</v>
      </c>
    </row>
    <row r="27" spans="1:81" x14ac:dyDescent="0.15">
      <c r="A27">
        <v>24</v>
      </c>
      <c r="B27" t="s">
        <v>29</v>
      </c>
      <c r="C27">
        <f>HLOOKUP($C$4,Conversion!$C$4:$CC$47,$A27,)</f>
        <v>5.0812387471840314E-16</v>
      </c>
      <c r="D27">
        <f>HLOOKUP($D$4,Conversion!$C$4:$CC$47,$A27,)</f>
        <v>8.3914014969480237E-17</v>
      </c>
      <c r="E27">
        <f>HLOOKUP($E$4,Conversion!$C$4:$CC$47,$A27,)</f>
        <v>5.7811584559601732E-16</v>
      </c>
      <c r="F27">
        <f>HLOOKUP($F$4,Conversion!$C$4:$CC$47,$A27,)</f>
        <v>4.3575032648580603E-16</v>
      </c>
      <c r="G27">
        <f>HLOOKUP($G$4,Conversion!$C$4:$CC$47,$A27,)</f>
        <v>3.4217434044047165E-15</v>
      </c>
      <c r="H27">
        <f>HLOOKUP($H$4,Conversion!$C$4:$CC$47,$A27,)</f>
        <v>5.8073627675810257E-16</v>
      </c>
      <c r="I27">
        <f>HLOOKUP($I$4,Conversion!$C$4:$CC$47,$A27,)</f>
        <v>1.94484411624794E-15</v>
      </c>
      <c r="J27">
        <f>HLOOKUP($J$4,Conversion!$C$4:$CC$47,$A27,)</f>
        <v>1.94484411624794E-15</v>
      </c>
      <c r="K27">
        <f>HLOOKUP($K$4,Conversion!$C$4:$CC$47,$A27,)</f>
        <v>1.94484411624794E-15</v>
      </c>
      <c r="L27">
        <f>HLOOKUP($L$4,Conversion!$C$4:$CC$47,$A27,)</f>
        <v>5.7811584559601732E-16</v>
      </c>
      <c r="M27">
        <f>HLOOKUP($M$4,Conversion!$C$4:$CC$47,$A27,)</f>
        <v>5.7811584559601732E-16</v>
      </c>
      <c r="N27">
        <f>HLOOKUP($N$4,Conversion!$C$4:$CC$47,$A27,)</f>
        <v>5.7811584559601732E-16</v>
      </c>
      <c r="O27">
        <f>HLOOKUP($O$4,Conversion!$C$4:$CC$47,$A27,)</f>
        <v>1.0098887678498034E-15</v>
      </c>
      <c r="P27">
        <f>HLOOKUP($P$4,Conversion!$C$4:$CC$47,$A27,)</f>
        <v>3.6123703793924633E-17</v>
      </c>
      <c r="Q27">
        <f>HLOOKUP($Q$4,Conversion!$C$4:$CC$47,$A27,)</f>
        <v>1.489285269749728E-15</v>
      </c>
      <c r="R27">
        <f>HLOOKUP($R$4,Conversion!$C$4:$CC$47,$A27,)</f>
        <v>1.489285269749728E-15</v>
      </c>
      <c r="S27">
        <f>HLOOKUP($S$4,Conversion!$C$4:$CC$47,$A27,)</f>
        <v>3.5493076636135976E-15</v>
      </c>
      <c r="T27">
        <f>HLOOKUP($T$4,Conversion!$C$4:$CC$47,$A27,)</f>
        <v>1.6894134197729559E-14</v>
      </c>
      <c r="U27">
        <f>HLOOKUP($U$4,Conversion!$C$4:$CC$47,$A27,)</f>
        <v>1.6894134197729559E-14</v>
      </c>
      <c r="V27">
        <f>HLOOKUP($V$4,Conversion!$C$4:$CC$47,$A27,)</f>
        <v>1.6894134197729559E-14</v>
      </c>
      <c r="W27">
        <f>HLOOKUP($W$4,Conversion!$C$4:$CC$47,$A27,)</f>
        <v>1.6894134197729559E-14</v>
      </c>
      <c r="X27">
        <f>HLOOKUP($X$4,Conversion!$C$4:$CC$47,$A27,)</f>
        <v>1.6894134197729559E-14</v>
      </c>
      <c r="Y27">
        <f>HLOOKUP($Y$4,Conversion!$C$4:$CC$47,$A27,)</f>
        <v>2.9402349700375209E-15</v>
      </c>
      <c r="Z27">
        <f>HLOOKUP($Z$4,Conversion!$C$4:$CC$47,$A27,)</f>
        <v>8.5046550929961881E-17</v>
      </c>
      <c r="AA27">
        <f>HLOOKUP($AA$4,Conversion!$C$4:$CC$47,$A27,)</f>
        <v>8.5270121666431826E-17</v>
      </c>
      <c r="AB27">
        <f>HLOOKUP($AB$4,Conversion!$C$4:$CC$47,$A27,)</f>
        <v>4.1298196346482229E-16</v>
      </c>
      <c r="AC27">
        <f>HLOOKUP($AC$4,Conversion!$C$4:$CC$47,$A27,)</f>
        <v>5.2938265892325278E-17</v>
      </c>
      <c r="AD27">
        <f>HLOOKUP($AD$4,Conversion!$C$4:$CC$47,$A27,)</f>
        <v>1.3881718125572817E-17</v>
      </c>
      <c r="AE27">
        <f>HLOOKUP($AE$4,Conversion!$C$4:$CC$47,$A27,)</f>
        <v>1.224447601912287E-17</v>
      </c>
      <c r="AF27">
        <f>HLOOKUP($AF$4,Conversion!$C$4:$CC$47,$A27,)</f>
        <v>1.224447601912287E-17</v>
      </c>
      <c r="AG27">
        <f>HLOOKUP(AG$4,Conversion!$C$4:$CC$47,$A27,)</f>
        <v>1.332063810330997E-16</v>
      </c>
      <c r="AH27">
        <f>HLOOKUP(AH$4,Conversion!$C$4:$CC$47,$A27,)</f>
        <v>6.2359950705049E-16</v>
      </c>
      <c r="AI27">
        <f>HLOOKUP(AI$4,Conversion!$C$4:$CC$47,$A27,)</f>
        <v>5.5841779571740787E-16</v>
      </c>
      <c r="AJ27">
        <f>HLOOKUP(AJ$4,Conversion!$C$4:$CC$47,$A27,)</f>
        <v>2.6777461183553232E-14</v>
      </c>
      <c r="AK27">
        <f>HLOOKUP(AK$4,Conversion!$C$4:$CC$47,$A27,)</f>
        <v>1.2758972802923972E-15</v>
      </c>
      <c r="AL27">
        <f>HLOOKUP(AL$4,Conversion!$C$4:$CC$47,$A27,)</f>
        <v>2.3207143801207113E-15</v>
      </c>
      <c r="AM27">
        <f>HLOOKUP(AM$4,Conversion!$C$4:$CC$47,$A27,)</f>
        <v>5.5893819146415946E-16</v>
      </c>
      <c r="AN27">
        <f>HLOOKUP(AN$4,Conversion!$C$4:$CC$47,$A27,)</f>
        <v>2.086897747635541E-15</v>
      </c>
      <c r="AO27">
        <f>HLOOKUP(AO$4,Conversion!$C$4:$CC$47,$A27,)</f>
        <v>2.086897747635541E-15</v>
      </c>
      <c r="AP27">
        <f>HLOOKUP(AP$4,Conversion!$C$4:$CC$47,$A27,)</f>
        <v>2.086897747635541E-15</v>
      </c>
      <c r="AQ27">
        <f>HLOOKUP(AQ$4,Conversion!$C$4:$CC$47,$A27,)</f>
        <v>1.7513538337551988E-14</v>
      </c>
      <c r="AR27">
        <f>HLOOKUP(AR$4,Conversion!$C$4:$CC$47,$A27,)</f>
        <v>1.9537995886096446E-14</v>
      </c>
      <c r="AS27">
        <f>HLOOKUP(AS$4,Conversion!$C$4:$CC$47,$A27,)</f>
        <v>3.5301541723630063E-18</v>
      </c>
      <c r="AT27">
        <f>HLOOKUP(AT$4,Conversion!$C$4:$CC$47,$A27,)</f>
        <v>5.7824029071000011E-17</v>
      </c>
      <c r="AU27">
        <f>HLOOKUP(AU$4,Conversion!$C$4:$CC$47,$A27,)</f>
        <v>8.0774608483831175E-15</v>
      </c>
      <c r="AV27">
        <f>HLOOKUP(AV$4,Conversion!$C$4:$CC$47,$A27,)</f>
        <v>0</v>
      </c>
      <c r="AW27">
        <f>HLOOKUP(AW$4,Conversion!$C$4:$CC$47,$A27,)</f>
        <v>3.5497653023265041E-18</v>
      </c>
      <c r="AX27">
        <f>HLOOKUP(AX$4,Conversion!$C$4:$CC$47,$A27,)</f>
        <v>3.2822980755668054E-18</v>
      </c>
      <c r="AY27">
        <f>HLOOKUP(AY$4,Conversion!$C$4:$CC$47,$A27,)</f>
        <v>3.6944759958209223E-18</v>
      </c>
      <c r="AZ27">
        <f>HLOOKUP(AZ$4,Conversion!$C$4:$CC$47,$A27,)</f>
        <v>1.1911271803743616E-15</v>
      </c>
      <c r="BA27">
        <f>HLOOKUP(BA$4,Conversion!$C$4:$CC$47,$A27,)</f>
        <v>7.3399496545806176E-16</v>
      </c>
      <c r="BB27">
        <f>HLOOKUP(BB$4,Conversion!$C$4:$CC$47,$A27,)</f>
        <v>1.8154753752891194E-17</v>
      </c>
      <c r="BC27">
        <f>HLOOKUP(BC$4,Conversion!$C$4:$CC$47,$A27,)</f>
        <v>1.82532416360237E-17</v>
      </c>
      <c r="BD27">
        <f>HLOOKUP(BD$4,Conversion!$C$4:$CC$47,$A27,)</f>
        <v>1.825474734937581E-17</v>
      </c>
      <c r="BE27">
        <f>HLOOKUP(BE$4,Conversion!$C$4:$CC$47,$A27,)</f>
        <v>5.9896079266454502E-13</v>
      </c>
      <c r="BF27">
        <f>HLOOKUP(BF$4,Conversion!$C$4:$CC$47,$A27,)</f>
        <v>5.1535852773826077E-16</v>
      </c>
      <c r="BG27">
        <f>HLOOKUP(BG$4,Conversion!$C$4:$CC$47,$A27,)</f>
        <v>2.8025501370440201E-17</v>
      </c>
      <c r="BH27">
        <f>HLOOKUP(BH$4,Conversion!$C$4:$CC$47,$A27,)</f>
        <v>2.2730735992478682E-17</v>
      </c>
      <c r="BI27">
        <f>HLOOKUP(BI$4,Conversion!$C$4:$CC$47,$A27,)</f>
        <v>2.2730735992478682E-17</v>
      </c>
      <c r="BJ27">
        <f>HLOOKUP(BJ$4,Conversion!$C$4:$CC$47,$A27,)</f>
        <v>2.2730735992478682E-17</v>
      </c>
      <c r="BK27">
        <f>HLOOKUP(BK$4,Conversion!$C$4:$CC$47,$A27,)</f>
        <v>1.3311149545812358E-16</v>
      </c>
      <c r="BL27">
        <f>HLOOKUP(BL$4,Conversion!$C$4:$CC$47,$A27,)</f>
        <v>1.0590111029850318E-16</v>
      </c>
      <c r="BM27">
        <f>HLOOKUP(BM$4,Conversion!$C$4:$CC$47,$A27,)</f>
        <v>9.2369204614487255E-17</v>
      </c>
      <c r="BN27">
        <f>HLOOKUP(BN$4,Conversion!$C$4:$CC$47,$A27,)</f>
        <v>9.2367575097301188E-17</v>
      </c>
      <c r="BO27">
        <f>HLOOKUP(BO$4,Conversion!$C$4:$CC$47,$A27,)</f>
        <v>9.720254476894332E-15</v>
      </c>
      <c r="BP27">
        <f>HLOOKUP(BP$4,Conversion!$C$4:$CC$47,$A27,)</f>
        <v>9.7167350216251508E-15</v>
      </c>
      <c r="BQ27">
        <f>HLOOKUP(BQ$4,Conversion!$C$4:$CC$47,$A27,)</f>
        <v>0</v>
      </c>
      <c r="BR27">
        <f>HLOOKUP(BR$4,Conversion!$C$4:$CC$47,$A27,)</f>
        <v>1.401972479491074E-15</v>
      </c>
      <c r="BS27">
        <f>HLOOKUP(BS$4,Conversion!$C$4:$CC$47,$A27,)</f>
        <v>4.3636974098602769E-15</v>
      </c>
      <c r="BT27">
        <f>HLOOKUP(BT$4,Conversion!$C$4:$CC$47,$A27,)</f>
        <v>1.9604565826124768E-14</v>
      </c>
      <c r="BU27">
        <f>HLOOKUP(BU$4,Conversion!$C$4:$CC$47,$A27,)</f>
        <v>1.9061961205212828E-14</v>
      </c>
      <c r="BV27">
        <f>HLOOKUP(BV$4,Conversion!$C$4:$CC$47,$A27,)</f>
        <v>8.6876592820477224E-16</v>
      </c>
      <c r="BW27">
        <f>HLOOKUP(BW$4,Conversion!$C$4:$CC$47,$A27,)</f>
        <v>1.548389922441241E-15</v>
      </c>
      <c r="BX27">
        <f>HLOOKUP(BX$4,Conversion!$C$4:$CC$47,$A27,)</f>
        <v>1.548389922441241E-15</v>
      </c>
      <c r="BY27">
        <f>HLOOKUP(BY$4,Conversion!$C$4:$CC$47,$A27,)</f>
        <v>2.0579213263538498E-17</v>
      </c>
      <c r="BZ27">
        <f>HLOOKUP(BZ$4,Conversion!$C$4:$CC$47,$A27,)</f>
        <v>3.7083814996231703E-18</v>
      </c>
      <c r="CA27">
        <f>HLOOKUP(CA$4,Conversion!$C$4:$CC$47,$A27,)</f>
        <v>3.1163355027440747E-18</v>
      </c>
      <c r="CB27">
        <f>HLOOKUP(CB$4,Conversion!$C$4:$CC$47,$A27,)</f>
        <v>2.7024045272628708E-18</v>
      </c>
      <c r="CC27">
        <f>HLOOKUP(CC$4,Conversion!$C$4:$CC$47,$A27,)</f>
        <v>5.8864441545460883E-16</v>
      </c>
    </row>
    <row r="28" spans="1:81" x14ac:dyDescent="0.15">
      <c r="A28">
        <v>25</v>
      </c>
      <c r="B28" t="s">
        <v>36</v>
      </c>
      <c r="C28">
        <f>HLOOKUP($C$4,Conversion!$C$4:$CC$47,$A28,)</f>
        <v>5.9090763324140136E-16</v>
      </c>
      <c r="D28">
        <f>HLOOKUP($D$4,Conversion!$C$4:$CC$47,$A28,)</f>
        <v>2.5042014019253266E-16</v>
      </c>
      <c r="E28">
        <f>HLOOKUP($E$4,Conversion!$C$4:$CC$47,$A28,)</f>
        <v>2.6188527422049734E-15</v>
      </c>
      <c r="F28">
        <f>HLOOKUP($F$4,Conversion!$C$4:$CC$47,$A28,)</f>
        <v>2.3502197072433352E-15</v>
      </c>
      <c r="G28">
        <f>HLOOKUP($G$4,Conversion!$C$4:$CC$47,$A28,)</f>
        <v>6.5921076270431337E-16</v>
      </c>
      <c r="H28">
        <f>HLOOKUP($H$4,Conversion!$C$4:$CC$47,$A28,)</f>
        <v>1.1265990868913636E-15</v>
      </c>
      <c r="I28">
        <f>HLOOKUP($I$4,Conversion!$C$4:$CC$47,$A28,)</f>
        <v>3.0869127523519283E-14</v>
      </c>
      <c r="J28">
        <f>HLOOKUP($J$4,Conversion!$C$4:$CC$47,$A28,)</f>
        <v>3.0869127523519283E-14</v>
      </c>
      <c r="K28">
        <f>HLOOKUP($K$4,Conversion!$C$4:$CC$47,$A28,)</f>
        <v>3.0869127523519283E-14</v>
      </c>
      <c r="L28">
        <f>HLOOKUP($L$4,Conversion!$C$4:$CC$47,$A28,)</f>
        <v>2.6188527422049734E-15</v>
      </c>
      <c r="M28">
        <f>HLOOKUP($M$4,Conversion!$C$4:$CC$47,$A28,)</f>
        <v>2.6188527422049734E-15</v>
      </c>
      <c r="N28">
        <f>HLOOKUP($N$4,Conversion!$C$4:$CC$47,$A28,)</f>
        <v>2.6188527422049734E-15</v>
      </c>
      <c r="O28">
        <f>HLOOKUP($O$4,Conversion!$C$4:$CC$47,$A28,)</f>
        <v>1.2593781666626588E-15</v>
      </c>
      <c r="P28">
        <f>HLOOKUP($P$4,Conversion!$C$4:$CC$47,$A28,)</f>
        <v>8.0603313477494176E-17</v>
      </c>
      <c r="Q28">
        <f>HLOOKUP($Q$4,Conversion!$C$4:$CC$47,$A28,)</f>
        <v>1.0025763189388934E-15</v>
      </c>
      <c r="R28">
        <f>HLOOKUP($R$4,Conversion!$C$4:$CC$47,$A28,)</f>
        <v>1.0025763189388934E-15</v>
      </c>
      <c r="S28">
        <f>HLOOKUP($S$4,Conversion!$C$4:$CC$47,$A28,)</f>
        <v>1.1638047453659199E-15</v>
      </c>
      <c r="T28">
        <f>HLOOKUP($T$4,Conversion!$C$4:$CC$47,$A28,)</f>
        <v>7.4654026617682377E-15</v>
      </c>
      <c r="U28">
        <f>HLOOKUP($U$4,Conversion!$C$4:$CC$47,$A28,)</f>
        <v>7.4654026617682377E-15</v>
      </c>
      <c r="V28">
        <f>HLOOKUP($V$4,Conversion!$C$4:$CC$47,$A28,)</f>
        <v>7.4654026617682377E-15</v>
      </c>
      <c r="W28">
        <f>HLOOKUP($W$4,Conversion!$C$4:$CC$47,$A28,)</f>
        <v>7.4654026617682377E-15</v>
      </c>
      <c r="X28">
        <f>HLOOKUP($X$4,Conversion!$C$4:$CC$47,$A28,)</f>
        <v>7.4654026617682377E-15</v>
      </c>
      <c r="Y28">
        <f>HLOOKUP($Y$4,Conversion!$C$4:$CC$47,$A28,)</f>
        <v>7.4047500174358116E-16</v>
      </c>
      <c r="Z28">
        <f>HLOOKUP($Z$4,Conversion!$C$4:$CC$47,$A28,)</f>
        <v>2.3120112184394569E-16</v>
      </c>
      <c r="AA28">
        <f>HLOOKUP($AA$4,Conversion!$C$4:$CC$47,$A28,)</f>
        <v>2.4036657642087844E-16</v>
      </c>
      <c r="AB28">
        <f>HLOOKUP($AB$4,Conversion!$C$4:$CC$47,$A28,)</f>
        <v>1.7753419374963945E-15</v>
      </c>
      <c r="AC28">
        <f>HLOOKUP($AC$4,Conversion!$C$4:$CC$47,$A28,)</f>
        <v>1.3755843675330099E-16</v>
      </c>
      <c r="AD28">
        <f>HLOOKUP($AD$4,Conversion!$C$4:$CC$47,$A28,)</f>
        <v>3.1403684193716262E-17</v>
      </c>
      <c r="AE28">
        <f>HLOOKUP($AE$4,Conversion!$C$4:$CC$47,$A28,)</f>
        <v>2.8602468348907886E-17</v>
      </c>
      <c r="AF28">
        <f>HLOOKUP($AF$4,Conversion!$C$4:$CC$47,$A28,)</f>
        <v>2.8602468348907886E-17</v>
      </c>
      <c r="AG28">
        <f>HLOOKUP(AG$4,Conversion!$C$4:$CC$47,$A28,)</f>
        <v>3.7854088327111368E-16</v>
      </c>
      <c r="AH28">
        <f>HLOOKUP(AH$4,Conversion!$C$4:$CC$47,$A28,)</f>
        <v>3.5611197974536081E-15</v>
      </c>
      <c r="AI28">
        <f>HLOOKUP(AI$4,Conversion!$C$4:$CC$47,$A28,)</f>
        <v>2.5270081106743191E-15</v>
      </c>
      <c r="AJ28">
        <f>HLOOKUP(AJ$4,Conversion!$C$4:$CC$47,$A28,)</f>
        <v>1.3057752641931438E-14</v>
      </c>
      <c r="AK28">
        <f>HLOOKUP(AK$4,Conversion!$C$4:$CC$47,$A28,)</f>
        <v>3.0882487336020326E-15</v>
      </c>
      <c r="AL28">
        <f>HLOOKUP(AL$4,Conversion!$C$4:$CC$47,$A28,)</f>
        <v>5.4051097966671509E-14</v>
      </c>
      <c r="AM28">
        <f>HLOOKUP(AM$4,Conversion!$C$4:$CC$47,$A28,)</f>
        <v>9.0568138132820383E-16</v>
      </c>
      <c r="AN28">
        <f>HLOOKUP(AN$4,Conversion!$C$4:$CC$47,$A28,)</f>
        <v>2.2322428784125854E-14</v>
      </c>
      <c r="AO28">
        <f>HLOOKUP(AO$4,Conversion!$C$4:$CC$47,$A28,)</f>
        <v>2.2322428784125854E-14</v>
      </c>
      <c r="AP28">
        <f>HLOOKUP(AP$4,Conversion!$C$4:$CC$47,$A28,)</f>
        <v>2.2322428784125854E-14</v>
      </c>
      <c r="AQ28">
        <f>HLOOKUP(AQ$4,Conversion!$C$4:$CC$47,$A28,)</f>
        <v>4.4722243152140992E-15</v>
      </c>
      <c r="AR28">
        <f>HLOOKUP(AR$4,Conversion!$C$4:$CC$47,$A28,)</f>
        <v>4.4722243152140992E-15</v>
      </c>
      <c r="AS28">
        <f>HLOOKUP(AS$4,Conversion!$C$4:$CC$47,$A28,)</f>
        <v>5.373603806278027E-18</v>
      </c>
      <c r="AT28">
        <f>HLOOKUP(AT$4,Conversion!$C$4:$CC$47,$A28,)</f>
        <v>1.4462741356828899E-16</v>
      </c>
      <c r="AU28">
        <f>HLOOKUP(AU$4,Conversion!$C$4:$CC$47,$A28,)</f>
        <v>1.4878725853613271E-15</v>
      </c>
      <c r="AV28">
        <f>HLOOKUP(AV$4,Conversion!$C$4:$CC$47,$A28,)</f>
        <v>0</v>
      </c>
      <c r="AW28">
        <f>HLOOKUP(AW$4,Conversion!$C$4:$CC$47,$A28,)</f>
        <v>7.0085501416559372E-18</v>
      </c>
      <c r="AX28">
        <f>HLOOKUP(AX$4,Conversion!$C$4:$CC$47,$A28,)</f>
        <v>6.6862984038719935E-18</v>
      </c>
      <c r="AY28">
        <f>HLOOKUP(AY$4,Conversion!$C$4:$CC$47,$A28,)</f>
        <v>6.6862984038719935E-18</v>
      </c>
      <c r="AZ28">
        <f>HLOOKUP(AZ$4,Conversion!$C$4:$CC$47,$A28,)</f>
        <v>1.7653845849526597E-15</v>
      </c>
      <c r="BA28">
        <f>HLOOKUP(BA$4,Conversion!$C$4:$CC$47,$A28,)</f>
        <v>2.944733835882446E-15</v>
      </c>
      <c r="BB28">
        <f>HLOOKUP(BB$4,Conversion!$C$4:$CC$47,$A28,)</f>
        <v>4.4400948909109546E-17</v>
      </c>
      <c r="BC28">
        <f>HLOOKUP(BC$4,Conversion!$C$4:$CC$47,$A28,)</f>
        <v>4.5769578113271565E-17</v>
      </c>
      <c r="BD28">
        <f>HLOOKUP(BD$4,Conversion!$C$4:$CC$47,$A28,)</f>
        <v>4.5769578113271565E-17</v>
      </c>
      <c r="BE28">
        <f>HLOOKUP(BE$4,Conversion!$C$4:$CC$47,$A28,)</f>
        <v>4.3458050569517756E-15</v>
      </c>
      <c r="BF28">
        <f>HLOOKUP(BF$4,Conversion!$C$4:$CC$47,$A28,)</f>
        <v>4.9945407227717728E-16</v>
      </c>
      <c r="BG28">
        <f>HLOOKUP(BG$4,Conversion!$C$4:$CC$47,$A28,)</f>
        <v>6.7832903878241609E-17</v>
      </c>
      <c r="BH28">
        <f>HLOOKUP(BH$4,Conversion!$C$4:$CC$47,$A28,)</f>
        <v>5.5938462420484345E-17</v>
      </c>
      <c r="BI28">
        <f>HLOOKUP(BI$4,Conversion!$C$4:$CC$47,$A28,)</f>
        <v>5.5938590288006643E-17</v>
      </c>
      <c r="BJ28">
        <f>HLOOKUP(BJ$4,Conversion!$C$4:$CC$47,$A28,)</f>
        <v>5.5938462420484345E-17</v>
      </c>
      <c r="BK28">
        <f>HLOOKUP(BK$4,Conversion!$C$4:$CC$47,$A28,)</f>
        <v>3.1890778486336574E-16</v>
      </c>
      <c r="BL28">
        <f>HLOOKUP(BL$4,Conversion!$C$4:$CC$47,$A28,)</f>
        <v>2.7833765315336589E-16</v>
      </c>
      <c r="BM28">
        <f>HLOOKUP(BM$4,Conversion!$C$4:$CC$47,$A28,)</f>
        <v>2.3710404974335348E-16</v>
      </c>
      <c r="BN28">
        <f>HLOOKUP(BN$4,Conversion!$C$4:$CC$47,$A28,)</f>
        <v>2.3705203328992543E-16</v>
      </c>
      <c r="BO28">
        <f>HLOOKUP(BO$4,Conversion!$C$4:$CC$47,$A28,)</f>
        <v>2.8706908387879353E-15</v>
      </c>
      <c r="BP28">
        <f>HLOOKUP(BP$4,Conversion!$C$4:$CC$47,$A28,)</f>
        <v>2.8706908387879353E-15</v>
      </c>
      <c r="BQ28">
        <f>HLOOKUP(BQ$4,Conversion!$C$4:$CC$47,$A28,)</f>
        <v>0</v>
      </c>
      <c r="BR28">
        <f>HLOOKUP(BR$4,Conversion!$C$4:$CC$47,$A28,)</f>
        <v>1.9640111668300525E-14</v>
      </c>
      <c r="BS28">
        <f>HLOOKUP(BS$4,Conversion!$C$4:$CC$47,$A28,)</f>
        <v>2.1257367923522693E-12</v>
      </c>
      <c r="BT28">
        <f>HLOOKUP(BT$4,Conversion!$C$4:$CC$47,$A28,)</f>
        <v>4.8319407738821762E-15</v>
      </c>
      <c r="BU28">
        <f>HLOOKUP(BU$4,Conversion!$C$4:$CC$47,$A28,)</f>
        <v>3.4144610630699769E-15</v>
      </c>
      <c r="BV28">
        <f>HLOOKUP(BV$4,Conversion!$C$4:$CC$47,$A28,)</f>
        <v>1.0217036501826542E-15</v>
      </c>
      <c r="BW28">
        <f>HLOOKUP(BW$4,Conversion!$C$4:$CC$47,$A28,)</f>
        <v>9.8550342881360577E-16</v>
      </c>
      <c r="BX28">
        <f>HLOOKUP(BX$4,Conversion!$C$4:$CC$47,$A28,)</f>
        <v>9.8550342881360577E-16</v>
      </c>
      <c r="BY28">
        <f>HLOOKUP(BY$4,Conversion!$C$4:$CC$47,$A28,)</f>
        <v>4.8531828525004267E-17</v>
      </c>
      <c r="BZ28">
        <f>HLOOKUP(BZ$4,Conversion!$C$4:$CC$47,$A28,)</f>
        <v>7.3153374453605825E-18</v>
      </c>
      <c r="CA28">
        <f>HLOOKUP(CA$4,Conversion!$C$4:$CC$47,$A28,)</f>
        <v>7.2787827275844161E-18</v>
      </c>
      <c r="CB28">
        <f>HLOOKUP(CB$4,Conversion!$C$4:$CC$47,$A28,)</f>
        <v>6.5317122194578844E-18</v>
      </c>
      <c r="CC28">
        <f>HLOOKUP(CC$4,Conversion!$C$4:$CC$47,$A28,)</f>
        <v>5.330137647600701E-16</v>
      </c>
    </row>
    <row r="29" spans="1:81" x14ac:dyDescent="0.15">
      <c r="A29">
        <v>26</v>
      </c>
      <c r="B29" t="s">
        <v>3</v>
      </c>
      <c r="C29">
        <f>HLOOKUP($C$4,Conversion!$C$4:$CC$47,$A29,)</f>
        <v>3.9460987886195473E-16</v>
      </c>
      <c r="D29">
        <f>HLOOKUP($D$4,Conversion!$C$4:$CC$47,$A29,)</f>
        <v>8.0514386270727438E-16</v>
      </c>
      <c r="E29">
        <f>HLOOKUP($E$4,Conversion!$C$4:$CC$47,$A29,)</f>
        <v>2.9427379494175348E-15</v>
      </c>
      <c r="F29">
        <f>HLOOKUP($F$4,Conversion!$C$4:$CC$47,$A29,)</f>
        <v>8.5400463570606613E-16</v>
      </c>
      <c r="G29">
        <f>HLOOKUP($G$4,Conversion!$C$4:$CC$47,$A29,)</f>
        <v>1.637946575773267E-16</v>
      </c>
      <c r="H29">
        <f>HLOOKUP($H$4,Conversion!$C$4:$CC$47,$A29,)</f>
        <v>9.6604965862753565E-14</v>
      </c>
      <c r="I29">
        <f>HLOOKUP($I$4,Conversion!$C$4:$CC$47,$A29,)</f>
        <v>1.8706399703302329E-15</v>
      </c>
      <c r="J29">
        <f>HLOOKUP($J$4,Conversion!$C$4:$CC$47,$A29,)</f>
        <v>1.8706399703302329E-15</v>
      </c>
      <c r="K29">
        <f>HLOOKUP($K$4,Conversion!$C$4:$CC$47,$A29,)</f>
        <v>1.8706399703302329E-15</v>
      </c>
      <c r="L29">
        <f>HLOOKUP($L$4,Conversion!$C$4:$CC$47,$A29,)</f>
        <v>2.9427379494175348E-15</v>
      </c>
      <c r="M29">
        <f>HLOOKUP($M$4,Conversion!$C$4:$CC$47,$A29,)</f>
        <v>2.9427379494175348E-15</v>
      </c>
      <c r="N29">
        <f>HLOOKUP($N$4,Conversion!$C$4:$CC$47,$A29,)</f>
        <v>2.9427379494175348E-15</v>
      </c>
      <c r="O29">
        <f>HLOOKUP($O$4,Conversion!$C$4:$CC$47,$A29,)</f>
        <v>4.6751634371392373E-16</v>
      </c>
      <c r="P29">
        <f>HLOOKUP($P$4,Conversion!$C$4:$CC$47,$A29,)</f>
        <v>1.2954813355232472E-16</v>
      </c>
      <c r="Q29">
        <f>HLOOKUP($Q$4,Conversion!$C$4:$CC$47,$A29,)</f>
        <v>3.0568730486833289E-16</v>
      </c>
      <c r="R29">
        <f>HLOOKUP($R$4,Conversion!$C$4:$CC$47,$A29,)</f>
        <v>3.0568730486833289E-16</v>
      </c>
      <c r="S29">
        <f>HLOOKUP($S$4,Conversion!$C$4:$CC$47,$A29,)</f>
        <v>5.8785884122704155E-16</v>
      </c>
      <c r="T29">
        <f>HLOOKUP($T$4,Conversion!$C$4:$CC$47,$A29,)</f>
        <v>5.6760810224193985E-16</v>
      </c>
      <c r="U29">
        <f>HLOOKUP($U$4,Conversion!$C$4:$CC$47,$A29,)</f>
        <v>5.6760810224193985E-16</v>
      </c>
      <c r="V29">
        <f>HLOOKUP($V$4,Conversion!$C$4:$CC$47,$A29,)</f>
        <v>5.6760810224193985E-16</v>
      </c>
      <c r="W29">
        <f>HLOOKUP($W$4,Conversion!$C$4:$CC$47,$A29,)</f>
        <v>5.6760810224193985E-16</v>
      </c>
      <c r="X29">
        <f>HLOOKUP($X$4,Conversion!$C$4:$CC$47,$A29,)</f>
        <v>5.6760810224193985E-16</v>
      </c>
      <c r="Y29">
        <f>HLOOKUP($Y$4,Conversion!$C$4:$CC$47,$A29,)</f>
        <v>4.3706060755328996E-16</v>
      </c>
      <c r="Z29">
        <f>HLOOKUP($Z$4,Conversion!$C$4:$CC$47,$A29,)</f>
        <v>9.5012749267788614E-16</v>
      </c>
      <c r="AA29">
        <f>HLOOKUP($AA$4,Conversion!$C$4:$CC$47,$A29,)</f>
        <v>9.5189159258731416E-16</v>
      </c>
      <c r="AB29">
        <f>HLOOKUP($AB$4,Conversion!$C$4:$CC$47,$A29,)</f>
        <v>4.0125970337096092E-15</v>
      </c>
      <c r="AC29">
        <f>HLOOKUP($AC$4,Conversion!$C$4:$CC$47,$A29,)</f>
        <v>4.5059122494049087E-16</v>
      </c>
      <c r="AD29">
        <f>HLOOKUP($AD$4,Conversion!$C$4:$CC$47,$A29,)</f>
        <v>1.1534483597289287E-16</v>
      </c>
      <c r="AE29">
        <f>HLOOKUP($AE$4,Conversion!$C$4:$CC$47,$A29,)</f>
        <v>1.1260200564054623E-16</v>
      </c>
      <c r="AF29">
        <f>HLOOKUP($AF$4,Conversion!$C$4:$CC$47,$A29,)</f>
        <v>1.1259961693592493E-16</v>
      </c>
      <c r="AG29">
        <f>HLOOKUP(AG$4,Conversion!$C$4:$CC$47,$A29,)</f>
        <v>1.4543710991840094E-15</v>
      </c>
      <c r="AH29">
        <f>HLOOKUP(AH$4,Conversion!$C$4:$CC$47,$A29,)</f>
        <v>2.9063516230218884E-15</v>
      </c>
      <c r="AI29">
        <f>HLOOKUP(AI$4,Conversion!$C$4:$CC$47,$A29,)</f>
        <v>2.8480593395230465E-15</v>
      </c>
      <c r="AJ29">
        <f>HLOOKUP(AJ$4,Conversion!$C$4:$CC$47,$A29,)</f>
        <v>8.7407748264023556E-16</v>
      </c>
      <c r="AK29">
        <f>HLOOKUP(AK$4,Conversion!$C$4:$CC$47,$A29,)</f>
        <v>7.7958624018300981E-16</v>
      </c>
      <c r="AL29">
        <f>HLOOKUP(AL$4,Conversion!$C$4:$CC$47,$A29,)</f>
        <v>1.8073265679627596E-15</v>
      </c>
      <c r="AM29">
        <f>HLOOKUP(AM$4,Conversion!$C$4:$CC$47,$A29,)</f>
        <v>3.9251205988501531E-16</v>
      </c>
      <c r="AN29">
        <f>HLOOKUP(AN$4,Conversion!$C$4:$CC$47,$A29,)</f>
        <v>1.6220113087235898E-15</v>
      </c>
      <c r="AO29">
        <f>HLOOKUP(AO$4,Conversion!$C$4:$CC$47,$A29,)</f>
        <v>1.6220113087235898E-15</v>
      </c>
      <c r="AP29">
        <f>HLOOKUP(AP$4,Conversion!$C$4:$CC$47,$A29,)</f>
        <v>1.6220113087235898E-15</v>
      </c>
      <c r="AQ29">
        <f>HLOOKUP(AQ$4,Conversion!$C$4:$CC$47,$A29,)</f>
        <v>7.3723450740850133E-16</v>
      </c>
      <c r="AR29">
        <f>HLOOKUP(AR$4,Conversion!$C$4:$CC$47,$A29,)</f>
        <v>7.3723450740850133E-16</v>
      </c>
      <c r="AS29">
        <f>HLOOKUP(AS$4,Conversion!$C$4:$CC$47,$A29,)</f>
        <v>2.0999801900186706E-17</v>
      </c>
      <c r="AT29">
        <f>HLOOKUP(AT$4,Conversion!$C$4:$CC$47,$A29,)</f>
        <v>6.1655017997789799E-16</v>
      </c>
      <c r="AU29">
        <f>HLOOKUP(AU$4,Conversion!$C$4:$CC$47,$A29,)</f>
        <v>3.0022499151782978E-16</v>
      </c>
      <c r="AV29">
        <f>HLOOKUP(AV$4,Conversion!$C$4:$CC$47,$A29,)</f>
        <v>0</v>
      </c>
      <c r="AW29">
        <f>HLOOKUP(AW$4,Conversion!$C$4:$CC$47,$A29,)</f>
        <v>2.6347223468175685E-17</v>
      </c>
      <c r="AX29">
        <f>HLOOKUP(AX$4,Conversion!$C$4:$CC$47,$A29,)</f>
        <v>2.2686224765309921E-17</v>
      </c>
      <c r="AY29">
        <f>HLOOKUP(AY$4,Conversion!$C$4:$CC$47,$A29,)</f>
        <v>2.2686224765309921E-17</v>
      </c>
      <c r="AZ29">
        <f>HLOOKUP(AZ$4,Conversion!$C$4:$CC$47,$A29,)</f>
        <v>8.4768901321119494E-16</v>
      </c>
      <c r="BA29">
        <f>HLOOKUP(BA$4,Conversion!$C$4:$CC$47,$A29,)</f>
        <v>2.9094599967986318E-15</v>
      </c>
      <c r="BB29">
        <f>HLOOKUP(BB$4,Conversion!$C$4:$CC$47,$A29,)</f>
        <v>1.3771535795367292E-16</v>
      </c>
      <c r="BC29">
        <f>HLOOKUP(BC$4,Conversion!$C$4:$CC$47,$A29,)</f>
        <v>1.3924381162644955E-16</v>
      </c>
      <c r="BD29">
        <f>HLOOKUP(BD$4,Conversion!$C$4:$CC$47,$A29,)</f>
        <v>1.3924381162644955E-16</v>
      </c>
      <c r="BE29">
        <f>HLOOKUP(BE$4,Conversion!$C$4:$CC$47,$A29,)</f>
        <v>5.7977399248494589E-16</v>
      </c>
      <c r="BF29">
        <f>HLOOKUP(BF$4,Conversion!$C$4:$CC$47,$A29,)</f>
        <v>7.8161662376777056E-16</v>
      </c>
      <c r="BG29">
        <f>HLOOKUP(BG$4,Conversion!$C$4:$CC$47,$A29,)</f>
        <v>2.5646867361003319E-16</v>
      </c>
      <c r="BH29">
        <f>HLOOKUP(BH$4,Conversion!$C$4:$CC$47,$A29,)</f>
        <v>2.0891996385403368E-16</v>
      </c>
      <c r="BI29">
        <f>HLOOKUP(BI$4,Conversion!$C$4:$CC$47,$A29,)</f>
        <v>2.0891996385403368E-16</v>
      </c>
      <c r="BJ29">
        <f>HLOOKUP(BJ$4,Conversion!$C$4:$CC$47,$A29,)</f>
        <v>2.0891996385403368E-16</v>
      </c>
      <c r="BK29">
        <f>HLOOKUP(BK$4,Conversion!$C$4:$CC$47,$A29,)</f>
        <v>8.7365954113164184E-16</v>
      </c>
      <c r="BL29">
        <f>HLOOKUP(BL$4,Conversion!$C$4:$CC$47,$A29,)</f>
        <v>1.213801757967703E-15</v>
      </c>
      <c r="BM29">
        <f>HLOOKUP(BM$4,Conversion!$C$4:$CC$47,$A29,)</f>
        <v>1.0415530523814375E-15</v>
      </c>
      <c r="BN29">
        <f>HLOOKUP(BN$4,Conversion!$C$4:$CC$47,$A29,)</f>
        <v>1.0415530523814375E-15</v>
      </c>
      <c r="BO29">
        <f>HLOOKUP(BO$4,Conversion!$C$4:$CC$47,$A29,)</f>
        <v>7.0485685040635217E-16</v>
      </c>
      <c r="BP29">
        <f>HLOOKUP(BP$4,Conversion!$C$4:$CC$47,$A29,)</f>
        <v>7.0485685040635217E-16</v>
      </c>
      <c r="BQ29">
        <f>HLOOKUP(BQ$4,Conversion!$C$4:$CC$47,$A29,)</f>
        <v>0</v>
      </c>
      <c r="BR29">
        <f>HLOOKUP(BR$4,Conversion!$C$4:$CC$47,$A29,)</f>
        <v>2.6058408575764734E-15</v>
      </c>
      <c r="BS29">
        <f>HLOOKUP(BS$4,Conversion!$C$4:$CC$47,$A29,)</f>
        <v>1.111187483662967E-15</v>
      </c>
      <c r="BT29">
        <f>HLOOKUP(BT$4,Conversion!$C$4:$CC$47,$A29,)</f>
        <v>7.3579909978991442E-16</v>
      </c>
      <c r="BU29">
        <f>HLOOKUP(BU$4,Conversion!$C$4:$CC$47,$A29,)</f>
        <v>5.7221360426013705E-16</v>
      </c>
      <c r="BV29">
        <f>HLOOKUP(BV$4,Conversion!$C$4:$CC$47,$A29,)</f>
        <v>4.819860839118912E-16</v>
      </c>
      <c r="BW29">
        <f>HLOOKUP(BW$4,Conversion!$C$4:$CC$47,$A29,)</f>
        <v>3.5194947058493255E-16</v>
      </c>
      <c r="BX29">
        <f>HLOOKUP(BX$4,Conversion!$C$4:$CC$47,$A29,)</f>
        <v>3.5194947058493255E-16</v>
      </c>
      <c r="BY29">
        <f>HLOOKUP(BY$4,Conversion!$C$4:$CC$47,$A29,)</f>
        <v>1.8887912425567794E-16</v>
      </c>
      <c r="BZ29">
        <f>HLOOKUP(BZ$4,Conversion!$C$4:$CC$47,$A29,)</f>
        <v>2.445786148485526E-17</v>
      </c>
      <c r="CA29">
        <f>HLOOKUP(CA$4,Conversion!$C$4:$CC$47,$A29,)</f>
        <v>2.2664862590003582E-17</v>
      </c>
      <c r="CB29">
        <f>HLOOKUP(CB$4,Conversion!$C$4:$CC$47,$A29,)</f>
        <v>2.1475732499985185E-17</v>
      </c>
      <c r="CC29">
        <f>HLOOKUP(CC$4,Conversion!$C$4:$CC$47,$A29,)</f>
        <v>2.4719847822278836E-16</v>
      </c>
    </row>
    <row r="30" spans="1:81" x14ac:dyDescent="0.15">
      <c r="A30">
        <v>27</v>
      </c>
      <c r="B30" t="s">
        <v>35</v>
      </c>
      <c r="C30">
        <f>HLOOKUP($C$4,Conversion!$C$4:$CC$47,$A30,)</f>
        <v>6.2659980694513161E-16</v>
      </c>
      <c r="D30">
        <f>HLOOKUP($D$4,Conversion!$C$4:$CC$47,$A30,)</f>
        <v>5.0053303173963148E-16</v>
      </c>
      <c r="E30">
        <f>HLOOKUP($E$4,Conversion!$C$4:$CC$47,$A30,)</f>
        <v>5.8995952718688619E-15</v>
      </c>
      <c r="F30">
        <f>HLOOKUP($F$4,Conversion!$C$4:$CC$47,$A30,)</f>
        <v>7.3027757112257525E-16</v>
      </c>
      <c r="G30">
        <f>HLOOKUP($G$4,Conversion!$C$4:$CC$47,$A30,)</f>
        <v>3.0524945246611628E-16</v>
      </c>
      <c r="H30">
        <f>HLOOKUP($H$4,Conversion!$C$4:$CC$47,$A30,)</f>
        <v>2.6292287149287325E-15</v>
      </c>
      <c r="I30">
        <f>HLOOKUP($I$4,Conversion!$C$4:$CC$47,$A30,)</f>
        <v>1.7150896462947135E-14</v>
      </c>
      <c r="J30">
        <f>HLOOKUP($J$4,Conversion!$C$4:$CC$47,$A30,)</f>
        <v>1.7150896462947135E-14</v>
      </c>
      <c r="K30">
        <f>HLOOKUP($K$4,Conversion!$C$4:$CC$47,$A30,)</f>
        <v>1.7150896462947135E-14</v>
      </c>
      <c r="L30">
        <f>HLOOKUP($L$4,Conversion!$C$4:$CC$47,$A30,)</f>
        <v>5.8995952718688619E-15</v>
      </c>
      <c r="M30">
        <f>HLOOKUP($M$4,Conversion!$C$4:$CC$47,$A30,)</f>
        <v>5.8995952718688619E-15</v>
      </c>
      <c r="N30">
        <f>HLOOKUP($N$4,Conversion!$C$4:$CC$47,$A30,)</f>
        <v>5.8995952718688619E-15</v>
      </c>
      <c r="O30">
        <f>HLOOKUP($O$4,Conversion!$C$4:$CC$47,$A30,)</f>
        <v>1.0733184011040212E-15</v>
      </c>
      <c r="P30">
        <f>HLOOKUP($P$4,Conversion!$C$4:$CC$47,$A30,)</f>
        <v>1.2440562494097615E-16</v>
      </c>
      <c r="Q30">
        <f>HLOOKUP($Q$4,Conversion!$C$4:$CC$47,$A30,)</f>
        <v>9.5568375522532756E-16</v>
      </c>
      <c r="R30">
        <f>HLOOKUP($R$4,Conversion!$C$4:$CC$47,$A30,)</f>
        <v>9.5568375522532756E-16</v>
      </c>
      <c r="S30">
        <f>HLOOKUP($S$4,Conversion!$C$4:$CC$47,$A30,)</f>
        <v>7.6008729371729381E-16</v>
      </c>
      <c r="T30">
        <f>HLOOKUP($T$4,Conversion!$C$4:$CC$47,$A30,)</f>
        <v>1.927681754640581E-15</v>
      </c>
      <c r="U30">
        <f>HLOOKUP($U$4,Conversion!$C$4:$CC$47,$A30,)</f>
        <v>1.927681754640581E-15</v>
      </c>
      <c r="V30">
        <f>HLOOKUP($V$4,Conversion!$C$4:$CC$47,$A30,)</f>
        <v>1.927681754640581E-15</v>
      </c>
      <c r="W30">
        <f>HLOOKUP($W$4,Conversion!$C$4:$CC$47,$A30,)</f>
        <v>1.927681754640581E-15</v>
      </c>
      <c r="X30">
        <f>HLOOKUP($X$4,Conversion!$C$4:$CC$47,$A30,)</f>
        <v>1.927681754640581E-15</v>
      </c>
      <c r="Y30">
        <f>HLOOKUP($Y$4,Conversion!$C$4:$CC$47,$A30,)</f>
        <v>4.9126051761367616E-16</v>
      </c>
      <c r="Z30">
        <f>HLOOKUP($Z$4,Conversion!$C$4:$CC$47,$A30,)</f>
        <v>4.7683935087794321E-16</v>
      </c>
      <c r="AA30">
        <f>HLOOKUP($AA$4,Conversion!$C$4:$CC$47,$A30,)</f>
        <v>4.7755026787566453E-16</v>
      </c>
      <c r="AB30">
        <f>HLOOKUP($AB$4,Conversion!$C$4:$CC$47,$A30,)</f>
        <v>7.7284417552977235E-15</v>
      </c>
      <c r="AC30">
        <f>HLOOKUP($AC$4,Conversion!$C$4:$CC$47,$A30,)</f>
        <v>2.6548166813869085E-16</v>
      </c>
      <c r="AD30">
        <f>HLOOKUP($AD$4,Conversion!$C$4:$CC$47,$A30,)</f>
        <v>5.6126004443398953E-17</v>
      </c>
      <c r="AE30">
        <f>HLOOKUP($AE$4,Conversion!$C$4:$CC$47,$A30,)</f>
        <v>5.2889503734414751E-17</v>
      </c>
      <c r="AF30">
        <f>HLOOKUP($AF$4,Conversion!$C$4:$CC$47,$A30,)</f>
        <v>5.2875948292511197E-17</v>
      </c>
      <c r="AG30">
        <f>HLOOKUP(AG$4,Conversion!$C$4:$CC$47,$A30,)</f>
        <v>7.9089281889659353E-16</v>
      </c>
      <c r="AH30">
        <f>HLOOKUP(AH$4,Conversion!$C$4:$CC$47,$A30,)</f>
        <v>6.2749702796706232E-15</v>
      </c>
      <c r="AI30">
        <f>HLOOKUP(AI$4,Conversion!$C$4:$CC$47,$A30,)</f>
        <v>5.6984442453360843E-15</v>
      </c>
      <c r="AJ30">
        <f>HLOOKUP(AJ$4,Conversion!$C$4:$CC$47,$A30,)</f>
        <v>3.0242171538309296E-15</v>
      </c>
      <c r="AK30">
        <f>HLOOKUP(AK$4,Conversion!$C$4:$CC$47,$A30,)</f>
        <v>4.4349468800661544E-15</v>
      </c>
      <c r="AL30">
        <f>HLOOKUP(AL$4,Conversion!$C$4:$CC$47,$A30,)</f>
        <v>1.9606235399508638E-14</v>
      </c>
      <c r="AM30">
        <f>HLOOKUP(AM$4,Conversion!$C$4:$CC$47,$A30,)</f>
        <v>6.738028500164445E-16</v>
      </c>
      <c r="AN30">
        <f>HLOOKUP(AN$4,Conversion!$C$4:$CC$47,$A30,)</f>
        <v>1.0354815482623783E-14</v>
      </c>
      <c r="AO30">
        <f>HLOOKUP(AO$4,Conversion!$C$4:$CC$47,$A30,)</f>
        <v>1.0354815482623783E-14</v>
      </c>
      <c r="AP30">
        <f>HLOOKUP(AP$4,Conversion!$C$4:$CC$47,$A30,)</f>
        <v>1.0354815482623783E-14</v>
      </c>
      <c r="AQ30">
        <f>HLOOKUP(AQ$4,Conversion!$C$4:$CC$47,$A30,)</f>
        <v>1.687021621364972E-15</v>
      </c>
      <c r="AR30">
        <f>HLOOKUP(AR$4,Conversion!$C$4:$CC$47,$A30,)</f>
        <v>1.687021621364972E-15</v>
      </c>
      <c r="AS30">
        <f>HLOOKUP(AS$4,Conversion!$C$4:$CC$47,$A30,)</f>
        <v>1.1025289407251455E-17</v>
      </c>
      <c r="AT30">
        <f>HLOOKUP(AT$4,Conversion!$C$4:$CC$47,$A30,)</f>
        <v>2.9066764100910291E-16</v>
      </c>
      <c r="AU30">
        <f>HLOOKUP(AU$4,Conversion!$C$4:$CC$47,$A30,)</f>
        <v>6.6691045559690417E-16</v>
      </c>
      <c r="AV30">
        <f>HLOOKUP(AV$4,Conversion!$C$4:$CC$47,$A30,)</f>
        <v>0</v>
      </c>
      <c r="AW30">
        <f>HLOOKUP(AW$4,Conversion!$C$4:$CC$47,$A30,)</f>
        <v>1.5812024159198684E-17</v>
      </c>
      <c r="AX30">
        <f>HLOOKUP(AX$4,Conversion!$C$4:$CC$47,$A30,)</f>
        <v>1.358625165170917E-17</v>
      </c>
      <c r="AY30">
        <f>HLOOKUP(AY$4,Conversion!$C$4:$CC$47,$A30,)</f>
        <v>1.358625165170917E-17</v>
      </c>
      <c r="AZ30">
        <f>HLOOKUP(AZ$4,Conversion!$C$4:$CC$47,$A30,)</f>
        <v>2.6140916489411968E-15</v>
      </c>
      <c r="BA30">
        <f>HLOOKUP(BA$4,Conversion!$C$4:$CC$47,$A30,)</f>
        <v>5.9749501588450577E-15</v>
      </c>
      <c r="BB30">
        <f>HLOOKUP(BB$4,Conversion!$C$4:$CC$47,$A30,)</f>
        <v>8.7234188285709541E-17</v>
      </c>
      <c r="BC30">
        <f>HLOOKUP(BC$4,Conversion!$C$4:$CC$47,$A30,)</f>
        <v>7.7544064540835012E-17</v>
      </c>
      <c r="BD30">
        <f>HLOOKUP(BD$4,Conversion!$C$4:$CC$47,$A30,)</f>
        <v>7.7544064540835012E-17</v>
      </c>
      <c r="BE30">
        <f>HLOOKUP(BE$4,Conversion!$C$4:$CC$47,$A30,)</f>
        <v>1.4051275262876587E-15</v>
      </c>
      <c r="BF30">
        <f>HLOOKUP(BF$4,Conversion!$C$4:$CC$47,$A30,)</f>
        <v>4.4827882868737467E-16</v>
      </c>
      <c r="BG30">
        <f>HLOOKUP(BG$4,Conversion!$C$4:$CC$47,$A30,)</f>
        <v>1.2579692740064923E-16</v>
      </c>
      <c r="BH30">
        <f>HLOOKUP(BH$4,Conversion!$C$4:$CC$47,$A30,)</f>
        <v>1.0625981131671244E-16</v>
      </c>
      <c r="BI30">
        <f>HLOOKUP(BI$4,Conversion!$C$4:$CC$47,$A30,)</f>
        <v>1.0625981131671244E-16</v>
      </c>
      <c r="BJ30">
        <f>HLOOKUP(BJ$4,Conversion!$C$4:$CC$47,$A30,)</f>
        <v>1.0625981131671244E-16</v>
      </c>
      <c r="BK30">
        <f>HLOOKUP(BK$4,Conversion!$C$4:$CC$47,$A30,)</f>
        <v>5.5800077272397374E-16</v>
      </c>
      <c r="BL30">
        <f>HLOOKUP(BL$4,Conversion!$C$4:$CC$47,$A30,)</f>
        <v>5.3165732417288036E-16</v>
      </c>
      <c r="BM30">
        <f>HLOOKUP(BM$4,Conversion!$C$4:$CC$47,$A30,)</f>
        <v>4.5044407851760526E-16</v>
      </c>
      <c r="BN30">
        <f>HLOOKUP(BN$4,Conversion!$C$4:$CC$47,$A30,)</f>
        <v>4.5044407851760526E-16</v>
      </c>
      <c r="BO30">
        <f>HLOOKUP(BO$4,Conversion!$C$4:$CC$47,$A30,)</f>
        <v>1.4442172787429629E-15</v>
      </c>
      <c r="BP30">
        <f>HLOOKUP(BP$4,Conversion!$C$4:$CC$47,$A30,)</f>
        <v>1.4442172787429629E-15</v>
      </c>
      <c r="BQ30">
        <f>HLOOKUP(BQ$4,Conversion!$C$4:$CC$47,$A30,)</f>
        <v>0</v>
      </c>
      <c r="BR30">
        <f>HLOOKUP(BR$4,Conversion!$C$4:$CC$47,$A30,)</f>
        <v>2.0156609727073898E-12</v>
      </c>
      <c r="BS30">
        <f>HLOOKUP(BS$4,Conversion!$C$4:$CC$47,$A30,)</f>
        <v>1.9548098658448659E-14</v>
      </c>
      <c r="BT30">
        <f>HLOOKUP(BT$4,Conversion!$C$4:$CC$47,$A30,)</f>
        <v>1.731475209328744E-15</v>
      </c>
      <c r="BU30">
        <f>HLOOKUP(BU$4,Conversion!$C$4:$CC$47,$A30,)</f>
        <v>1.2137326556403007E-15</v>
      </c>
      <c r="BV30">
        <f>HLOOKUP(BV$4,Conversion!$C$4:$CC$47,$A30,)</f>
        <v>1.4730206091273503E-15</v>
      </c>
      <c r="BW30">
        <f>HLOOKUP(BW$4,Conversion!$C$4:$CC$47,$A30,)</f>
        <v>1.1212417872433279E-15</v>
      </c>
      <c r="BX30">
        <f>HLOOKUP(BX$4,Conversion!$C$4:$CC$47,$A30,)</f>
        <v>1.1212417872433279E-15</v>
      </c>
      <c r="BY30">
        <f>HLOOKUP(BY$4,Conversion!$C$4:$CC$47,$A30,)</f>
        <v>1.0132414376361322E-16</v>
      </c>
      <c r="BZ30">
        <f>HLOOKUP(BZ$4,Conversion!$C$4:$CC$47,$A30,)</f>
        <v>1.4032692469185847E-17</v>
      </c>
      <c r="CA30">
        <f>HLOOKUP(CA$4,Conversion!$C$4:$CC$47,$A30,)</f>
        <v>1.3562058231661177E-17</v>
      </c>
      <c r="CB30">
        <f>HLOOKUP(CB$4,Conversion!$C$4:$CC$47,$A30,)</f>
        <v>1.2604228091989686E-17</v>
      </c>
      <c r="CC30">
        <f>HLOOKUP(CC$4,Conversion!$C$4:$CC$47,$A30,)</f>
        <v>7.4489506961767288E-16</v>
      </c>
    </row>
    <row r="31" spans="1:81" x14ac:dyDescent="0.15">
      <c r="A31">
        <v>28</v>
      </c>
      <c r="B31" t="s">
        <v>12</v>
      </c>
      <c r="C31">
        <f>HLOOKUP($C$4,Conversion!$C$4:$CC$47,$A31,)</f>
        <v>5.2824436514891119E-16</v>
      </c>
      <c r="D31">
        <f>HLOOKUP($D$4,Conversion!$C$4:$CC$47,$A31,)</f>
        <v>2.0532584655486074E-15</v>
      </c>
      <c r="E31">
        <f>HLOOKUP($E$4,Conversion!$C$4:$CC$47,$A31,)</f>
        <v>7.0510611985767273E-15</v>
      </c>
      <c r="F31">
        <f>HLOOKUP($F$4,Conversion!$C$4:$CC$47,$A31,)</f>
        <v>7.1773461003252415E-15</v>
      </c>
      <c r="G31">
        <f>HLOOKUP($G$4,Conversion!$C$4:$CC$47,$A31,)</f>
        <v>1.1582631051084707E-16</v>
      </c>
      <c r="H31">
        <f>HLOOKUP($H$4,Conversion!$C$4:$CC$47,$A31,)</f>
        <v>4.0289055594200944E-15</v>
      </c>
      <c r="I31">
        <f>HLOOKUP($I$4,Conversion!$C$4:$CC$47,$A31,)</f>
        <v>1.084357517042813E-14</v>
      </c>
      <c r="J31">
        <f>HLOOKUP($J$4,Conversion!$C$4:$CC$47,$A31,)</f>
        <v>1.084357517042813E-14</v>
      </c>
      <c r="K31">
        <f>HLOOKUP($K$4,Conversion!$C$4:$CC$47,$A31,)</f>
        <v>1.084357517042813E-14</v>
      </c>
      <c r="L31">
        <f>HLOOKUP($L$4,Conversion!$C$4:$CC$47,$A31,)</f>
        <v>7.0510611985767273E-15</v>
      </c>
      <c r="M31">
        <f>HLOOKUP($M$4,Conversion!$C$4:$CC$47,$A31,)</f>
        <v>7.0510611985767273E-15</v>
      </c>
      <c r="N31">
        <f>HLOOKUP($N$4,Conversion!$C$4:$CC$47,$A31,)</f>
        <v>7.0510611985767273E-15</v>
      </c>
      <c r="O31">
        <f>HLOOKUP($O$4,Conversion!$C$4:$CC$47,$A31,)</f>
        <v>9.1314529372441913E-16</v>
      </c>
      <c r="P31">
        <f>HLOOKUP($P$4,Conversion!$C$4:$CC$47,$A31,)</f>
        <v>1.6624987517643112E-16</v>
      </c>
      <c r="Q31">
        <f>HLOOKUP($Q$4,Conversion!$C$4:$CC$47,$A31,)</f>
        <v>6.0745781136847312E-16</v>
      </c>
      <c r="R31">
        <f>HLOOKUP($R$4,Conversion!$C$4:$CC$47,$A31,)</f>
        <v>6.0745781136847312E-16</v>
      </c>
      <c r="S31">
        <f>HLOOKUP($S$4,Conversion!$C$4:$CC$47,$A31,)</f>
        <v>3.1669059561898727E-16</v>
      </c>
      <c r="T31">
        <f>HLOOKUP($T$4,Conversion!$C$4:$CC$47,$A31,)</f>
        <v>4.7506247682098691E-16</v>
      </c>
      <c r="U31">
        <f>HLOOKUP($U$4,Conversion!$C$4:$CC$47,$A31,)</f>
        <v>4.7506247682098691E-16</v>
      </c>
      <c r="V31">
        <f>HLOOKUP($V$4,Conversion!$C$4:$CC$47,$A31,)</f>
        <v>4.7506247682098691E-16</v>
      </c>
      <c r="W31">
        <f>HLOOKUP($W$4,Conversion!$C$4:$CC$47,$A31,)</f>
        <v>4.7506247682098691E-16</v>
      </c>
      <c r="X31">
        <f>HLOOKUP($X$4,Conversion!$C$4:$CC$47,$A31,)</f>
        <v>4.7506247682098691E-16</v>
      </c>
      <c r="Y31">
        <f>HLOOKUP($Y$4,Conversion!$C$4:$CC$47,$A31,)</f>
        <v>2.3356923015900996E-16</v>
      </c>
      <c r="Z31">
        <f>HLOOKUP($Z$4,Conversion!$C$4:$CC$47,$A31,)</f>
        <v>1.7850235562305383E-15</v>
      </c>
      <c r="AA31">
        <f>HLOOKUP($AA$4,Conversion!$C$4:$CC$47,$A31,)</f>
        <v>1.7863324005964951E-15</v>
      </c>
      <c r="AB31">
        <f>HLOOKUP($AB$4,Conversion!$C$4:$CC$47,$A31,)</f>
        <v>1.5274820132490848E-13</v>
      </c>
      <c r="AC31">
        <f>HLOOKUP($AC$4,Conversion!$C$4:$CC$47,$A31,)</f>
        <v>9.9772707333873415E-16</v>
      </c>
      <c r="AD31">
        <f>HLOOKUP($AD$4,Conversion!$C$4:$CC$47,$A31,)</f>
        <v>2.0047471259040245E-16</v>
      </c>
      <c r="AE31">
        <f>HLOOKUP($AE$4,Conversion!$C$4:$CC$47,$A31,)</f>
        <v>1.950311930217505E-16</v>
      </c>
      <c r="AF31">
        <f>HLOOKUP($AF$4,Conversion!$C$4:$CC$47,$A31,)</f>
        <v>1.950311930217505E-16</v>
      </c>
      <c r="AG31">
        <f>HLOOKUP(AG$4,Conversion!$C$4:$CC$47,$A31,)</f>
        <v>2.8635425476209757E-15</v>
      </c>
      <c r="AH31">
        <f>HLOOKUP(AH$4,Conversion!$C$4:$CC$47,$A31,)</f>
        <v>7.1771041186233303E-15</v>
      </c>
      <c r="AI31">
        <f>HLOOKUP(AI$4,Conversion!$C$4:$CC$47,$A31,)</f>
        <v>7.073377944886599E-15</v>
      </c>
      <c r="AJ31">
        <f>HLOOKUP(AJ$4,Conversion!$C$4:$CC$47,$A31,)</f>
        <v>6.8833494544915066E-16</v>
      </c>
      <c r="AK31">
        <f>HLOOKUP(AK$4,Conversion!$C$4:$CC$47,$A31,)</f>
        <v>2.7466830293361958E-15</v>
      </c>
      <c r="AL31">
        <f>HLOOKUP(AL$4,Conversion!$C$4:$CC$47,$A31,)</f>
        <v>1.0453047803208429E-14</v>
      </c>
      <c r="AM31">
        <f>HLOOKUP(AM$4,Conversion!$C$4:$CC$47,$A31,)</f>
        <v>5.401857205091318E-16</v>
      </c>
      <c r="AN31">
        <f>HLOOKUP(AN$4,Conversion!$C$4:$CC$47,$A31,)</f>
        <v>1.1456951204973324E-14</v>
      </c>
      <c r="AO31">
        <f>HLOOKUP(AO$4,Conversion!$C$4:$CC$47,$A31,)</f>
        <v>1.1456951204973324E-14</v>
      </c>
      <c r="AP31">
        <f>HLOOKUP(AP$4,Conversion!$C$4:$CC$47,$A31,)</f>
        <v>1.1456951204973324E-14</v>
      </c>
      <c r="AQ31">
        <f>HLOOKUP(AQ$4,Conversion!$C$4:$CC$47,$A31,)</f>
        <v>5.084351150060003E-16</v>
      </c>
      <c r="AR31">
        <f>HLOOKUP(AR$4,Conversion!$C$4:$CC$47,$A31,)</f>
        <v>5.084351150060003E-16</v>
      </c>
      <c r="AS31">
        <f>HLOOKUP(AS$4,Conversion!$C$4:$CC$47,$A31,)</f>
        <v>3.3743499245616032E-17</v>
      </c>
      <c r="AT31">
        <f>HLOOKUP(AT$4,Conversion!$C$4:$CC$47,$A31,)</f>
        <v>1.2029478281695419E-15</v>
      </c>
      <c r="AU31">
        <f>HLOOKUP(AU$4,Conversion!$C$4:$CC$47,$A31,)</f>
        <v>2.0163428692871004E-16</v>
      </c>
      <c r="AV31">
        <f>HLOOKUP(AV$4,Conversion!$C$4:$CC$47,$A31,)</f>
        <v>0</v>
      </c>
      <c r="AW31">
        <f>HLOOKUP(AW$4,Conversion!$C$4:$CC$47,$A31,)</f>
        <v>4.2891321049726343E-17</v>
      </c>
      <c r="AX31">
        <f>HLOOKUP(AX$4,Conversion!$C$4:$CC$47,$A31,)</f>
        <v>3.7724569558292518E-17</v>
      </c>
      <c r="AY31">
        <f>HLOOKUP(AY$4,Conversion!$C$4:$CC$47,$A31,)</f>
        <v>3.7724569558292518E-17</v>
      </c>
      <c r="AZ31">
        <f>HLOOKUP(AZ$4,Conversion!$C$4:$CC$47,$A31,)</f>
        <v>1.8277759275392981E-15</v>
      </c>
      <c r="BA31">
        <f>HLOOKUP(BA$4,Conversion!$C$4:$CC$47,$A31,)</f>
        <v>7.0265384288577202E-15</v>
      </c>
      <c r="BB31">
        <f>HLOOKUP(BB$4,Conversion!$C$4:$CC$47,$A31,)</f>
        <v>1.9902952135027811E-16</v>
      </c>
      <c r="BC31">
        <f>HLOOKUP(BC$4,Conversion!$C$4:$CC$47,$A31,)</f>
        <v>2.0167142025703501E-16</v>
      </c>
      <c r="BD31">
        <f>HLOOKUP(BD$4,Conversion!$C$4:$CC$47,$A31,)</f>
        <v>2.0167142025703501E-16</v>
      </c>
      <c r="BE31">
        <f>HLOOKUP(BE$4,Conversion!$C$4:$CC$47,$A31,)</f>
        <v>4.1910687592838584E-16</v>
      </c>
      <c r="BF31">
        <f>HLOOKUP(BF$4,Conversion!$C$4:$CC$47,$A31,)</f>
        <v>4.0982437725120927E-16</v>
      </c>
      <c r="BG31">
        <f>HLOOKUP(BG$4,Conversion!$C$4:$CC$47,$A31,)</f>
        <v>4.9892496165404876E-16</v>
      </c>
      <c r="BH31">
        <f>HLOOKUP(BH$4,Conversion!$C$4:$CC$47,$A31,)</f>
        <v>3.9187469703701501E-16</v>
      </c>
      <c r="BI31">
        <f>HLOOKUP(BI$4,Conversion!$C$4:$CC$47,$A31,)</f>
        <v>3.9187469703701501E-16</v>
      </c>
      <c r="BJ31">
        <f>HLOOKUP(BJ$4,Conversion!$C$4:$CC$47,$A31,)</f>
        <v>3.9187469703701501E-16</v>
      </c>
      <c r="BK31">
        <f>HLOOKUP(BK$4,Conversion!$C$4:$CC$47,$A31,)</f>
        <v>3.0287212991292666E-15</v>
      </c>
      <c r="BL31">
        <f>HLOOKUP(BL$4,Conversion!$C$4:$CC$47,$A31,)</f>
        <v>4.5580664542315384E-15</v>
      </c>
      <c r="BM31">
        <f>HLOOKUP(BM$4,Conversion!$C$4:$CC$47,$A31,)</f>
        <v>3.4962647066873609E-15</v>
      </c>
      <c r="BN31">
        <f>HLOOKUP(BN$4,Conversion!$C$4:$CC$47,$A31,)</f>
        <v>3.4962647066873609E-15</v>
      </c>
      <c r="BO31">
        <f>HLOOKUP(BO$4,Conversion!$C$4:$CC$47,$A31,)</f>
        <v>4.6445998166660224E-16</v>
      </c>
      <c r="BP31">
        <f>HLOOKUP(BP$4,Conversion!$C$4:$CC$47,$A31,)</f>
        <v>4.6445998166660224E-16</v>
      </c>
      <c r="BQ31">
        <f>HLOOKUP(BQ$4,Conversion!$C$4:$CC$47,$A31,)</f>
        <v>0</v>
      </c>
      <c r="BR31">
        <f>HLOOKUP(BR$4,Conversion!$C$4:$CC$47,$A31,)</f>
        <v>7.7247134714211734E-15</v>
      </c>
      <c r="BS31">
        <f>HLOOKUP(BS$4,Conversion!$C$4:$CC$47,$A31,)</f>
        <v>1.739285130753377E-15</v>
      </c>
      <c r="BT31">
        <f>HLOOKUP(BT$4,Conversion!$C$4:$CC$47,$A31,)</f>
        <v>5.1255094440739067E-16</v>
      </c>
      <c r="BU31">
        <f>HLOOKUP(BU$4,Conversion!$C$4:$CC$47,$A31,)</f>
        <v>3.8894464542054788E-16</v>
      </c>
      <c r="BV31">
        <f>HLOOKUP(BV$4,Conversion!$C$4:$CC$47,$A31,)</f>
        <v>9.9811398253515818E-16</v>
      </c>
      <c r="BW31">
        <f>HLOOKUP(BW$4,Conversion!$C$4:$CC$47,$A31,)</f>
        <v>6.2103155926421925E-16</v>
      </c>
      <c r="BX31">
        <f>HLOOKUP(BX$4,Conversion!$C$4:$CC$47,$A31,)</f>
        <v>6.2103155926421925E-16</v>
      </c>
      <c r="BY31">
        <f>HLOOKUP(BY$4,Conversion!$C$4:$CC$47,$A31,)</f>
        <v>3.4712821432608289E-16</v>
      </c>
      <c r="BZ31">
        <f>HLOOKUP(BZ$4,Conversion!$C$4:$CC$47,$A31,)</f>
        <v>3.808323534247837E-17</v>
      </c>
      <c r="CA31">
        <f>HLOOKUP(CA$4,Conversion!$C$4:$CC$47,$A31,)</f>
        <v>3.5456684614384667E-17</v>
      </c>
      <c r="CB31">
        <f>HLOOKUP(CB$4,Conversion!$C$4:$CC$47,$A31,)</f>
        <v>3.4199197135115768E-17</v>
      </c>
      <c r="CC31">
        <f>HLOOKUP(CC$4,Conversion!$C$4:$CC$47,$A31,)</f>
        <v>4.6530462402635123E-16</v>
      </c>
    </row>
    <row r="32" spans="1:81" x14ac:dyDescent="0.15">
      <c r="A32">
        <v>29</v>
      </c>
      <c r="B32" t="s">
        <v>0</v>
      </c>
      <c r="C32">
        <f>HLOOKUP($C$4,Conversion!$C$4:$CC$47,$A32,)</f>
        <v>6.5640981864935938E-16</v>
      </c>
      <c r="D32">
        <f>HLOOKUP($D$4,Conversion!$C$4:$CC$47,$A32,)</f>
        <v>2.6128112264075738E-12</v>
      </c>
      <c r="E32">
        <f>HLOOKUP($E$4,Conversion!$C$4:$CC$47,$A32,)</f>
        <v>1.5258901771390944E-15</v>
      </c>
      <c r="F32">
        <f>HLOOKUP($F$4,Conversion!$C$4:$CC$47,$A32,)</f>
        <v>3.8119683785281463E-15</v>
      </c>
      <c r="G32">
        <f>HLOOKUP($G$4,Conversion!$C$4:$CC$47,$A32,)</f>
        <v>3.3853425433432393E-17</v>
      </c>
      <c r="H32">
        <f>HLOOKUP($H$4,Conversion!$C$4:$CC$47,$A32,)</f>
        <v>8.3958634660814923E-16</v>
      </c>
      <c r="I32">
        <f>HLOOKUP($I$4,Conversion!$C$4:$CC$47,$A32,)</f>
        <v>8.3594410850890052E-16</v>
      </c>
      <c r="J32">
        <f>HLOOKUP($J$4,Conversion!$C$4:$CC$47,$A32,)</f>
        <v>8.3594410850890052E-16</v>
      </c>
      <c r="K32">
        <f>HLOOKUP($K$4,Conversion!$C$4:$CC$47,$A32,)</f>
        <v>8.3594410850890052E-16</v>
      </c>
      <c r="L32">
        <f>HLOOKUP($L$4,Conversion!$C$4:$CC$47,$A32,)</f>
        <v>1.5258901771390944E-15</v>
      </c>
      <c r="M32">
        <f>HLOOKUP($M$4,Conversion!$C$4:$CC$47,$A32,)</f>
        <v>1.5258901771390944E-15</v>
      </c>
      <c r="N32">
        <f>HLOOKUP($N$4,Conversion!$C$4:$CC$47,$A32,)</f>
        <v>1.5258901771390944E-15</v>
      </c>
      <c r="O32">
        <f>HLOOKUP($O$4,Conversion!$C$4:$CC$47,$A32,)</f>
        <v>1.4757875336043214E-15</v>
      </c>
      <c r="P32">
        <f>HLOOKUP($P$4,Conversion!$C$4:$CC$47,$A32,)</f>
        <v>1.2959391254235782E-16</v>
      </c>
      <c r="Q32">
        <f>HLOOKUP($Q$4,Conversion!$C$4:$CC$47,$A32,)</f>
        <v>1.1091189624530965E-15</v>
      </c>
      <c r="R32">
        <f>HLOOKUP($R$4,Conversion!$C$4:$CC$47,$A32,)</f>
        <v>1.1091189624530965E-15</v>
      </c>
      <c r="S32">
        <f>HLOOKUP($S$4,Conversion!$C$4:$CC$47,$A32,)</f>
        <v>8.4857337815112841E-17</v>
      </c>
      <c r="T32">
        <f>HLOOKUP($T$4,Conversion!$C$4:$CC$47,$A32,)</f>
        <v>9.4935767454896637E-17</v>
      </c>
      <c r="U32">
        <f>HLOOKUP($U$4,Conversion!$C$4:$CC$47,$A32,)</f>
        <v>9.4935767454896637E-17</v>
      </c>
      <c r="V32">
        <f>HLOOKUP($V$4,Conversion!$C$4:$CC$47,$A32,)</f>
        <v>9.4935767454896637E-17</v>
      </c>
      <c r="W32">
        <f>HLOOKUP($W$4,Conversion!$C$4:$CC$47,$A32,)</f>
        <v>9.4935767454896637E-17</v>
      </c>
      <c r="X32">
        <f>HLOOKUP($X$4,Conversion!$C$4:$CC$47,$A32,)</f>
        <v>9.4935767454896637E-17</v>
      </c>
      <c r="Y32">
        <f>HLOOKUP($Y$4,Conversion!$C$4:$CC$47,$A32,)</f>
        <v>6.5068993154691429E-17</v>
      </c>
      <c r="Z32">
        <f>HLOOKUP($Z$4,Conversion!$C$4:$CC$47,$A32,)</f>
        <v>1.8687331538650863E-14</v>
      </c>
      <c r="AA32">
        <f>HLOOKUP($AA$4,Conversion!$C$4:$CC$47,$A32,)</f>
        <v>2.2917158078965055E-14</v>
      </c>
      <c r="AB32">
        <f>HLOOKUP($AB$4,Conversion!$C$4:$CC$47,$A32,)</f>
        <v>2.026035292073775E-15</v>
      </c>
      <c r="AC32">
        <f>HLOOKUP($AC$4,Conversion!$C$4:$CC$47,$A32,)</f>
        <v>1.5474550985707993E-14</v>
      </c>
      <c r="AD32">
        <f>HLOOKUP($AD$4,Conversion!$C$4:$CC$47,$A32,)</f>
        <v>7.1746783785013265E-16</v>
      </c>
      <c r="AE32">
        <f>HLOOKUP($AE$4,Conversion!$C$4:$CC$47,$A32,)</f>
        <v>7.0625831125923024E-16</v>
      </c>
      <c r="AF32">
        <f>HLOOKUP($AF$4,Conversion!$C$4:$CC$47,$A32,)</f>
        <v>7.0625831125923024E-16</v>
      </c>
      <c r="AG32">
        <f>HLOOKUP(AG$4,Conversion!$C$4:$CC$47,$A32,)</f>
        <v>9.0610191001567159E-15</v>
      </c>
      <c r="AH32">
        <f>HLOOKUP(AH$4,Conversion!$C$4:$CC$47,$A32,)</f>
        <v>1.502814329841342E-15</v>
      </c>
      <c r="AI32">
        <f>HLOOKUP(AI$4,Conversion!$C$4:$CC$47,$A32,)</f>
        <v>1.6020086568207079E-15</v>
      </c>
      <c r="AJ32">
        <f>HLOOKUP(AJ$4,Conversion!$C$4:$CC$47,$A32,)</f>
        <v>1.3401071939490646E-16</v>
      </c>
      <c r="AK32">
        <f>HLOOKUP(AK$4,Conversion!$C$4:$CC$47,$A32,)</f>
        <v>4.1320730944001418E-15</v>
      </c>
      <c r="AL32">
        <f>HLOOKUP(AL$4,Conversion!$C$4:$CC$47,$A32,)</f>
        <v>7.1172024600383774E-16</v>
      </c>
      <c r="AM32">
        <f>HLOOKUP(AM$4,Conversion!$C$4:$CC$47,$A32,)</f>
        <v>7.310961323175623E-16</v>
      </c>
      <c r="AN32">
        <f>HLOOKUP(AN$4,Conversion!$C$4:$CC$47,$A32,)</f>
        <v>2.2850953985326324E-15</v>
      </c>
      <c r="AO32">
        <f>HLOOKUP(AO$4,Conversion!$C$4:$CC$47,$A32,)</f>
        <v>2.2850953985326324E-15</v>
      </c>
      <c r="AP32">
        <f>HLOOKUP(AP$4,Conversion!$C$4:$CC$47,$A32,)</f>
        <v>2.2850953985326324E-15</v>
      </c>
      <c r="AQ32">
        <f>HLOOKUP(AQ$4,Conversion!$C$4:$CC$47,$A32,)</f>
        <v>1.0799255035635721E-16</v>
      </c>
      <c r="AR32">
        <f>HLOOKUP(AR$4,Conversion!$C$4:$CC$47,$A32,)</f>
        <v>1.0799255035635721E-16</v>
      </c>
      <c r="AS32">
        <f>HLOOKUP(AS$4,Conversion!$C$4:$CC$47,$A32,)</f>
        <v>1.5262081368385229E-16</v>
      </c>
      <c r="AT32">
        <f>HLOOKUP(AT$4,Conversion!$C$4:$CC$47,$A32,)</f>
        <v>7.8332439775663842E-15</v>
      </c>
      <c r="AU32">
        <f>HLOOKUP(AU$4,Conversion!$C$4:$CC$47,$A32,)</f>
        <v>4.8853403706764504E-17</v>
      </c>
      <c r="AV32">
        <f>HLOOKUP(AV$4,Conversion!$C$4:$CC$47,$A32,)</f>
        <v>0</v>
      </c>
      <c r="AW32">
        <f>HLOOKUP(AW$4,Conversion!$C$4:$CC$47,$A32,)</f>
        <v>1.9662593378935506E-16</v>
      </c>
      <c r="AX32">
        <f>HLOOKUP(AX$4,Conversion!$C$4:$CC$47,$A32,)</f>
        <v>1.598965187966258E-16</v>
      </c>
      <c r="AY32">
        <f>HLOOKUP(AY$4,Conversion!$C$4:$CC$47,$A32,)</f>
        <v>1.598965187966258E-16</v>
      </c>
      <c r="AZ32">
        <f>HLOOKUP(AZ$4,Conversion!$C$4:$CC$47,$A32,)</f>
        <v>3.013013130290589E-15</v>
      </c>
      <c r="BA32">
        <f>HLOOKUP(BA$4,Conversion!$C$4:$CC$47,$A32,)</f>
        <v>1.5053333294094003E-15</v>
      </c>
      <c r="BB32">
        <f>HLOOKUP(BB$4,Conversion!$C$4:$CC$47,$A32,)</f>
        <v>1.1692123547347722E-15</v>
      </c>
      <c r="BC32">
        <f>HLOOKUP(BC$4,Conversion!$C$4:$CC$47,$A32,)</f>
        <v>1.2055380655863292E-15</v>
      </c>
      <c r="BD32">
        <f>HLOOKUP(BD$4,Conversion!$C$4:$CC$47,$A32,)</f>
        <v>1.2055380655863292E-15</v>
      </c>
      <c r="BE32">
        <f>HLOOKUP(BE$4,Conversion!$C$4:$CC$47,$A32,)</f>
        <v>9.2449058347520245E-17</v>
      </c>
      <c r="BF32">
        <f>HLOOKUP(BF$4,Conversion!$C$4:$CC$47,$A32,)</f>
        <v>3.7283648855965851E-16</v>
      </c>
      <c r="BG32">
        <f>HLOOKUP(BG$4,Conversion!$C$4:$CC$47,$A32,)</f>
        <v>2.8927506947949066E-15</v>
      </c>
      <c r="BH32">
        <f>HLOOKUP(BH$4,Conversion!$C$4:$CC$47,$A32,)</f>
        <v>2.4072268778206262E-15</v>
      </c>
      <c r="BI32">
        <f>HLOOKUP(BI$4,Conversion!$C$4:$CC$47,$A32,)</f>
        <v>2.4072268778206262E-15</v>
      </c>
      <c r="BJ32">
        <f>HLOOKUP(BJ$4,Conversion!$C$4:$CC$47,$A32,)</f>
        <v>2.4072268778206262E-15</v>
      </c>
      <c r="BK32">
        <f>HLOOKUP(BK$4,Conversion!$C$4:$CC$47,$A32,)</f>
        <v>5.9533539751121552E-15</v>
      </c>
      <c r="BL32">
        <f>HLOOKUP(BL$4,Conversion!$C$4:$CC$47,$A32,)</f>
        <v>6.5389939412893122E-15</v>
      </c>
      <c r="BM32">
        <f>HLOOKUP(BM$4,Conversion!$C$4:$CC$47,$A32,)</f>
        <v>6.266126704725006E-15</v>
      </c>
      <c r="BN32">
        <f>HLOOKUP(BN$4,Conversion!$C$4:$CC$47,$A32,)</f>
        <v>6.266126704725006E-15</v>
      </c>
      <c r="BO32">
        <f>HLOOKUP(BO$4,Conversion!$C$4:$CC$47,$A32,)</f>
        <v>1.0624317830005581E-16</v>
      </c>
      <c r="BP32">
        <f>HLOOKUP(BP$4,Conversion!$C$4:$CC$47,$A32,)</f>
        <v>1.0624317830005581E-16</v>
      </c>
      <c r="BQ32">
        <f>HLOOKUP(BQ$4,Conversion!$C$4:$CC$47,$A32,)</f>
        <v>0</v>
      </c>
      <c r="BR32">
        <f>HLOOKUP(BR$4,Conversion!$C$4:$CC$47,$A32,)</f>
        <v>5.1522132442630641E-16</v>
      </c>
      <c r="BS32">
        <f>HLOOKUP(BS$4,Conversion!$C$4:$CC$47,$A32,)</f>
        <v>2.5699252081932149E-16</v>
      </c>
      <c r="BT32">
        <f>HLOOKUP(BT$4,Conversion!$C$4:$CC$47,$A32,)</f>
        <v>1.0837398358576596E-16</v>
      </c>
      <c r="BU32">
        <f>HLOOKUP(BU$4,Conversion!$C$4:$CC$47,$A32,)</f>
        <v>8.1147456459560517E-17</v>
      </c>
      <c r="BV32">
        <f>HLOOKUP(BV$4,Conversion!$C$4:$CC$47,$A32,)</f>
        <v>1.5834947414949048E-15</v>
      </c>
      <c r="BW32">
        <f>HLOOKUP(BW$4,Conversion!$C$4:$CC$47,$A32,)</f>
        <v>1.2707248428350884E-15</v>
      </c>
      <c r="BX32">
        <f>HLOOKUP(BX$4,Conversion!$C$4:$CC$47,$A32,)</f>
        <v>1.2707248428350884E-15</v>
      </c>
      <c r="BY32">
        <f>HLOOKUP(BY$4,Conversion!$C$4:$CC$47,$A32,)</f>
        <v>3.2099623777642725E-15</v>
      </c>
      <c r="BZ32">
        <f>HLOOKUP(BZ$4,Conversion!$C$4:$CC$47,$A32,)</f>
        <v>1.4769281884307454E-16</v>
      </c>
      <c r="CA32">
        <f>HLOOKUP(CA$4,Conversion!$C$4:$CC$47,$A32,)</f>
        <v>1.3544196898740986E-16</v>
      </c>
      <c r="CB32">
        <f>HLOOKUP(CB$4,Conversion!$C$4:$CC$47,$A32,)</f>
        <v>1.4273955690188772E-16</v>
      </c>
      <c r="CC32">
        <f>HLOOKUP(CC$4,Conversion!$C$4:$CC$47,$A32,)</f>
        <v>7.0640413376027999E-16</v>
      </c>
    </row>
    <row r="33" spans="1:81" x14ac:dyDescent="0.15">
      <c r="A33">
        <v>30</v>
      </c>
      <c r="B33" t="s">
        <v>15</v>
      </c>
      <c r="C33">
        <f>HLOOKUP($C$4,Conversion!$C$4:$CC$47,$A33,)</f>
        <v>5.3996584598393056E-16</v>
      </c>
      <c r="D33">
        <f>HLOOKUP($D$4,Conversion!$C$4:$CC$47,$A33,)</f>
        <v>9.0852076398386894E-15</v>
      </c>
      <c r="E33">
        <f>HLOOKUP($E$4,Conversion!$C$4:$CC$47,$A33,)</f>
        <v>2.4445934875350403E-15</v>
      </c>
      <c r="F33">
        <f>HLOOKUP($F$4,Conversion!$C$4:$CC$47,$A33,)</f>
        <v>4.3382896817495205E-15</v>
      </c>
      <c r="G33">
        <f>HLOOKUP($G$4,Conversion!$C$4:$CC$47,$A33,)</f>
        <v>4.5756144705482849E-17</v>
      </c>
      <c r="H33">
        <f>HLOOKUP($H$4,Conversion!$C$4:$CC$47,$A33,)</f>
        <v>1.4725423751099522E-15</v>
      </c>
      <c r="I33">
        <f>HLOOKUP($I$4,Conversion!$C$4:$CC$47,$A33,)</f>
        <v>1.1028105294144092E-15</v>
      </c>
      <c r="J33">
        <f>HLOOKUP($J$4,Conversion!$C$4:$CC$47,$A33,)</f>
        <v>1.1028105294144092E-15</v>
      </c>
      <c r="K33">
        <f>HLOOKUP($K$4,Conversion!$C$4:$CC$47,$A33,)</f>
        <v>1.1028105294144092E-15</v>
      </c>
      <c r="L33">
        <f>HLOOKUP($L$4,Conversion!$C$4:$CC$47,$A33,)</f>
        <v>2.4445934875350403E-15</v>
      </c>
      <c r="M33">
        <f>HLOOKUP($M$4,Conversion!$C$4:$CC$47,$A33,)</f>
        <v>2.4445934875350403E-15</v>
      </c>
      <c r="N33">
        <f>HLOOKUP($N$4,Conversion!$C$4:$CC$47,$A33,)</f>
        <v>2.4445934875350403E-15</v>
      </c>
      <c r="O33">
        <f>HLOOKUP($O$4,Conversion!$C$4:$CC$47,$A33,)</f>
        <v>9.5179385509509691E-16</v>
      </c>
      <c r="P33">
        <f>HLOOKUP($P$4,Conversion!$C$4:$CC$47,$A33,)</f>
        <v>1.5857079842608906E-16</v>
      </c>
      <c r="Q33">
        <f>HLOOKUP($Q$4,Conversion!$C$4:$CC$47,$A33,)</f>
        <v>5.166010405990281E-16</v>
      </c>
      <c r="R33">
        <f>HLOOKUP($R$4,Conversion!$C$4:$CC$47,$A33,)</f>
        <v>5.166010405990281E-16</v>
      </c>
      <c r="S33">
        <f>HLOOKUP($S$4,Conversion!$C$4:$CC$47,$A33,)</f>
        <v>1.3233640371921278E-16</v>
      </c>
      <c r="T33">
        <f>HLOOKUP($T$4,Conversion!$C$4:$CC$47,$A33,)</f>
        <v>1.4422003348964166E-16</v>
      </c>
      <c r="U33">
        <f>HLOOKUP($U$4,Conversion!$C$4:$CC$47,$A33,)</f>
        <v>1.4422003348964166E-16</v>
      </c>
      <c r="V33">
        <f>HLOOKUP($V$4,Conversion!$C$4:$CC$47,$A33,)</f>
        <v>1.4422003348964166E-16</v>
      </c>
      <c r="W33">
        <f>HLOOKUP($W$4,Conversion!$C$4:$CC$47,$A33,)</f>
        <v>1.4422003348964166E-16</v>
      </c>
      <c r="X33">
        <f>HLOOKUP($X$4,Conversion!$C$4:$CC$47,$A33,)</f>
        <v>1.4422003348964166E-16</v>
      </c>
      <c r="Y33">
        <f>HLOOKUP($Y$4,Conversion!$C$4:$CC$47,$A33,)</f>
        <v>1.0531584201831886E-16</v>
      </c>
      <c r="Z33">
        <f>HLOOKUP($Z$4,Conversion!$C$4:$CC$47,$A33,)</f>
        <v>1.2285012659516069E-14</v>
      </c>
      <c r="AA33">
        <f>HLOOKUP($AA$4,Conversion!$C$4:$CC$47,$A33,)</f>
        <v>1.4810656188158839E-14</v>
      </c>
      <c r="AB33">
        <f>HLOOKUP($AB$4,Conversion!$C$4:$CC$47,$A33,)</f>
        <v>2.8648293743923655E-15</v>
      </c>
      <c r="AC33">
        <f>HLOOKUP($AC$4,Conversion!$C$4:$CC$47,$A33,)</f>
        <v>4.3138109258456688E-15</v>
      </c>
      <c r="AD33">
        <f>HLOOKUP($AD$4,Conversion!$C$4:$CC$47,$A33,)</f>
        <v>5.0216944187771283E-16</v>
      </c>
      <c r="AE33">
        <f>HLOOKUP($AE$4,Conversion!$C$4:$CC$47,$A33,)</f>
        <v>4.9170761228134165E-16</v>
      </c>
      <c r="AF33">
        <f>HLOOKUP($AF$4,Conversion!$C$4:$CC$47,$A33,)</f>
        <v>4.9170761228134165E-16</v>
      </c>
      <c r="AG33">
        <f>HLOOKUP(AG$4,Conversion!$C$4:$CC$47,$A33,)</f>
        <v>3.4145809680727754E-14</v>
      </c>
      <c r="AH33">
        <f>HLOOKUP(AH$4,Conversion!$C$4:$CC$47,$A33,)</f>
        <v>2.3998300626419616E-15</v>
      </c>
      <c r="AI33">
        <f>HLOOKUP(AI$4,Conversion!$C$4:$CC$47,$A33,)</f>
        <v>2.4197117669007143E-15</v>
      </c>
      <c r="AJ33">
        <f>HLOOKUP(AJ$4,Conversion!$C$4:$CC$47,$A33,)</f>
        <v>2.0182017801608746E-16</v>
      </c>
      <c r="AK33">
        <f>HLOOKUP(AK$4,Conversion!$C$4:$CC$47,$A33,)</f>
        <v>1.5095529980792086E-15</v>
      </c>
      <c r="AL33">
        <f>HLOOKUP(AL$4,Conversion!$C$4:$CC$47,$A33,)</f>
        <v>9.7390892665271949E-16</v>
      </c>
      <c r="AM33">
        <f>HLOOKUP(AM$4,Conversion!$C$4:$CC$47,$A33,)</f>
        <v>5.2692868787070044E-16</v>
      </c>
      <c r="AN33">
        <f>HLOOKUP(AN$4,Conversion!$C$4:$CC$47,$A33,)</f>
        <v>2.4347099753639971E-15</v>
      </c>
      <c r="AO33">
        <f>HLOOKUP(AO$4,Conversion!$C$4:$CC$47,$A33,)</f>
        <v>2.4347099753639971E-15</v>
      </c>
      <c r="AP33">
        <f>HLOOKUP(AP$4,Conversion!$C$4:$CC$47,$A33,)</f>
        <v>2.4347099753639971E-15</v>
      </c>
      <c r="AQ33">
        <f>HLOOKUP(AQ$4,Conversion!$C$4:$CC$47,$A33,)</f>
        <v>1.7251890661887423E-16</v>
      </c>
      <c r="AR33">
        <f>HLOOKUP(AR$4,Conversion!$C$4:$CC$47,$A33,)</f>
        <v>1.7251890661887423E-16</v>
      </c>
      <c r="AS33">
        <f>HLOOKUP(AS$4,Conversion!$C$4:$CC$47,$A33,)</f>
        <v>1.1128820786797912E-16</v>
      </c>
      <c r="AT33">
        <f>HLOOKUP(AT$4,Conversion!$C$4:$CC$47,$A33,)</f>
        <v>5.4366237358117849E-15</v>
      </c>
      <c r="AU33">
        <f>HLOOKUP(AU$4,Conversion!$C$4:$CC$47,$A33,)</f>
        <v>6.9130940724026318E-17</v>
      </c>
      <c r="AV33">
        <f>HLOOKUP(AV$4,Conversion!$C$4:$CC$47,$A33,)</f>
        <v>0</v>
      </c>
      <c r="AW33">
        <f>HLOOKUP(AW$4,Conversion!$C$4:$CC$47,$A33,)</f>
        <v>1.359911780398492E-16</v>
      </c>
      <c r="AX33">
        <f>HLOOKUP(AX$4,Conversion!$C$4:$CC$47,$A33,)</f>
        <v>1.1783325538726702E-16</v>
      </c>
      <c r="AY33">
        <f>HLOOKUP(AY$4,Conversion!$C$4:$CC$47,$A33,)</f>
        <v>1.1783325538726702E-16</v>
      </c>
      <c r="AZ33">
        <f>HLOOKUP(AZ$4,Conversion!$C$4:$CC$47,$A33,)</f>
        <v>1.5509603092193324E-15</v>
      </c>
      <c r="BA33">
        <f>HLOOKUP(BA$4,Conversion!$C$4:$CC$47,$A33,)</f>
        <v>2.4086196491368427E-15</v>
      </c>
      <c r="BB33">
        <f>HLOOKUP(BB$4,Conversion!$C$4:$CC$47,$A33,)</f>
        <v>1.236702827511347E-15</v>
      </c>
      <c r="BC33">
        <f>HLOOKUP(BC$4,Conversion!$C$4:$CC$47,$A33,)</f>
        <v>1.2864636654240336E-15</v>
      </c>
      <c r="BD33">
        <f>HLOOKUP(BD$4,Conversion!$C$4:$CC$47,$A33,)</f>
        <v>1.2864636654240336E-15</v>
      </c>
      <c r="BE33">
        <f>HLOOKUP(BE$4,Conversion!$C$4:$CC$47,$A33,)</f>
        <v>1.3879585023665326E-16</v>
      </c>
      <c r="BF33">
        <f>HLOOKUP(BF$4,Conversion!$C$4:$CC$47,$A33,)</f>
        <v>4.2433356870090937E-16</v>
      </c>
      <c r="BG33">
        <f>HLOOKUP(BG$4,Conversion!$C$4:$CC$47,$A33,)</f>
        <v>1.7378840792093592E-15</v>
      </c>
      <c r="BH33">
        <f>HLOOKUP(BH$4,Conversion!$C$4:$CC$47,$A33,)</f>
        <v>1.4969759637183906E-15</v>
      </c>
      <c r="BI33">
        <f>HLOOKUP(BI$4,Conversion!$C$4:$CC$47,$A33,)</f>
        <v>1.4969759637183906E-15</v>
      </c>
      <c r="BJ33">
        <f>HLOOKUP(BJ$4,Conversion!$C$4:$CC$47,$A33,)</f>
        <v>1.4969759637183906E-15</v>
      </c>
      <c r="BK33">
        <f>HLOOKUP(BK$4,Conversion!$C$4:$CC$47,$A33,)</f>
        <v>1.9513305408975722E-15</v>
      </c>
      <c r="BL33">
        <f>HLOOKUP(BL$4,Conversion!$C$4:$CC$47,$A33,)</f>
        <v>4.2116164166231155E-15</v>
      </c>
      <c r="BM33">
        <f>HLOOKUP(BM$4,Conversion!$C$4:$CC$47,$A33,)</f>
        <v>4.5673322633508401E-15</v>
      </c>
      <c r="BN33">
        <f>HLOOKUP(BN$4,Conversion!$C$4:$CC$47,$A33,)</f>
        <v>4.5673322633508401E-15</v>
      </c>
      <c r="BO33">
        <f>HLOOKUP(BO$4,Conversion!$C$4:$CC$47,$A33,)</f>
        <v>1.6650397212470733E-16</v>
      </c>
      <c r="BP33">
        <f>HLOOKUP(BP$4,Conversion!$C$4:$CC$47,$A33,)</f>
        <v>1.6650397212470733E-16</v>
      </c>
      <c r="BQ33">
        <f>HLOOKUP(BQ$4,Conversion!$C$4:$CC$47,$A33,)</f>
        <v>0</v>
      </c>
      <c r="BR33">
        <f>HLOOKUP(BR$4,Conversion!$C$4:$CC$47,$A33,)</f>
        <v>7.9281239694373288E-16</v>
      </c>
      <c r="BS33">
        <f>HLOOKUP(BS$4,Conversion!$C$4:$CC$47,$A33,)</f>
        <v>3.843738029258412E-16</v>
      </c>
      <c r="BT33">
        <f>HLOOKUP(BT$4,Conversion!$C$4:$CC$47,$A33,)</f>
        <v>1.7131157817362275E-16</v>
      </c>
      <c r="BU33">
        <f>HLOOKUP(BU$4,Conversion!$C$4:$CC$47,$A33,)</f>
        <v>1.3225870935328521E-16</v>
      </c>
      <c r="BV33">
        <f>HLOOKUP(BV$4,Conversion!$C$4:$CC$47,$A33,)</f>
        <v>8.4423898928589261E-16</v>
      </c>
      <c r="BW33">
        <f>HLOOKUP(BW$4,Conversion!$C$4:$CC$47,$A33,)</f>
        <v>5.9783040476455433E-16</v>
      </c>
      <c r="BX33">
        <f>HLOOKUP(BX$4,Conversion!$C$4:$CC$47,$A33,)</f>
        <v>5.9783040476455433E-16</v>
      </c>
      <c r="BY33">
        <f>HLOOKUP(BY$4,Conversion!$C$4:$CC$47,$A33,)</f>
        <v>1.4777240014360467E-15</v>
      </c>
      <c r="BZ33">
        <f>HLOOKUP(BZ$4,Conversion!$C$4:$CC$47,$A33,)</f>
        <v>1.2380568259980513E-16</v>
      </c>
      <c r="CA33">
        <f>HLOOKUP(CA$4,Conversion!$C$4:$CC$47,$A33,)</f>
        <v>1.1304660113864696E-16</v>
      </c>
      <c r="CB33">
        <f>HLOOKUP(CB$4,Conversion!$C$4:$CC$47,$A33,)</f>
        <v>1.1036150635740474E-16</v>
      </c>
      <c r="CC33">
        <f>HLOOKUP(CC$4,Conversion!$C$4:$CC$47,$A33,)</f>
        <v>3.9771729217281908E-16</v>
      </c>
    </row>
    <row r="34" spans="1:81" x14ac:dyDescent="0.15">
      <c r="A34">
        <v>31</v>
      </c>
      <c r="B34" t="s">
        <v>23</v>
      </c>
      <c r="C34">
        <f>HLOOKUP($C$4,Conversion!$C$4:$CC$47,$A34,)</f>
        <v>6.6370433440014645E-16</v>
      </c>
      <c r="D34">
        <f>HLOOKUP($D$4,Conversion!$C$4:$CC$47,$A34,)</f>
        <v>7.8284966180309282E-15</v>
      </c>
      <c r="E34">
        <f>HLOOKUP($E$4,Conversion!$C$4:$CC$47,$A34,)</f>
        <v>7.7418954288445466E-16</v>
      </c>
      <c r="F34">
        <f>HLOOKUP($F$4,Conversion!$C$4:$CC$47,$A34,)</f>
        <v>3.5979553169731634E-15</v>
      </c>
      <c r="G34">
        <f>HLOOKUP($G$4,Conversion!$C$4:$CC$47,$A34,)</f>
        <v>2.1096452339171015E-17</v>
      </c>
      <c r="H34">
        <f>HLOOKUP($H$4,Conversion!$C$4:$CC$47,$A34,)</f>
        <v>6.3605936575315483E-16</v>
      </c>
      <c r="I34">
        <f>HLOOKUP($I$4,Conversion!$C$4:$CC$47,$A34,)</f>
        <v>4.1067663119762335E-16</v>
      </c>
      <c r="J34">
        <f>HLOOKUP($J$4,Conversion!$C$4:$CC$47,$A34,)</f>
        <v>4.1067663119762335E-16</v>
      </c>
      <c r="K34">
        <f>HLOOKUP($K$4,Conversion!$C$4:$CC$47,$A34,)</f>
        <v>4.1067663119762335E-16</v>
      </c>
      <c r="L34">
        <f>HLOOKUP($L$4,Conversion!$C$4:$CC$47,$A34,)</f>
        <v>7.7418954288445466E-16</v>
      </c>
      <c r="M34">
        <f>HLOOKUP($M$4,Conversion!$C$4:$CC$47,$A34,)</f>
        <v>7.7418954288445466E-16</v>
      </c>
      <c r="N34">
        <f>HLOOKUP($N$4,Conversion!$C$4:$CC$47,$A34,)</f>
        <v>7.7418954288445466E-16</v>
      </c>
      <c r="O34">
        <f>HLOOKUP($O$4,Conversion!$C$4:$CC$47,$A34,)</f>
        <v>1.08366707915948E-15</v>
      </c>
      <c r="P34">
        <f>HLOOKUP($P$4,Conversion!$C$4:$CC$47,$A34,)</f>
        <v>1.0497574024472321E-16</v>
      </c>
      <c r="Q34">
        <f>HLOOKUP($Q$4,Conversion!$C$4:$CC$47,$A34,)</f>
        <v>5.5733205495264651E-16</v>
      </c>
      <c r="R34">
        <f>HLOOKUP($R$4,Conversion!$C$4:$CC$47,$A34,)</f>
        <v>5.5733205495264651E-16</v>
      </c>
      <c r="S34">
        <f>HLOOKUP($S$4,Conversion!$C$4:$CC$47,$A34,)</f>
        <v>7.0289654959796115E-17</v>
      </c>
      <c r="T34">
        <f>HLOOKUP($T$4,Conversion!$C$4:$CC$47,$A34,)</f>
        <v>6.2574143720369711E-17</v>
      </c>
      <c r="U34">
        <f>HLOOKUP($U$4,Conversion!$C$4:$CC$47,$A34,)</f>
        <v>6.2574143720369711E-17</v>
      </c>
      <c r="V34">
        <f>HLOOKUP($V$4,Conversion!$C$4:$CC$47,$A34,)</f>
        <v>6.2574143720369711E-17</v>
      </c>
      <c r="W34">
        <f>HLOOKUP($W$4,Conversion!$C$4:$CC$47,$A34,)</f>
        <v>6.2574143720369711E-17</v>
      </c>
      <c r="X34">
        <f>HLOOKUP($X$4,Conversion!$C$4:$CC$47,$A34,)</f>
        <v>6.2574143720369711E-17</v>
      </c>
      <c r="Y34">
        <f>HLOOKUP($Y$4,Conversion!$C$4:$CC$47,$A34,)</f>
        <v>6.0316519772957718E-17</v>
      </c>
      <c r="Z34">
        <f>HLOOKUP($Z$4,Conversion!$C$4:$CC$47,$A34,)</f>
        <v>1.9582583716036017E-14</v>
      </c>
      <c r="AA34">
        <f>HLOOKUP($AA$4,Conversion!$C$4:$CC$47,$A34,)</f>
        <v>1.860445626511978E-14</v>
      </c>
      <c r="AB34">
        <f>HLOOKUP($AB$4,Conversion!$C$4:$CC$47,$A34,)</f>
        <v>1.1995835985486588E-15</v>
      </c>
      <c r="AC34">
        <f>HLOOKUP($AC$4,Conversion!$C$4:$CC$47,$A34,)</f>
        <v>1.0034385527919297E-14</v>
      </c>
      <c r="AD34">
        <f>HLOOKUP($AD$4,Conversion!$C$4:$CC$47,$A34,)</f>
        <v>1.7851495087253107E-15</v>
      </c>
      <c r="AE34">
        <f>HLOOKUP($AE$4,Conversion!$C$4:$CC$47,$A34,)</f>
        <v>1.7346953968648272E-15</v>
      </c>
      <c r="AF34">
        <f>HLOOKUP($AF$4,Conversion!$C$4:$CC$47,$A34,)</f>
        <v>1.7346953968648272E-15</v>
      </c>
      <c r="AG34">
        <f>HLOOKUP(AG$4,Conversion!$C$4:$CC$47,$A34,)</f>
        <v>5.4557310717517073E-15</v>
      </c>
      <c r="AH34">
        <f>HLOOKUP(AH$4,Conversion!$C$4:$CC$47,$A34,)</f>
        <v>7.6200889526623053E-16</v>
      </c>
      <c r="AI34">
        <f>HLOOKUP(AI$4,Conversion!$C$4:$CC$47,$A34,)</f>
        <v>7.7818604372111502E-16</v>
      </c>
      <c r="AJ34">
        <f>HLOOKUP(AJ$4,Conversion!$C$4:$CC$47,$A34,)</f>
        <v>8.554794941280053E-17</v>
      </c>
      <c r="AK34">
        <f>HLOOKUP(AK$4,Conversion!$C$4:$CC$47,$A34,)</f>
        <v>4.6427884096022013E-15</v>
      </c>
      <c r="AL34">
        <f>HLOOKUP(AL$4,Conversion!$C$4:$CC$47,$A34,)</f>
        <v>3.579647683474028E-16</v>
      </c>
      <c r="AM34">
        <f>HLOOKUP(AM$4,Conversion!$C$4:$CC$47,$A34,)</f>
        <v>5.8755086642637825E-16</v>
      </c>
      <c r="AN34">
        <f>HLOOKUP(AN$4,Conversion!$C$4:$CC$47,$A34,)</f>
        <v>8.9984589398966656E-16</v>
      </c>
      <c r="AO34">
        <f>HLOOKUP(AO$4,Conversion!$C$4:$CC$47,$A34,)</f>
        <v>8.9984589398966656E-16</v>
      </c>
      <c r="AP34">
        <f>HLOOKUP(AP$4,Conversion!$C$4:$CC$47,$A34,)</f>
        <v>8.9984589398966656E-16</v>
      </c>
      <c r="AQ34">
        <f>HLOOKUP(AQ$4,Conversion!$C$4:$CC$47,$A34,)</f>
        <v>7.9802738842485421E-17</v>
      </c>
      <c r="AR34">
        <f>HLOOKUP(AR$4,Conversion!$C$4:$CC$47,$A34,)</f>
        <v>7.9802738842485421E-17</v>
      </c>
      <c r="AS34">
        <f>HLOOKUP(AS$4,Conversion!$C$4:$CC$47,$A34,)</f>
        <v>2.4984699486450609E-16</v>
      </c>
      <c r="AT34">
        <f>HLOOKUP(AT$4,Conversion!$C$4:$CC$47,$A34,)</f>
        <v>3.2568563724337247E-13</v>
      </c>
      <c r="AU34">
        <f>HLOOKUP(AU$4,Conversion!$C$4:$CC$47,$A34,)</f>
        <v>3.279949191561129E-17</v>
      </c>
      <c r="AV34">
        <f>HLOOKUP(AV$4,Conversion!$C$4:$CC$47,$A34,)</f>
        <v>0</v>
      </c>
      <c r="AW34">
        <f>HLOOKUP(AW$4,Conversion!$C$4:$CC$47,$A34,)</f>
        <v>3.2381681554725257E-16</v>
      </c>
      <c r="AX34">
        <f>HLOOKUP(AX$4,Conversion!$C$4:$CC$47,$A34,)</f>
        <v>2.7286038022983974E-16</v>
      </c>
      <c r="AY34">
        <f>HLOOKUP(AY$4,Conversion!$C$4:$CC$47,$A34,)</f>
        <v>2.7286038022983974E-16</v>
      </c>
      <c r="AZ34">
        <f>HLOOKUP(AZ$4,Conversion!$C$4:$CC$47,$A34,)</f>
        <v>1.6085110933379939E-15</v>
      </c>
      <c r="BA34">
        <f>HLOOKUP(BA$4,Conversion!$C$4:$CC$47,$A34,)</f>
        <v>7.6374252279628206E-16</v>
      </c>
      <c r="BB34">
        <f>HLOOKUP(BB$4,Conversion!$C$4:$CC$47,$A34,)</f>
        <v>3.1009212743983915E-15</v>
      </c>
      <c r="BC34">
        <f>HLOOKUP(BC$4,Conversion!$C$4:$CC$47,$A34,)</f>
        <v>3.298136000971264E-15</v>
      </c>
      <c r="BD34">
        <f>HLOOKUP(BD$4,Conversion!$C$4:$CC$47,$A34,)</f>
        <v>3.298136000971264E-15</v>
      </c>
      <c r="BE34">
        <f>HLOOKUP(BE$4,Conversion!$C$4:$CC$47,$A34,)</f>
        <v>6.0650037243459638E-17</v>
      </c>
      <c r="BF34">
        <f>HLOOKUP(BF$4,Conversion!$C$4:$CC$47,$A34,)</f>
        <v>3.5428551225962521E-16</v>
      </c>
      <c r="BG34">
        <f>HLOOKUP(BG$4,Conversion!$C$4:$CC$47,$A34,)</f>
        <v>1.0138844430376173E-14</v>
      </c>
      <c r="BH34">
        <f>HLOOKUP(BH$4,Conversion!$C$4:$CC$47,$A34,)</f>
        <v>7.5396820510046687E-15</v>
      </c>
      <c r="BI34">
        <f>HLOOKUP(BI$4,Conversion!$C$4:$CC$47,$A34,)</f>
        <v>7.5396820510046687E-15</v>
      </c>
      <c r="BJ34">
        <f>HLOOKUP(BJ$4,Conversion!$C$4:$CC$47,$A34,)</f>
        <v>7.5396820510046687E-15</v>
      </c>
      <c r="BK34">
        <f>HLOOKUP(BK$4,Conversion!$C$4:$CC$47,$A34,)</f>
        <v>3.1009463915919496E-15</v>
      </c>
      <c r="BL34">
        <f>HLOOKUP(BL$4,Conversion!$C$4:$CC$47,$A34,)</f>
        <v>9.6363066095223191E-15</v>
      </c>
      <c r="BM34">
        <f>HLOOKUP(BM$4,Conversion!$C$4:$CC$47,$A34,)</f>
        <v>1.5033560964646264E-14</v>
      </c>
      <c r="BN34">
        <f>HLOOKUP(BN$4,Conversion!$C$4:$CC$47,$A34,)</f>
        <v>1.5033560964646264E-14</v>
      </c>
      <c r="BO34">
        <f>HLOOKUP(BO$4,Conversion!$C$4:$CC$47,$A34,)</f>
        <v>7.9492918627417243E-17</v>
      </c>
      <c r="BP34">
        <f>HLOOKUP(BP$4,Conversion!$C$4:$CC$47,$A34,)</f>
        <v>7.9492918627417243E-17</v>
      </c>
      <c r="BQ34">
        <f>HLOOKUP(BQ$4,Conversion!$C$4:$CC$47,$A34,)</f>
        <v>0</v>
      </c>
      <c r="BR34">
        <f>HLOOKUP(BR$4,Conversion!$C$4:$CC$47,$A34,)</f>
        <v>2.971749066729857E-16</v>
      </c>
      <c r="BS34">
        <f>HLOOKUP(BS$4,Conversion!$C$4:$CC$47,$A34,)</f>
        <v>1.4865518610766803E-16</v>
      </c>
      <c r="BT34">
        <f>HLOOKUP(BT$4,Conversion!$C$4:$CC$47,$A34,)</f>
        <v>8.0805468973634119E-17</v>
      </c>
      <c r="BU34">
        <f>HLOOKUP(BU$4,Conversion!$C$4:$CC$47,$A34,)</f>
        <v>6.194024349713375E-17</v>
      </c>
      <c r="BV34">
        <f>HLOOKUP(BV$4,Conversion!$C$4:$CC$47,$A34,)</f>
        <v>8.884975636122909E-16</v>
      </c>
      <c r="BW34">
        <f>HLOOKUP(BW$4,Conversion!$C$4:$CC$47,$A34,)</f>
        <v>8.7823806362727149E-16</v>
      </c>
      <c r="BX34">
        <f>HLOOKUP(BX$4,Conversion!$C$4:$CC$47,$A34,)</f>
        <v>8.7823806362727149E-16</v>
      </c>
      <c r="BY34">
        <f>HLOOKUP(BY$4,Conversion!$C$4:$CC$47,$A34,)</f>
        <v>7.5412838683937871E-15</v>
      </c>
      <c r="BZ34">
        <f>HLOOKUP(BZ$4,Conversion!$C$4:$CC$47,$A34,)</f>
        <v>2.948865598198523E-16</v>
      </c>
      <c r="CA34">
        <f>HLOOKUP(CA$4,Conversion!$C$4:$CC$47,$A34,)</f>
        <v>2.7033417181204543E-16</v>
      </c>
      <c r="CB34">
        <f>HLOOKUP(CB$4,Conversion!$C$4:$CC$47,$A34,)</f>
        <v>2.6070294924635349E-16</v>
      </c>
      <c r="CC34">
        <f>HLOOKUP(CC$4,Conversion!$C$4:$CC$47,$A34,)</f>
        <v>4.1592164482322328E-16</v>
      </c>
    </row>
    <row r="35" spans="1:81" x14ac:dyDescent="0.15">
      <c r="A35">
        <v>32</v>
      </c>
      <c r="B35" t="s">
        <v>13</v>
      </c>
      <c r="C35">
        <f>HLOOKUP($C$4,Conversion!$C$4:$CC$47,$A35,)</f>
        <v>7.4640059610974926E-16</v>
      </c>
      <c r="D35">
        <f>HLOOKUP($D$4,Conversion!$C$4:$CC$47,$A35,)</f>
        <v>1.5508352106517848E-14</v>
      </c>
      <c r="E35">
        <f>HLOOKUP($E$4,Conversion!$C$4:$CC$47,$A35,)</f>
        <v>7.9110550803905012E-16</v>
      </c>
      <c r="F35">
        <f>HLOOKUP($F$4,Conversion!$C$4:$CC$47,$A35,)</f>
        <v>3.9640894096981528E-15</v>
      </c>
      <c r="G35">
        <f>HLOOKUP($G$4,Conversion!$C$4:$CC$47,$A35,)</f>
        <v>1.9977085051539519E-17</v>
      </c>
      <c r="H35">
        <f>HLOOKUP($H$4,Conversion!$C$4:$CC$47,$A35,)</f>
        <v>4.7307542675014365E-16</v>
      </c>
      <c r="I35">
        <f>HLOOKUP($I$4,Conversion!$C$4:$CC$47,$A35,)</f>
        <v>4.3435615568226738E-16</v>
      </c>
      <c r="J35">
        <f>HLOOKUP($J$4,Conversion!$C$4:$CC$47,$A35,)</f>
        <v>4.3435615568226738E-16</v>
      </c>
      <c r="K35">
        <f>HLOOKUP($K$4,Conversion!$C$4:$CC$47,$A35,)</f>
        <v>4.3435615568226738E-16</v>
      </c>
      <c r="L35">
        <f>HLOOKUP($L$4,Conversion!$C$4:$CC$47,$A35,)</f>
        <v>7.9110550803905012E-16</v>
      </c>
      <c r="M35">
        <f>HLOOKUP($M$4,Conversion!$C$4:$CC$47,$A35,)</f>
        <v>7.9110550803905012E-16</v>
      </c>
      <c r="N35">
        <f>HLOOKUP($N$4,Conversion!$C$4:$CC$47,$A35,)</f>
        <v>7.9110550803905012E-16</v>
      </c>
      <c r="O35">
        <f>HLOOKUP($O$4,Conversion!$C$4:$CC$47,$A35,)</f>
        <v>9.7474088749367647E-16</v>
      </c>
      <c r="P35">
        <f>HLOOKUP($P$4,Conversion!$C$4:$CC$47,$A35,)</f>
        <v>1.4281721026290361E-16</v>
      </c>
      <c r="Q35">
        <f>HLOOKUP($Q$4,Conversion!$C$4:$CC$47,$A35,)</f>
        <v>6.2738311021755638E-16</v>
      </c>
      <c r="R35">
        <f>HLOOKUP($R$4,Conversion!$C$4:$CC$47,$A35,)</f>
        <v>6.2738311021755638E-16</v>
      </c>
      <c r="S35">
        <f>HLOOKUP($S$4,Conversion!$C$4:$CC$47,$A35,)</f>
        <v>5.4493335243152442E-17</v>
      </c>
      <c r="T35">
        <f>HLOOKUP($T$4,Conversion!$C$4:$CC$47,$A35,)</f>
        <v>5.9325407840130539E-17</v>
      </c>
      <c r="U35">
        <f>HLOOKUP($U$4,Conversion!$C$4:$CC$47,$A35,)</f>
        <v>5.9325407840130539E-17</v>
      </c>
      <c r="V35">
        <f>HLOOKUP($V$4,Conversion!$C$4:$CC$47,$A35,)</f>
        <v>5.9325407840130539E-17</v>
      </c>
      <c r="W35">
        <f>HLOOKUP($W$4,Conversion!$C$4:$CC$47,$A35,)</f>
        <v>5.9325407840130539E-17</v>
      </c>
      <c r="X35">
        <f>HLOOKUP($X$4,Conversion!$C$4:$CC$47,$A35,)</f>
        <v>5.9325407840130539E-17</v>
      </c>
      <c r="Y35">
        <f>HLOOKUP($Y$4,Conversion!$C$4:$CC$47,$A35,)</f>
        <v>4.3780880620276647E-17</v>
      </c>
      <c r="Z35">
        <f>HLOOKUP($Z$4,Conversion!$C$4:$CC$47,$A35,)</f>
        <v>7.9037153843337555E-15</v>
      </c>
      <c r="AA35">
        <f>HLOOKUP($AA$4,Conversion!$C$4:$CC$47,$A35,)</f>
        <v>8.4966813927546829E-15</v>
      </c>
      <c r="AB35">
        <f>HLOOKUP($AB$4,Conversion!$C$4:$CC$47,$A35,)</f>
        <v>1.001922241874646E-15</v>
      </c>
      <c r="AC35">
        <f>HLOOKUP($AC$4,Conversion!$C$4:$CC$47,$A35,)</f>
        <v>1.3944027871592199E-13</v>
      </c>
      <c r="AD35">
        <f>HLOOKUP($AD$4,Conversion!$C$4:$CC$47,$A35,)</f>
        <v>1.5531386996429496E-15</v>
      </c>
      <c r="AE35">
        <f>HLOOKUP($AE$4,Conversion!$C$4:$CC$47,$A35,)</f>
        <v>1.516907295097158E-15</v>
      </c>
      <c r="AF35">
        <f>HLOOKUP($AF$4,Conversion!$C$4:$CC$47,$A35,)</f>
        <v>1.516907295097158E-15</v>
      </c>
      <c r="AG35">
        <f>HLOOKUP(AG$4,Conversion!$C$4:$CC$47,$A35,)</f>
        <v>4.3223750072547167E-15</v>
      </c>
      <c r="AH35">
        <f>HLOOKUP(AH$4,Conversion!$C$4:$CC$47,$A35,)</f>
        <v>7.7926851756982357E-16</v>
      </c>
      <c r="AI35">
        <f>HLOOKUP(AI$4,Conversion!$C$4:$CC$47,$A35,)</f>
        <v>8.0935048161142899E-16</v>
      </c>
      <c r="AJ35">
        <f>HLOOKUP(AJ$4,Conversion!$C$4:$CC$47,$A35,)</f>
        <v>8.113844126782819E-17</v>
      </c>
      <c r="AK35">
        <f>HLOOKUP(AK$4,Conversion!$C$4:$CC$47,$A35,)</f>
        <v>2.7001268380660019E-15</v>
      </c>
      <c r="AL35">
        <f>HLOOKUP(AL$4,Conversion!$C$4:$CC$47,$A35,)</f>
        <v>3.6666182797067257E-16</v>
      </c>
      <c r="AM35">
        <f>HLOOKUP(AM$4,Conversion!$C$4:$CC$47,$A35,)</f>
        <v>8.032338861291208E-16</v>
      </c>
      <c r="AN35">
        <f>HLOOKUP(AN$4,Conversion!$C$4:$CC$47,$A35,)</f>
        <v>8.5835751250689352E-16</v>
      </c>
      <c r="AO35">
        <f>HLOOKUP(AO$4,Conversion!$C$4:$CC$47,$A35,)</f>
        <v>8.5835751250689352E-16</v>
      </c>
      <c r="AP35">
        <f>HLOOKUP(AP$4,Conversion!$C$4:$CC$47,$A35,)</f>
        <v>8.5835751250689352E-16</v>
      </c>
      <c r="AQ35">
        <f>HLOOKUP(AQ$4,Conversion!$C$4:$CC$47,$A35,)</f>
        <v>6.752047109655991E-17</v>
      </c>
      <c r="AR35">
        <f>HLOOKUP(AR$4,Conversion!$C$4:$CC$47,$A35,)</f>
        <v>6.752047109655991E-17</v>
      </c>
      <c r="AS35">
        <f>HLOOKUP(AS$4,Conversion!$C$4:$CC$47,$A35,)</f>
        <v>2.6880316198044987E-16</v>
      </c>
      <c r="AT35">
        <f>HLOOKUP(AT$4,Conversion!$C$4:$CC$47,$A35,)</f>
        <v>1.0040159220361674E-14</v>
      </c>
      <c r="AU35">
        <f>HLOOKUP(AU$4,Conversion!$C$4:$CC$47,$A35,)</f>
        <v>2.8610642319529332E-17</v>
      </c>
      <c r="AV35">
        <f>HLOOKUP(AV$4,Conversion!$C$4:$CC$47,$A35,)</f>
        <v>0</v>
      </c>
      <c r="AW35">
        <f>HLOOKUP(AW$4,Conversion!$C$4:$CC$47,$A35,)</f>
        <v>3.5444378357028255E-16</v>
      </c>
      <c r="AX35">
        <f>HLOOKUP(AX$4,Conversion!$C$4:$CC$47,$A35,)</f>
        <v>2.9871295493701087E-16</v>
      </c>
      <c r="AY35">
        <f>HLOOKUP(AY$4,Conversion!$C$4:$CC$47,$A35,)</f>
        <v>2.9871295493701087E-16</v>
      </c>
      <c r="AZ35">
        <f>HLOOKUP(AZ$4,Conversion!$C$4:$CC$47,$A35,)</f>
        <v>1.7131296323179117E-15</v>
      </c>
      <c r="BA35">
        <f>HLOOKUP(BA$4,Conversion!$C$4:$CC$47,$A35,)</f>
        <v>7.8051837830116261E-16</v>
      </c>
      <c r="BB35">
        <f>HLOOKUP(BB$4,Conversion!$C$4:$CC$47,$A35,)</f>
        <v>3.0371152246600988E-15</v>
      </c>
      <c r="BC35">
        <f>HLOOKUP(BC$4,Conversion!$C$4:$CC$47,$A35,)</f>
        <v>3.4821909725222574E-15</v>
      </c>
      <c r="BD35">
        <f>HLOOKUP(BD$4,Conversion!$C$4:$CC$47,$A35,)</f>
        <v>3.4821909725222574E-15</v>
      </c>
      <c r="BE35">
        <f>HLOOKUP(BE$4,Conversion!$C$4:$CC$47,$A35,)</f>
        <v>5.7374777280221206E-17</v>
      </c>
      <c r="BF35">
        <f>HLOOKUP(BF$4,Conversion!$C$4:$CC$47,$A35,)</f>
        <v>4.0415445813863256E-16</v>
      </c>
      <c r="BG35">
        <f>HLOOKUP(BG$4,Conversion!$C$4:$CC$47,$A35,)</f>
        <v>4.7595584177088378E-15</v>
      </c>
      <c r="BH35">
        <f>HLOOKUP(BH$4,Conversion!$C$4:$CC$47,$A35,)</f>
        <v>3.9243213369800215E-15</v>
      </c>
      <c r="BI35">
        <f>HLOOKUP(BI$4,Conversion!$C$4:$CC$47,$A35,)</f>
        <v>3.9243213369800215E-15</v>
      </c>
      <c r="BJ35">
        <f>HLOOKUP(BJ$4,Conversion!$C$4:$CC$47,$A35,)</f>
        <v>3.9243213369800215E-15</v>
      </c>
      <c r="BK35">
        <f>HLOOKUP(BK$4,Conversion!$C$4:$CC$47,$A35,)</f>
        <v>6.0626989727212773E-15</v>
      </c>
      <c r="BL35">
        <f>HLOOKUP(BL$4,Conversion!$C$4:$CC$47,$A35,)</f>
        <v>4.7584442262171028E-15</v>
      </c>
      <c r="BM35">
        <f>HLOOKUP(BM$4,Conversion!$C$4:$CC$47,$A35,)</f>
        <v>4.7319260435110387E-15</v>
      </c>
      <c r="BN35">
        <f>HLOOKUP(BN$4,Conversion!$C$4:$CC$47,$A35,)</f>
        <v>4.7319260435110387E-15</v>
      </c>
      <c r="BO35">
        <f>HLOOKUP(BO$4,Conversion!$C$4:$CC$47,$A35,)</f>
        <v>6.6349932983111245E-17</v>
      </c>
      <c r="BP35">
        <f>HLOOKUP(BP$4,Conversion!$C$4:$CC$47,$A35,)</f>
        <v>6.6349932983111245E-17</v>
      </c>
      <c r="BQ35">
        <f>HLOOKUP(BQ$4,Conversion!$C$4:$CC$47,$A35,)</f>
        <v>0</v>
      </c>
      <c r="BR35">
        <f>HLOOKUP(BR$4,Conversion!$C$4:$CC$47,$A35,)</f>
        <v>2.734483863373258E-16</v>
      </c>
      <c r="BS35">
        <f>HLOOKUP(BS$4,Conversion!$C$4:$CC$47,$A35,)</f>
        <v>1.4535266801295678E-16</v>
      </c>
      <c r="BT35">
        <f>HLOOKUP(BT$4,Conversion!$C$4:$CC$47,$A35,)</f>
        <v>6.7716041338916449E-17</v>
      </c>
      <c r="BU35">
        <f>HLOOKUP(BU$4,Conversion!$C$4:$CC$47,$A35,)</f>
        <v>5.1497707093719844E-17</v>
      </c>
      <c r="BV35">
        <f>HLOOKUP(BV$4,Conversion!$C$4:$CC$47,$A35,)</f>
        <v>9.4522026665528257E-16</v>
      </c>
      <c r="BW35">
        <f>HLOOKUP(BW$4,Conversion!$C$4:$CC$47,$A35,)</f>
        <v>8.6048160449603694E-16</v>
      </c>
      <c r="BX35">
        <f>HLOOKUP(BX$4,Conversion!$C$4:$CC$47,$A35,)</f>
        <v>8.6048160449603694E-16</v>
      </c>
      <c r="BY35">
        <f>HLOOKUP(BY$4,Conversion!$C$4:$CC$47,$A35,)</f>
        <v>5.3859735996244844E-15</v>
      </c>
      <c r="BZ35">
        <f>HLOOKUP(BZ$4,Conversion!$C$4:$CC$47,$A35,)</f>
        <v>2.7984084077131321E-16</v>
      </c>
      <c r="CA35">
        <f>HLOOKUP(CA$4,Conversion!$C$4:$CC$47,$A35,)</f>
        <v>2.5841268276618632E-16</v>
      </c>
      <c r="CB35">
        <f>HLOOKUP(CB$4,Conversion!$C$4:$CC$47,$A35,)</f>
        <v>2.7089381625251529E-16</v>
      </c>
      <c r="CC35">
        <f>HLOOKUP(CC$4,Conversion!$C$4:$CC$47,$A35,)</f>
        <v>4.5521422400044626E-16</v>
      </c>
    </row>
    <row r="36" spans="1:81" x14ac:dyDescent="0.15">
      <c r="A36">
        <v>33</v>
      </c>
      <c r="B36" t="s">
        <v>32</v>
      </c>
      <c r="C36">
        <f>HLOOKUP($C$4,Conversion!$C$4:$CC$47,$A36,)</f>
        <v>7.3828529142285202E-16</v>
      </c>
      <c r="D36">
        <f>HLOOKUP($D$4,Conversion!$C$4:$CC$47,$A36,)</f>
        <v>5.9744972518492312E-15</v>
      </c>
      <c r="E36">
        <f>HLOOKUP($E$4,Conversion!$C$4:$CC$47,$A36,)</f>
        <v>2.7142610728381617E-15</v>
      </c>
      <c r="F36">
        <f>HLOOKUP($F$4,Conversion!$C$4:$CC$47,$A36,)</f>
        <v>4.7220074340606702E-15</v>
      </c>
      <c r="G36">
        <f>HLOOKUP($G$4,Conversion!$C$4:$CC$47,$A36,)</f>
        <v>4.5062116998293844E-17</v>
      </c>
      <c r="H36">
        <f>HLOOKUP($H$4,Conversion!$C$4:$CC$47,$A36,)</f>
        <v>8.9060018611986544E-16</v>
      </c>
      <c r="I36">
        <f>HLOOKUP($I$4,Conversion!$C$4:$CC$47,$A36,)</f>
        <v>1.104558091956499E-15</v>
      </c>
      <c r="J36">
        <f>HLOOKUP($J$4,Conversion!$C$4:$CC$47,$A36,)</f>
        <v>1.104558091956499E-15</v>
      </c>
      <c r="K36">
        <f>HLOOKUP($K$4,Conversion!$C$4:$CC$47,$A36,)</f>
        <v>1.104558091956499E-15</v>
      </c>
      <c r="L36">
        <f>HLOOKUP($L$4,Conversion!$C$4:$CC$47,$A36,)</f>
        <v>2.7142610728381617E-15</v>
      </c>
      <c r="M36">
        <f>HLOOKUP($M$4,Conversion!$C$4:$CC$47,$A36,)</f>
        <v>2.7142610728381617E-15</v>
      </c>
      <c r="N36">
        <f>HLOOKUP($N$4,Conversion!$C$4:$CC$47,$A36,)</f>
        <v>2.7142610728381617E-15</v>
      </c>
      <c r="O36">
        <f>HLOOKUP($O$4,Conversion!$C$4:$CC$47,$A36,)</f>
        <v>6.9983265581204631E-16</v>
      </c>
      <c r="P36">
        <f>HLOOKUP($P$4,Conversion!$C$4:$CC$47,$A36,)</f>
        <v>1.9952593073691254E-16</v>
      </c>
      <c r="Q36">
        <f>HLOOKUP($Q$4,Conversion!$C$4:$CC$47,$A36,)</f>
        <v>5.3510540478092827E-16</v>
      </c>
      <c r="R36">
        <f>HLOOKUP($R$4,Conversion!$C$4:$CC$47,$A36,)</f>
        <v>5.3510540478092827E-16</v>
      </c>
      <c r="S36">
        <f>HLOOKUP($S$4,Conversion!$C$4:$CC$47,$A36,)</f>
        <v>9.5925396652589657E-17</v>
      </c>
      <c r="T36">
        <f>HLOOKUP($T$4,Conversion!$C$4:$CC$47,$A36,)</f>
        <v>1.3394623698681716E-16</v>
      </c>
      <c r="U36">
        <f>HLOOKUP($U$4,Conversion!$C$4:$CC$47,$A36,)</f>
        <v>1.3394623698681716E-16</v>
      </c>
      <c r="V36">
        <f>HLOOKUP($V$4,Conversion!$C$4:$CC$47,$A36,)</f>
        <v>1.3394623698681716E-16</v>
      </c>
      <c r="W36">
        <f>HLOOKUP($W$4,Conversion!$C$4:$CC$47,$A36,)</f>
        <v>1.3394623698681716E-16</v>
      </c>
      <c r="X36">
        <f>HLOOKUP($X$4,Conversion!$C$4:$CC$47,$A36,)</f>
        <v>1.3394623698681716E-16</v>
      </c>
      <c r="Y36">
        <f>HLOOKUP($Y$4,Conversion!$C$4:$CC$47,$A36,)</f>
        <v>7.7930766564714851E-17</v>
      </c>
      <c r="Z36">
        <f>HLOOKUP($Z$4,Conversion!$C$4:$CC$47,$A36,)</f>
        <v>2.4432366363500377E-15</v>
      </c>
      <c r="AA36">
        <f>HLOOKUP($AA$4,Conversion!$C$4:$CC$47,$A36,)</f>
        <v>2.4558282428406982E-15</v>
      </c>
      <c r="AB36">
        <f>HLOOKUP($AB$4,Conversion!$C$4:$CC$47,$A36,)</f>
        <v>3.0325573712778606E-15</v>
      </c>
      <c r="AC36">
        <f>HLOOKUP($AC$4,Conversion!$C$4:$CC$47,$A36,)</f>
        <v>6.0419003056248336E-15</v>
      </c>
      <c r="AD36">
        <f>HLOOKUP($AD$4,Conversion!$C$4:$CC$47,$A36,)</f>
        <v>6.5214404372266611E-16</v>
      </c>
      <c r="AE36">
        <f>HLOOKUP($AE$4,Conversion!$C$4:$CC$47,$A36,)</f>
        <v>6.3388194339141588E-16</v>
      </c>
      <c r="AF36">
        <f>HLOOKUP($AF$4,Conversion!$C$4:$CC$47,$A36,)</f>
        <v>6.3388194339141588E-16</v>
      </c>
      <c r="AG36">
        <f>HLOOKUP(AG$4,Conversion!$C$4:$CC$47,$A36,)</f>
        <v>1.9511440472931382E-15</v>
      </c>
      <c r="AH36">
        <f>HLOOKUP(AH$4,Conversion!$C$4:$CC$47,$A36,)</f>
        <v>2.6600463835519541E-15</v>
      </c>
      <c r="AI36">
        <f>HLOOKUP(AI$4,Conversion!$C$4:$CC$47,$A36,)</f>
        <v>2.8048541731393472E-15</v>
      </c>
      <c r="AJ36">
        <f>HLOOKUP(AJ$4,Conversion!$C$4:$CC$47,$A36,)</f>
        <v>1.8041997906648018E-16</v>
      </c>
      <c r="AK36">
        <f>HLOOKUP(AK$4,Conversion!$C$4:$CC$47,$A36,)</f>
        <v>1.7589817800294572E-15</v>
      </c>
      <c r="AL36">
        <f>HLOOKUP(AL$4,Conversion!$C$4:$CC$47,$A36,)</f>
        <v>8.6335812920776004E-16</v>
      </c>
      <c r="AM36">
        <f>HLOOKUP(AM$4,Conversion!$C$4:$CC$47,$A36,)</f>
        <v>6.4044430346725048E-16</v>
      </c>
      <c r="AN36">
        <f>HLOOKUP(AN$4,Conversion!$C$4:$CC$47,$A36,)</f>
        <v>2.2068079577129365E-15</v>
      </c>
      <c r="AO36">
        <f>HLOOKUP(AO$4,Conversion!$C$4:$CC$47,$A36,)</f>
        <v>2.2068079577129365E-15</v>
      </c>
      <c r="AP36">
        <f>HLOOKUP(AP$4,Conversion!$C$4:$CC$47,$A36,)</f>
        <v>2.2068079577129365E-15</v>
      </c>
      <c r="AQ36">
        <f>HLOOKUP(AQ$4,Conversion!$C$4:$CC$47,$A36,)</f>
        <v>1.3860444753119687E-16</v>
      </c>
      <c r="AR36">
        <f>HLOOKUP(AR$4,Conversion!$C$4:$CC$47,$A36,)</f>
        <v>1.3860444753119687E-16</v>
      </c>
      <c r="AS36">
        <f>HLOOKUP(AS$4,Conversion!$C$4:$CC$47,$A36,)</f>
        <v>8.9341960894887748E-17</v>
      </c>
      <c r="AT36">
        <f>HLOOKUP(AT$4,Conversion!$C$4:$CC$47,$A36,)</f>
        <v>3.0851368072306202E-15</v>
      </c>
      <c r="AU36">
        <f>HLOOKUP(AU$4,Conversion!$C$4:$CC$47,$A36,)</f>
        <v>6.4997966073227012E-17</v>
      </c>
      <c r="AV36">
        <f>HLOOKUP(AV$4,Conversion!$C$4:$CC$47,$A36,)</f>
        <v>0</v>
      </c>
      <c r="AW36">
        <f>HLOOKUP(AW$4,Conversion!$C$4:$CC$47,$A36,)</f>
        <v>1.2767618974604983E-16</v>
      </c>
      <c r="AX36">
        <f>HLOOKUP(AX$4,Conversion!$C$4:$CC$47,$A36,)</f>
        <v>1.0761224621926914E-16</v>
      </c>
      <c r="AY36">
        <f>HLOOKUP(AY$4,Conversion!$C$4:$CC$47,$A36,)</f>
        <v>1.0761224621926914E-16</v>
      </c>
      <c r="AZ36">
        <f>HLOOKUP(AZ$4,Conversion!$C$4:$CC$47,$A36,)</f>
        <v>1.5447327992842206E-15</v>
      </c>
      <c r="BA36">
        <f>HLOOKUP(BA$4,Conversion!$C$4:$CC$47,$A36,)</f>
        <v>2.6735612581028918E-15</v>
      </c>
      <c r="BB36">
        <f>HLOOKUP(BB$4,Conversion!$C$4:$CC$47,$A36,)</f>
        <v>3.5119629011842808E-16</v>
      </c>
      <c r="BC36">
        <f>HLOOKUP(BC$4,Conversion!$C$4:$CC$47,$A36,)</f>
        <v>3.5306329762256074E-16</v>
      </c>
      <c r="BD36">
        <f>HLOOKUP(BD$4,Conversion!$C$4:$CC$47,$A36,)</f>
        <v>3.5306329762256074E-16</v>
      </c>
      <c r="BE36">
        <f>HLOOKUP(BE$4,Conversion!$C$4:$CC$47,$A36,)</f>
        <v>1.3329043117550396E-16</v>
      </c>
      <c r="BF36">
        <f>HLOOKUP(BF$4,Conversion!$C$4:$CC$47,$A36,)</f>
        <v>4.962961126627923E-16</v>
      </c>
      <c r="BG36">
        <f>HLOOKUP(BG$4,Conversion!$C$4:$CC$47,$A36,)</f>
        <v>1.9038379043115727E-15</v>
      </c>
      <c r="BH36">
        <f>HLOOKUP(BH$4,Conversion!$C$4:$CC$47,$A36,)</f>
        <v>1.5570931361238091E-15</v>
      </c>
      <c r="BI36">
        <f>HLOOKUP(BI$4,Conversion!$C$4:$CC$47,$A36,)</f>
        <v>1.5570931361238091E-15</v>
      </c>
      <c r="BJ36">
        <f>HLOOKUP(BJ$4,Conversion!$C$4:$CC$47,$A36,)</f>
        <v>1.5570931361238091E-15</v>
      </c>
      <c r="BK36">
        <f>HLOOKUP(BK$4,Conversion!$C$4:$CC$47,$A36,)</f>
        <v>2.5648728817541064E-13</v>
      </c>
      <c r="BL36">
        <f>HLOOKUP(BL$4,Conversion!$C$4:$CC$47,$A36,)</f>
        <v>1.3337264550617886E-14</v>
      </c>
      <c r="BM36">
        <f>HLOOKUP(BM$4,Conversion!$C$4:$CC$47,$A36,)</f>
        <v>1.2542468544452859E-14</v>
      </c>
      <c r="BN36">
        <f>HLOOKUP(BN$4,Conversion!$C$4:$CC$47,$A36,)</f>
        <v>1.2542468544452859E-14</v>
      </c>
      <c r="BO36">
        <f>HLOOKUP(BO$4,Conversion!$C$4:$CC$47,$A36,)</f>
        <v>1.279419889767522E-16</v>
      </c>
      <c r="BP36">
        <f>HLOOKUP(BP$4,Conversion!$C$4:$CC$47,$A36,)</f>
        <v>1.279419889767522E-16</v>
      </c>
      <c r="BQ36">
        <f>HLOOKUP(BQ$4,Conversion!$C$4:$CC$47,$A36,)</f>
        <v>0</v>
      </c>
      <c r="BR36">
        <f>HLOOKUP(BR$4,Conversion!$C$4:$CC$47,$A36,)</f>
        <v>5.5508124586507888E-16</v>
      </c>
      <c r="BS36">
        <f>HLOOKUP(BS$4,Conversion!$C$4:$CC$47,$A36,)</f>
        <v>3.157966839924797E-16</v>
      </c>
      <c r="BT36">
        <f>HLOOKUP(BT$4,Conversion!$C$4:$CC$47,$A36,)</f>
        <v>1.4030025332698319E-16</v>
      </c>
      <c r="BU36">
        <f>HLOOKUP(BU$4,Conversion!$C$4:$CC$47,$A36,)</f>
        <v>1.169331246674023E-16</v>
      </c>
      <c r="BV36">
        <f>HLOOKUP(BV$4,Conversion!$C$4:$CC$47,$A36,)</f>
        <v>8.6654425156858581E-16</v>
      </c>
      <c r="BW36">
        <f>HLOOKUP(BW$4,Conversion!$C$4:$CC$47,$A36,)</f>
        <v>5.8199682111854261E-16</v>
      </c>
      <c r="BX36">
        <f>HLOOKUP(BX$4,Conversion!$C$4:$CC$47,$A36,)</f>
        <v>5.8199682111854261E-16</v>
      </c>
      <c r="BY36">
        <f>HLOOKUP(BY$4,Conversion!$C$4:$CC$47,$A36,)</f>
        <v>9.2969095665942803E-16</v>
      </c>
      <c r="BZ36">
        <f>HLOOKUP(BZ$4,Conversion!$C$4:$CC$47,$A36,)</f>
        <v>9.5794645406123912E-17</v>
      </c>
      <c r="CA36">
        <f>HLOOKUP(CA$4,Conversion!$C$4:$CC$47,$A36,)</f>
        <v>9.0172778201898308E-17</v>
      </c>
      <c r="CB36">
        <f>HLOOKUP(CB$4,Conversion!$C$4:$CC$47,$A36,)</f>
        <v>9.5710073997512128E-17</v>
      </c>
      <c r="CC36">
        <f>HLOOKUP(CC$4,Conversion!$C$4:$CC$47,$A36,)</f>
        <v>4.1945139570844288E-16</v>
      </c>
    </row>
    <row r="37" spans="1:81" x14ac:dyDescent="0.15">
      <c r="A37">
        <v>34</v>
      </c>
      <c r="B37" t="s">
        <v>11</v>
      </c>
      <c r="C37">
        <f>HLOOKUP($C$4,Conversion!$C$4:$CC$47,$A37,)</f>
        <v>5.702386065161686E-16</v>
      </c>
      <c r="D37">
        <f>HLOOKUP($D$4,Conversion!$C$4:$CC$47,$A37,)</f>
        <v>2.2880245726794569E-14</v>
      </c>
      <c r="E37">
        <f>HLOOKUP($E$4,Conversion!$C$4:$CC$47,$A37,)</f>
        <v>1.2952553671883107E-15</v>
      </c>
      <c r="F37">
        <f>HLOOKUP($F$4,Conversion!$C$4:$CC$47,$A37,)</f>
        <v>8.1941248560859247E-16</v>
      </c>
      <c r="G37">
        <f>HLOOKUP($G$4,Conversion!$C$4:$CC$47,$A37,)</f>
        <v>2.7528930318185092E-17</v>
      </c>
      <c r="H37">
        <f>HLOOKUP($H$4,Conversion!$C$4:$CC$47,$A37,)</f>
        <v>9.7372705176283067E-16</v>
      </c>
      <c r="I37">
        <f>HLOOKUP($I$4,Conversion!$C$4:$CC$47,$A37,)</f>
        <v>6.9519320368208615E-16</v>
      </c>
      <c r="J37">
        <f>HLOOKUP($J$4,Conversion!$C$4:$CC$47,$A37,)</f>
        <v>6.9519320368208615E-16</v>
      </c>
      <c r="K37">
        <f>HLOOKUP($K$4,Conversion!$C$4:$CC$47,$A37,)</f>
        <v>6.9519320368208615E-16</v>
      </c>
      <c r="L37">
        <f>HLOOKUP($L$4,Conversion!$C$4:$CC$47,$A37,)</f>
        <v>1.2952553671883107E-15</v>
      </c>
      <c r="M37">
        <f>HLOOKUP($M$4,Conversion!$C$4:$CC$47,$A37,)</f>
        <v>1.2952553671883107E-15</v>
      </c>
      <c r="N37">
        <f>HLOOKUP($N$4,Conversion!$C$4:$CC$47,$A37,)</f>
        <v>1.2952553671883107E-15</v>
      </c>
      <c r="O37">
        <f>HLOOKUP($O$4,Conversion!$C$4:$CC$47,$A37,)</f>
        <v>1.2919889299697179E-15</v>
      </c>
      <c r="P37">
        <f>HLOOKUP($P$4,Conversion!$C$4:$CC$47,$A37,)</f>
        <v>1.1115215940569519E-16</v>
      </c>
      <c r="Q37">
        <f>HLOOKUP($Q$4,Conversion!$C$4:$CC$47,$A37,)</f>
        <v>7.819096997630731E-16</v>
      </c>
      <c r="R37">
        <f>HLOOKUP($R$4,Conversion!$C$4:$CC$47,$A37,)</f>
        <v>7.819096997630731E-16</v>
      </c>
      <c r="S37">
        <f>HLOOKUP($S$4,Conversion!$C$4:$CC$47,$A37,)</f>
        <v>1.0607780889162029E-16</v>
      </c>
      <c r="T37">
        <f>HLOOKUP($T$4,Conversion!$C$4:$CC$47,$A37,)</f>
        <v>8.7425959577190311E-17</v>
      </c>
      <c r="U37">
        <f>HLOOKUP($U$4,Conversion!$C$4:$CC$47,$A37,)</f>
        <v>8.7425959577190311E-17</v>
      </c>
      <c r="V37">
        <f>HLOOKUP($V$4,Conversion!$C$4:$CC$47,$A37,)</f>
        <v>8.7425959577190311E-17</v>
      </c>
      <c r="W37">
        <f>HLOOKUP($W$4,Conversion!$C$4:$CC$47,$A37,)</f>
        <v>8.7425959577190311E-17</v>
      </c>
      <c r="X37">
        <f>HLOOKUP($X$4,Conversion!$C$4:$CC$47,$A37,)</f>
        <v>8.7425959577190311E-17</v>
      </c>
      <c r="Y37">
        <f>HLOOKUP($Y$4,Conversion!$C$4:$CC$47,$A37,)</f>
        <v>7.5991418422853436E-17</v>
      </c>
      <c r="Z37">
        <f>HLOOKUP($Z$4,Conversion!$C$4:$CC$47,$A37,)</f>
        <v>1.7385449255275419E-13</v>
      </c>
      <c r="AA37">
        <f>HLOOKUP($AA$4,Conversion!$C$4:$CC$47,$A37,)</f>
        <v>3.910718027674368E-12</v>
      </c>
      <c r="AB37">
        <f>HLOOKUP($AB$4,Conversion!$C$4:$CC$47,$A37,)</f>
        <v>1.7938402920210675E-15</v>
      </c>
      <c r="AC37">
        <f>HLOOKUP($AC$4,Conversion!$C$4:$CC$47,$A37,)</f>
        <v>8.5043936684747416E-15</v>
      </c>
      <c r="AD37">
        <f>HLOOKUP($AD$4,Conversion!$C$4:$CC$47,$A37,)</f>
        <v>9.1195368336030773E-16</v>
      </c>
      <c r="AE37">
        <f>HLOOKUP($AE$4,Conversion!$C$4:$CC$47,$A37,)</f>
        <v>8.7048267541109012E-16</v>
      </c>
      <c r="AF37">
        <f>HLOOKUP($AF$4,Conversion!$C$4:$CC$47,$A37,)</f>
        <v>8.7048267541109012E-16</v>
      </c>
      <c r="AG37">
        <f>HLOOKUP(AG$4,Conversion!$C$4:$CC$47,$A37,)</f>
        <v>1.4810763060670747E-14</v>
      </c>
      <c r="AH37">
        <f>HLOOKUP(AH$4,Conversion!$C$4:$CC$47,$A37,)</f>
        <v>1.2752959313503618E-15</v>
      </c>
      <c r="AI37">
        <f>HLOOKUP(AI$4,Conversion!$C$4:$CC$47,$A37,)</f>
        <v>1.2836791953428286E-15</v>
      </c>
      <c r="AJ37">
        <f>HLOOKUP(AJ$4,Conversion!$C$4:$CC$47,$A37,)</f>
        <v>1.4014716126283651E-16</v>
      </c>
      <c r="AK37">
        <f>HLOOKUP(AK$4,Conversion!$C$4:$CC$47,$A37,)</f>
        <v>4.265311234286598E-15</v>
      </c>
      <c r="AL37">
        <f>HLOOKUP(AL$4,Conversion!$C$4:$CC$47,$A37,)</f>
        <v>6.1299756523728467E-16</v>
      </c>
      <c r="AM37">
        <f>HLOOKUP(AM$4,Conversion!$C$4:$CC$47,$A37,)</f>
        <v>5.6024462538032775E-16</v>
      </c>
      <c r="AN37">
        <f>HLOOKUP(AN$4,Conversion!$C$4:$CC$47,$A37,)</f>
        <v>1.6347835789609801E-15</v>
      </c>
      <c r="AO37">
        <f>HLOOKUP(AO$4,Conversion!$C$4:$CC$47,$A37,)</f>
        <v>1.6347835789609801E-15</v>
      </c>
      <c r="AP37">
        <f>HLOOKUP(AP$4,Conversion!$C$4:$CC$47,$A37,)</f>
        <v>1.6347835789609801E-15</v>
      </c>
      <c r="AQ37">
        <f>HLOOKUP(AQ$4,Conversion!$C$4:$CC$47,$A37,)</f>
        <v>1.2193460446061261E-16</v>
      </c>
      <c r="AR37">
        <f>HLOOKUP(AR$4,Conversion!$C$4:$CC$47,$A37,)</f>
        <v>1.2194033320084528E-16</v>
      </c>
      <c r="AS37">
        <f>HLOOKUP(AS$4,Conversion!$C$4:$CC$47,$A37,)</f>
        <v>1.6660983005984244E-16</v>
      </c>
      <c r="AT37">
        <f>HLOOKUP(AT$4,Conversion!$C$4:$CC$47,$A37,)</f>
        <v>1.8630428233940621E-14</v>
      </c>
      <c r="AU37">
        <f>HLOOKUP(AU$4,Conversion!$C$4:$CC$47,$A37,)</f>
        <v>4.6929350355444046E-17</v>
      </c>
      <c r="AV37">
        <f>HLOOKUP(AV$4,Conversion!$C$4:$CC$47,$A37,)</f>
        <v>0</v>
      </c>
      <c r="AW37">
        <f>HLOOKUP(AW$4,Conversion!$C$4:$CC$47,$A37,)</f>
        <v>2.02525270252026E-16</v>
      </c>
      <c r="AX37">
        <f>HLOOKUP(AX$4,Conversion!$C$4:$CC$47,$A37,)</f>
        <v>1.7202810302130658E-16</v>
      </c>
      <c r="AY37">
        <f>HLOOKUP(AY$4,Conversion!$C$4:$CC$47,$A37,)</f>
        <v>1.7203541689323994E-16</v>
      </c>
      <c r="AZ37">
        <f>HLOOKUP(AZ$4,Conversion!$C$4:$CC$47,$A37,)</f>
        <v>2.122110413496099E-15</v>
      </c>
      <c r="BA37">
        <f>HLOOKUP(BA$4,Conversion!$C$4:$CC$47,$A37,)</f>
        <v>1.2778316969236588E-15</v>
      </c>
      <c r="BB37">
        <f>HLOOKUP(BB$4,Conversion!$C$4:$CC$47,$A37,)</f>
        <v>1.7062835673934244E-15</v>
      </c>
      <c r="BC37">
        <f>HLOOKUP(BC$4,Conversion!$C$4:$CC$47,$A37,)</f>
        <v>1.7580963912815201E-15</v>
      </c>
      <c r="BD37">
        <f>HLOOKUP(BD$4,Conversion!$C$4:$CC$47,$A37,)</f>
        <v>1.7580963912815201E-15</v>
      </c>
      <c r="BE37">
        <f>HLOOKUP(BE$4,Conversion!$C$4:$CC$47,$A37,)</f>
        <v>9.4088242868891648E-17</v>
      </c>
      <c r="BF37">
        <f>HLOOKUP(BF$4,Conversion!$C$4:$CC$47,$A37,)</f>
        <v>3.4917882726319249E-16</v>
      </c>
      <c r="BG37">
        <f>HLOOKUP(BG$4,Conversion!$C$4:$CC$47,$A37,)</f>
        <v>4.0891944288216348E-15</v>
      </c>
      <c r="BH37">
        <f>HLOOKUP(BH$4,Conversion!$C$4:$CC$47,$A37,)</f>
        <v>3.7132536320552062E-15</v>
      </c>
      <c r="BI37">
        <f>HLOOKUP(BI$4,Conversion!$C$4:$CC$47,$A37,)</f>
        <v>3.7132536320552062E-15</v>
      </c>
      <c r="BJ37">
        <f>HLOOKUP(BJ$4,Conversion!$C$4:$CC$47,$A37,)</f>
        <v>3.7132536320552062E-15</v>
      </c>
      <c r="BK37">
        <f>HLOOKUP(BK$4,Conversion!$C$4:$CC$47,$A37,)</f>
        <v>2.4660995023768226E-15</v>
      </c>
      <c r="BL37">
        <f>HLOOKUP(BL$4,Conversion!$C$4:$CC$47,$A37,)</f>
        <v>4.7797448842937973E-15</v>
      </c>
      <c r="BM37">
        <f>HLOOKUP(BM$4,Conversion!$C$4:$CC$47,$A37,)</f>
        <v>6.4431391506974203E-15</v>
      </c>
      <c r="BN37">
        <f>HLOOKUP(BN$4,Conversion!$C$4:$CC$47,$A37,)</f>
        <v>6.4431391506974203E-15</v>
      </c>
      <c r="BO37">
        <f>HLOOKUP(BO$4,Conversion!$C$4:$CC$47,$A37,)</f>
        <v>1.2778731332756044E-16</v>
      </c>
      <c r="BP37">
        <f>HLOOKUP(BP$4,Conversion!$C$4:$CC$47,$A37,)</f>
        <v>1.2778731332756044E-16</v>
      </c>
      <c r="BQ37">
        <f>HLOOKUP(BQ$4,Conversion!$C$4:$CC$47,$A37,)</f>
        <v>0</v>
      </c>
      <c r="BR37">
        <f>HLOOKUP(BR$4,Conversion!$C$4:$CC$47,$A37,)</f>
        <v>4.8468207017279894E-16</v>
      </c>
      <c r="BS37">
        <f>HLOOKUP(BS$4,Conversion!$C$4:$CC$47,$A37,)</f>
        <v>2.3485579620797615E-16</v>
      </c>
      <c r="BT37">
        <f>HLOOKUP(BT$4,Conversion!$C$4:$CC$47,$A37,)</f>
        <v>1.2008969479601369E-16</v>
      </c>
      <c r="BU37">
        <f>HLOOKUP(BU$4,Conversion!$C$4:$CC$47,$A37,)</f>
        <v>9.3718948164276154E-17</v>
      </c>
      <c r="BV37">
        <f>HLOOKUP(BV$4,Conversion!$C$4:$CC$47,$A37,)</f>
        <v>1.1437151069759207E-15</v>
      </c>
      <c r="BW37">
        <f>HLOOKUP(BW$4,Conversion!$C$4:$CC$47,$A37,)</f>
        <v>9.9210075257409647E-16</v>
      </c>
      <c r="BX37">
        <f>HLOOKUP(BX$4,Conversion!$C$4:$CC$47,$A37,)</f>
        <v>9.9210075257409647E-16</v>
      </c>
      <c r="BY37">
        <f>HLOOKUP(BY$4,Conversion!$C$4:$CC$47,$A37,)</f>
        <v>5.1543881409085517E-15</v>
      </c>
      <c r="BZ37">
        <f>HLOOKUP(BZ$4,Conversion!$C$4:$CC$47,$A37,)</f>
        <v>1.7730890643306875E-16</v>
      </c>
      <c r="CA37">
        <f>HLOOKUP(CA$4,Conversion!$C$4:$CC$47,$A37,)</f>
        <v>1.8267170310891023E-16</v>
      </c>
      <c r="CB37">
        <f>HLOOKUP(CB$4,Conversion!$C$4:$CC$47,$A37,)</f>
        <v>1.6033162715301708E-16</v>
      </c>
      <c r="CC37">
        <f>HLOOKUP(CC$4,Conversion!$C$4:$CC$47,$A37,)</f>
        <v>5.0070386089962035E-16</v>
      </c>
    </row>
    <row r="38" spans="1:81" x14ac:dyDescent="0.15">
      <c r="A38">
        <v>35</v>
      </c>
      <c r="B38" t="s">
        <v>39</v>
      </c>
      <c r="C38">
        <f>HLOOKUP($C$4,Conversion!$C$4:$CC$47,$A38,)</f>
        <v>1.0327160771775321E-15</v>
      </c>
      <c r="D38">
        <f>HLOOKUP($D$4,Conversion!$C$4:$CC$47,$A38,)</f>
        <v>3.227541422125346E-15</v>
      </c>
      <c r="E38">
        <f>HLOOKUP($E$4,Conversion!$C$4:$CC$47,$A38,)</f>
        <v>2.6580818783240632E-16</v>
      </c>
      <c r="F38">
        <f>HLOOKUP($F$4,Conversion!$C$4:$CC$47,$A38,)</f>
        <v>6.3894924317102303E-16</v>
      </c>
      <c r="G38">
        <f>HLOOKUP($G$4,Conversion!$C$4:$CC$47,$A38,)</f>
        <v>7.9555955767594935E-18</v>
      </c>
      <c r="H38">
        <f>HLOOKUP($H$4,Conversion!$C$4:$CC$47,$A38,)</f>
        <v>1.9925371568901244E-16</v>
      </c>
      <c r="I38">
        <f>HLOOKUP($I$4,Conversion!$C$4:$CC$47,$A38,)</f>
        <v>1.3997638976801446E-16</v>
      </c>
      <c r="J38">
        <f>HLOOKUP($J$4,Conversion!$C$4:$CC$47,$A38,)</f>
        <v>1.3997638976801446E-16</v>
      </c>
      <c r="K38">
        <f>HLOOKUP($K$4,Conversion!$C$4:$CC$47,$A38,)</f>
        <v>1.3997638976801446E-16</v>
      </c>
      <c r="L38">
        <f>HLOOKUP($L$4,Conversion!$C$4:$CC$47,$A38,)</f>
        <v>2.6579833577951744E-16</v>
      </c>
      <c r="M38">
        <f>HLOOKUP($M$4,Conversion!$C$4:$CC$47,$A38,)</f>
        <v>2.6579833577951744E-16</v>
      </c>
      <c r="N38">
        <f>HLOOKUP($N$4,Conversion!$C$4:$CC$47,$A38,)</f>
        <v>2.6579833577951744E-16</v>
      </c>
      <c r="O38">
        <f>HLOOKUP($O$4,Conversion!$C$4:$CC$47,$A38,)</f>
        <v>2.1774873835301777E-15</v>
      </c>
      <c r="P38">
        <f>HLOOKUP($P$4,Conversion!$C$4:$CC$47,$A38,)</f>
        <v>1.3091309066788209E-16</v>
      </c>
      <c r="Q38">
        <f>HLOOKUP($Q$4,Conversion!$C$4:$CC$47,$A38,)</f>
        <v>1.0212998595343769E-15</v>
      </c>
      <c r="R38">
        <f>HLOOKUP($R$4,Conversion!$C$4:$CC$47,$A38,)</f>
        <v>1.0212998595343769E-15</v>
      </c>
      <c r="S38">
        <f>HLOOKUP($S$4,Conversion!$C$4:$CC$47,$A38,)</f>
        <v>2.7867589494482481E-17</v>
      </c>
      <c r="T38">
        <f>HLOOKUP($T$4,Conversion!$C$4:$CC$47,$A38,)</f>
        <v>2.2745575517217662E-17</v>
      </c>
      <c r="U38">
        <f>HLOOKUP($U$4,Conversion!$C$4:$CC$47,$A38,)</f>
        <v>2.2745575517217662E-17</v>
      </c>
      <c r="V38">
        <f>HLOOKUP($V$4,Conversion!$C$4:$CC$47,$A38,)</f>
        <v>2.2745575517217662E-17</v>
      </c>
      <c r="W38">
        <f>HLOOKUP($W$4,Conversion!$C$4:$CC$47,$A38,)</f>
        <v>2.2745575517217662E-17</v>
      </c>
      <c r="X38">
        <f>HLOOKUP($X$4,Conversion!$C$4:$CC$47,$A38,)</f>
        <v>2.2745575517217662E-17</v>
      </c>
      <c r="Y38">
        <f>HLOOKUP($Y$4,Conversion!$C$4:$CC$47,$A38,)</f>
        <v>2.3569593522567345E-17</v>
      </c>
      <c r="Z38">
        <f>HLOOKUP($Z$4,Conversion!$C$4:$CC$47,$A38,)</f>
        <v>5.187528847380284E-15</v>
      </c>
      <c r="AA38">
        <f>HLOOKUP($AA$4,Conversion!$C$4:$CC$47,$A38,)</f>
        <v>5.1504860664464322E-15</v>
      </c>
      <c r="AB38">
        <f>HLOOKUP($AB$4,Conversion!$C$4:$CC$47,$A38,)</f>
        <v>3.5447460647741512E-16</v>
      </c>
      <c r="AC38">
        <f>HLOOKUP($AC$4,Conversion!$C$4:$CC$47,$A38,)</f>
        <v>5.3561726274669849E-15</v>
      </c>
      <c r="AD38">
        <f>HLOOKUP($AD$4,Conversion!$C$4:$CC$47,$A38,)</f>
        <v>5.0494229850265201E-15</v>
      </c>
      <c r="AE38">
        <f>HLOOKUP($AE$4,Conversion!$C$4:$CC$47,$A38,)</f>
        <v>5.1772478426068783E-15</v>
      </c>
      <c r="AF38">
        <f>HLOOKUP($AF$4,Conversion!$C$4:$CC$47,$A38,)</f>
        <v>5.1772478426068783E-15</v>
      </c>
      <c r="AG38">
        <f>HLOOKUP(AG$4,Conversion!$C$4:$CC$47,$A38,)</f>
        <v>1.4630132371075333E-15</v>
      </c>
      <c r="AH38">
        <f>HLOOKUP(AH$4,Conversion!$C$4:$CC$47,$A38,)</f>
        <v>2.6167597122400465E-16</v>
      </c>
      <c r="AI38">
        <f>HLOOKUP(AI$4,Conversion!$C$4:$CC$47,$A38,)</f>
        <v>2.6303949356507264E-16</v>
      </c>
      <c r="AJ38">
        <f>HLOOKUP(AJ$4,Conversion!$C$4:$CC$47,$A38,)</f>
        <v>3.0095078041446309E-17</v>
      </c>
      <c r="AK38">
        <f>HLOOKUP(AK$4,Conversion!$C$4:$CC$47,$A38,)</f>
        <v>4.9539066874482494E-15</v>
      </c>
      <c r="AL38">
        <f>HLOOKUP(AL$4,Conversion!$C$4:$CC$47,$A38,)</f>
        <v>1.2575323474720236E-16</v>
      </c>
      <c r="AM38">
        <f>HLOOKUP(AM$4,Conversion!$C$4:$CC$47,$A38,)</f>
        <v>1.0397799614158062E-15</v>
      </c>
      <c r="AN38">
        <f>HLOOKUP(AN$4,Conversion!$C$4:$CC$47,$A38,)</f>
        <v>2.6706314816128664E-16</v>
      </c>
      <c r="AO38">
        <f>HLOOKUP(AO$4,Conversion!$C$4:$CC$47,$A38,)</f>
        <v>2.6706314816128664E-16</v>
      </c>
      <c r="AP38">
        <f>HLOOKUP(AP$4,Conversion!$C$4:$CC$47,$A38,)</f>
        <v>2.6706314816128664E-16</v>
      </c>
      <c r="AQ38">
        <f>HLOOKUP(AQ$4,Conversion!$C$4:$CC$47,$A38,)</f>
        <v>2.7841662968833566E-17</v>
      </c>
      <c r="AR38">
        <f>HLOOKUP(AR$4,Conversion!$C$4:$CC$47,$A38,)</f>
        <v>2.7841662968833566E-17</v>
      </c>
      <c r="AS38">
        <f>HLOOKUP(AS$4,Conversion!$C$4:$CC$47,$A38,)</f>
        <v>3.6149945120573311E-15</v>
      </c>
      <c r="AT38">
        <f>HLOOKUP(AT$4,Conversion!$C$4:$CC$47,$A38,)</f>
        <v>7.5679751105466298E-15</v>
      </c>
      <c r="AU38">
        <f>HLOOKUP(AU$4,Conversion!$C$4:$CC$47,$A38,)</f>
        <v>1.1102716171093828E-17</v>
      </c>
      <c r="AV38">
        <f>HLOOKUP(AV$4,Conversion!$C$4:$CC$47,$A38,)</f>
        <v>0</v>
      </c>
      <c r="AW38">
        <f>HLOOKUP(AW$4,Conversion!$C$4:$CC$47,$A38,)</f>
        <v>5.2538309077088334E-15</v>
      </c>
      <c r="AX38">
        <f>HLOOKUP(AX$4,Conversion!$C$4:$CC$47,$A38,)</f>
        <v>4.9935576500387467E-15</v>
      </c>
      <c r="AY38">
        <f>HLOOKUP(AY$4,Conversion!$C$4:$CC$47,$A38,)</f>
        <v>4.9935576500387467E-15</v>
      </c>
      <c r="AZ38">
        <f>HLOOKUP(AZ$4,Conversion!$C$4:$CC$47,$A38,)</f>
        <v>3.3321424657242462E-15</v>
      </c>
      <c r="BA38">
        <f>HLOOKUP(BA$4,Conversion!$C$4:$CC$47,$A38,)</f>
        <v>2.6230977132449239E-16</v>
      </c>
      <c r="BB38">
        <f>HLOOKUP(BB$4,Conversion!$C$4:$CC$47,$A38,)</f>
        <v>4.9370913125305606E-15</v>
      </c>
      <c r="BC38">
        <f>HLOOKUP(BC$4,Conversion!$C$4:$CC$47,$A38,)</f>
        <v>5.0717077127826439E-15</v>
      </c>
      <c r="BD38">
        <f>HLOOKUP(BD$4,Conversion!$C$4:$CC$47,$A38,)</f>
        <v>5.0717077127826439E-15</v>
      </c>
      <c r="BE38">
        <f>HLOOKUP(BE$4,Conversion!$C$4:$CC$47,$A38,)</f>
        <v>2.186867953023475E-17</v>
      </c>
      <c r="BF38">
        <f>HLOOKUP(BF$4,Conversion!$C$4:$CC$47,$A38,)</f>
        <v>3.3391244954432435E-16</v>
      </c>
      <c r="BG38">
        <f>HLOOKUP(BG$4,Conversion!$C$4:$CC$47,$A38,)</f>
        <v>6.7545089253239666E-15</v>
      </c>
      <c r="BH38">
        <f>HLOOKUP(BH$4,Conversion!$C$4:$CC$47,$A38,)</f>
        <v>8.87215516569082E-15</v>
      </c>
      <c r="BI38">
        <f>HLOOKUP(BI$4,Conversion!$C$4:$CC$47,$A38,)</f>
        <v>8.87215516569082E-15</v>
      </c>
      <c r="BJ38">
        <f>HLOOKUP(BJ$4,Conversion!$C$4:$CC$47,$A38,)</f>
        <v>8.87215516569082E-15</v>
      </c>
      <c r="BK38">
        <f>HLOOKUP(BK$4,Conversion!$C$4:$CC$47,$A38,)</f>
        <v>9.5089755563744219E-16</v>
      </c>
      <c r="BL38">
        <f>HLOOKUP(BL$4,Conversion!$C$4:$CC$47,$A38,)</f>
        <v>1.5609203352491537E-15</v>
      </c>
      <c r="BM38">
        <f>HLOOKUP(BM$4,Conversion!$C$4:$CC$47,$A38,)</f>
        <v>2.049185626411985E-15</v>
      </c>
      <c r="BN38">
        <f>HLOOKUP(BN$4,Conversion!$C$4:$CC$47,$A38,)</f>
        <v>2.049185626411985E-15</v>
      </c>
      <c r="BO38">
        <f>HLOOKUP(BO$4,Conversion!$C$4:$CC$47,$A38,)</f>
        <v>3.0036845187755907E-17</v>
      </c>
      <c r="BP38">
        <f>HLOOKUP(BP$4,Conversion!$C$4:$CC$47,$A38,)</f>
        <v>3.0036845187755907E-17</v>
      </c>
      <c r="BQ38">
        <f>HLOOKUP(BQ$4,Conversion!$C$4:$CC$47,$A38,)</f>
        <v>0</v>
      </c>
      <c r="BR38">
        <f>HLOOKUP(BR$4,Conversion!$C$4:$CC$47,$A38,)</f>
        <v>1.0476571556477055E-16</v>
      </c>
      <c r="BS38">
        <f>HLOOKUP(BS$4,Conversion!$C$4:$CC$47,$A38,)</f>
        <v>5.5973771551916777E-17</v>
      </c>
      <c r="BT38">
        <f>HLOOKUP(BT$4,Conversion!$C$4:$CC$47,$A38,)</f>
        <v>2.7608568964198134E-17</v>
      </c>
      <c r="BU38">
        <f>HLOOKUP(BU$4,Conversion!$C$4:$CC$47,$A38,)</f>
        <v>2.0273844599117009E-17</v>
      </c>
      <c r="BV38">
        <f>HLOOKUP(BV$4,Conversion!$C$4:$CC$47,$A38,)</f>
        <v>1.9850812328715386E-15</v>
      </c>
      <c r="BW38">
        <f>HLOOKUP(BW$4,Conversion!$C$4:$CC$47,$A38,)</f>
        <v>1.7357866750244053E-15</v>
      </c>
      <c r="BX38">
        <f>HLOOKUP(BX$4,Conversion!$C$4:$CC$47,$A38,)</f>
        <v>1.7357866750244053E-15</v>
      </c>
      <c r="BY38">
        <f>HLOOKUP(BY$4,Conversion!$C$4:$CC$47,$A38,)</f>
        <v>2.3485230034723353E-12</v>
      </c>
      <c r="BZ38">
        <f>HLOOKUP(BZ$4,Conversion!$C$4:$CC$47,$A38,)</f>
        <v>4.5425394219817661E-15</v>
      </c>
      <c r="CA38">
        <f>HLOOKUP(CA$4,Conversion!$C$4:$CC$47,$A38,)</f>
        <v>6.1476484262902427E-15</v>
      </c>
      <c r="CB38">
        <f>HLOOKUP(CB$4,Conversion!$C$4:$CC$47,$A38,)</f>
        <v>4.1246388389595036E-15</v>
      </c>
      <c r="CC38">
        <f>HLOOKUP(CC$4,Conversion!$C$4:$CC$47,$A38,)</f>
        <v>1.0458245601397456E-15</v>
      </c>
    </row>
    <row r="39" spans="1:81" x14ac:dyDescent="0.15">
      <c r="A39">
        <v>36</v>
      </c>
      <c r="B39" t="s">
        <v>40</v>
      </c>
      <c r="C39">
        <f>HLOOKUP($C$4,Conversion!$C$4:$CC$47,$A39,)</f>
        <v>9.0629148058587882E-16</v>
      </c>
      <c r="D39">
        <f>HLOOKUP($D$4,Conversion!$C$4:$CC$47,$A39,)</f>
        <v>1.4222028212375478E-16</v>
      </c>
      <c r="E39">
        <f>HLOOKUP($E$4,Conversion!$C$4:$CC$47,$A39,)</f>
        <v>2.9723227994743944E-17</v>
      </c>
      <c r="F39">
        <f>HLOOKUP($F$4,Conversion!$C$4:$CC$47,$A39,)</f>
        <v>6.6266967961378251E-16</v>
      </c>
      <c r="G39">
        <f>HLOOKUP($G$4,Conversion!$C$4:$CC$47,$A39,)</f>
        <v>1.7936561028487365E-18</v>
      </c>
      <c r="H39">
        <f>HLOOKUP($H$4,Conversion!$C$4:$CC$47,$A39,)</f>
        <v>2.4056643838070342E-17</v>
      </c>
      <c r="I39">
        <f>HLOOKUP($I$4,Conversion!$C$4:$CC$47,$A39,)</f>
        <v>1.556839608662114E-17</v>
      </c>
      <c r="J39">
        <f>HLOOKUP($J$4,Conversion!$C$4:$CC$47,$A39,)</f>
        <v>1.556839608662114E-17</v>
      </c>
      <c r="K39">
        <f>HLOOKUP($K$4,Conversion!$C$4:$CC$47,$A39,)</f>
        <v>1.556839608662114E-17</v>
      </c>
      <c r="L39">
        <f>HLOOKUP($L$4,Conversion!$C$4:$CC$47,$A39,)</f>
        <v>2.972248223960726E-17</v>
      </c>
      <c r="M39">
        <f>HLOOKUP($M$4,Conversion!$C$4:$CC$47,$A39,)</f>
        <v>2.972248223960726E-17</v>
      </c>
      <c r="N39">
        <f>HLOOKUP($N$4,Conversion!$C$4:$CC$47,$A39,)</f>
        <v>2.972248223960726E-17</v>
      </c>
      <c r="O39">
        <f>HLOOKUP($O$4,Conversion!$C$4:$CC$47,$A39,)</f>
        <v>1.0492811086355224E-15</v>
      </c>
      <c r="P39">
        <f>HLOOKUP($P$4,Conversion!$C$4:$CC$47,$A39,)</f>
        <v>2.4282349569387917E-16</v>
      </c>
      <c r="Q39">
        <f>HLOOKUP($Q$4,Conversion!$C$4:$CC$47,$A39,)</f>
        <v>8.0338711425333117E-16</v>
      </c>
      <c r="R39">
        <f>HLOOKUP($R$4,Conversion!$C$4:$CC$47,$A39,)</f>
        <v>8.0338711425333117E-16</v>
      </c>
      <c r="S39">
        <f>HLOOKUP($S$4,Conversion!$C$4:$CC$47,$A39,)</f>
        <v>6.2760918180500327E-18</v>
      </c>
      <c r="T39">
        <f>HLOOKUP($T$4,Conversion!$C$4:$CC$47,$A39,)</f>
        <v>3.9828741368680274E-18</v>
      </c>
      <c r="U39">
        <f>HLOOKUP($U$4,Conversion!$C$4:$CC$47,$A39,)</f>
        <v>3.9828741368680274E-18</v>
      </c>
      <c r="V39">
        <f>HLOOKUP($V$4,Conversion!$C$4:$CC$47,$A39,)</f>
        <v>3.9828741368680274E-18</v>
      </c>
      <c r="W39">
        <f>HLOOKUP($W$4,Conversion!$C$4:$CC$47,$A39,)</f>
        <v>3.9828741368680274E-18</v>
      </c>
      <c r="X39">
        <f>HLOOKUP($X$4,Conversion!$C$4:$CC$47,$A39,)</f>
        <v>3.9828741368680274E-18</v>
      </c>
      <c r="Y39">
        <f>HLOOKUP($Y$4,Conversion!$C$4:$CC$47,$A39,)</f>
        <v>5.3933303024171785E-18</v>
      </c>
      <c r="Z39">
        <f>HLOOKUP($Z$4,Conversion!$C$4:$CC$47,$A39,)</f>
        <v>1.7153888782204803E-16</v>
      </c>
      <c r="AA39">
        <f>HLOOKUP($AA$4,Conversion!$C$4:$CC$47,$A39,)</f>
        <v>1.7194150762062506E-16</v>
      </c>
      <c r="AB39">
        <f>HLOOKUP($AB$4,Conversion!$C$4:$CC$47,$A39,)</f>
        <v>3.6322549798826443E-17</v>
      </c>
      <c r="AC39">
        <f>HLOOKUP($AC$4,Conversion!$C$4:$CC$47,$A39,)</f>
        <v>2.5346631580027072E-16</v>
      </c>
      <c r="AD39">
        <f>HLOOKUP($AD$4,Conversion!$C$4:$CC$47,$A39,)</f>
        <v>1.850025194983332E-15</v>
      </c>
      <c r="AE39">
        <f>HLOOKUP($AE$4,Conversion!$C$4:$CC$47,$A39,)</f>
        <v>2.1568624684449801E-15</v>
      </c>
      <c r="AF39">
        <f>HLOOKUP($AF$4,Conversion!$C$4:$CC$47,$A39,)</f>
        <v>2.1568624684449801E-15</v>
      </c>
      <c r="AG39">
        <f>HLOOKUP(AG$4,Conversion!$C$4:$CC$47,$A39,)</f>
        <v>1.0914189003094597E-16</v>
      </c>
      <c r="AH39">
        <f>HLOOKUP(AH$4,Conversion!$C$4:$CC$47,$A39,)</f>
        <v>2.9254262076732198E-17</v>
      </c>
      <c r="AI39">
        <f>HLOOKUP(AI$4,Conversion!$C$4:$CC$47,$A39,)</f>
        <v>2.9044526460386083E-17</v>
      </c>
      <c r="AJ39">
        <f>HLOOKUP(AJ$4,Conversion!$C$4:$CC$47,$A39,)</f>
        <v>5.3092335532625626E-18</v>
      </c>
      <c r="AK39">
        <f>HLOOKUP(AK$4,Conversion!$C$4:$CC$47,$A39,)</f>
        <v>2.466804599382197E-15</v>
      </c>
      <c r="AL39">
        <f>HLOOKUP(AL$4,Conversion!$C$4:$CC$47,$A39,)</f>
        <v>1.4281276666750424E-17</v>
      </c>
      <c r="AM39">
        <f>HLOOKUP(AM$4,Conversion!$C$4:$CC$47,$A39,)</f>
        <v>9.775958280990173E-16</v>
      </c>
      <c r="AN39">
        <f>HLOOKUP(AN$4,Conversion!$C$4:$CC$47,$A39,)</f>
        <v>2.5482644750000406E-17</v>
      </c>
      <c r="AO39">
        <f>HLOOKUP(AO$4,Conversion!$C$4:$CC$47,$A39,)</f>
        <v>2.5482644750000406E-17</v>
      </c>
      <c r="AP39">
        <f>HLOOKUP(AP$4,Conversion!$C$4:$CC$47,$A39,)</f>
        <v>2.5482644750000406E-17</v>
      </c>
      <c r="AQ39">
        <f>HLOOKUP(AQ$4,Conversion!$C$4:$CC$47,$A39,)</f>
        <v>5.2011456807009226E-18</v>
      </c>
      <c r="AR39">
        <f>HLOOKUP(AR$4,Conversion!$C$4:$CC$47,$A39,)</f>
        <v>5.2011456807009226E-18</v>
      </c>
      <c r="AS39">
        <f>HLOOKUP(AS$4,Conversion!$C$4:$CC$47,$A39,)</f>
        <v>1.2065954200976476E-14</v>
      </c>
      <c r="AT39">
        <f>HLOOKUP(AT$4,Conversion!$C$4:$CC$47,$A39,)</f>
        <v>2.7054297743279315E-16</v>
      </c>
      <c r="AU39">
        <f>HLOOKUP(AU$4,Conversion!$C$4:$CC$47,$A39,)</f>
        <v>1.8864113749241544E-18</v>
      </c>
      <c r="AV39">
        <f>HLOOKUP(AV$4,Conversion!$C$4:$CC$47,$A39,)</f>
        <v>0</v>
      </c>
      <c r="AW39">
        <f>HLOOKUP(AW$4,Conversion!$C$4:$CC$47,$A39,)</f>
        <v>9.633747942162818E-15</v>
      </c>
      <c r="AX39">
        <f>HLOOKUP(AX$4,Conversion!$C$4:$CC$47,$A39,)</f>
        <v>1.2469028736698452E-14</v>
      </c>
      <c r="AY39">
        <f>HLOOKUP(AY$4,Conversion!$C$4:$CC$47,$A39,)</f>
        <v>1.2469028736698452E-14</v>
      </c>
      <c r="AZ39">
        <f>HLOOKUP(AZ$4,Conversion!$C$4:$CC$47,$A39,)</f>
        <v>1.6386366106757664E-15</v>
      </c>
      <c r="BA39">
        <f>HLOOKUP(BA$4,Conversion!$C$4:$CC$47,$A39,)</f>
        <v>2.9336504863029231E-17</v>
      </c>
      <c r="BB39">
        <f>HLOOKUP(BB$4,Conversion!$C$4:$CC$47,$A39,)</f>
        <v>1.510376602823058E-15</v>
      </c>
      <c r="BC39">
        <f>HLOOKUP(BC$4,Conversion!$C$4:$CC$47,$A39,)</f>
        <v>1.5840835503616354E-15</v>
      </c>
      <c r="BD39">
        <f>HLOOKUP(BD$4,Conversion!$C$4:$CC$47,$A39,)</f>
        <v>1.5840835503616354E-15</v>
      </c>
      <c r="BE39">
        <f>HLOOKUP(BE$4,Conversion!$C$4:$CC$47,$A39,)</f>
        <v>3.4879622985042373E-18</v>
      </c>
      <c r="BF39">
        <f>HLOOKUP(BF$4,Conversion!$C$4:$CC$47,$A39,)</f>
        <v>4.2923874500253449E-16</v>
      </c>
      <c r="BG39">
        <f>HLOOKUP(BG$4,Conversion!$C$4:$CC$47,$A39,)</f>
        <v>4.0380125538030194E-15</v>
      </c>
      <c r="BH39">
        <f>HLOOKUP(BH$4,Conversion!$C$4:$CC$47,$A39,)</f>
        <v>4.1431462759185403E-15</v>
      </c>
      <c r="BI39">
        <f>HLOOKUP(BI$4,Conversion!$C$4:$CC$47,$A39,)</f>
        <v>4.1431462759185403E-15</v>
      </c>
      <c r="BJ39">
        <f>HLOOKUP(BJ$4,Conversion!$C$4:$CC$47,$A39,)</f>
        <v>4.1431462759185403E-15</v>
      </c>
      <c r="BK39">
        <f>HLOOKUP(BK$4,Conversion!$C$4:$CC$47,$A39,)</f>
        <v>9.2470196735710969E-17</v>
      </c>
      <c r="BL39">
        <f>HLOOKUP(BL$4,Conversion!$C$4:$CC$47,$A39,)</f>
        <v>1.282546949667954E-16</v>
      </c>
      <c r="BM39">
        <f>HLOOKUP(BM$4,Conversion!$C$4:$CC$47,$A39,)</f>
        <v>1.6066434042311483E-16</v>
      </c>
      <c r="BN39">
        <f>HLOOKUP(BN$4,Conversion!$C$4:$CC$47,$A39,)</f>
        <v>1.6066434042311483E-16</v>
      </c>
      <c r="BO39">
        <f>HLOOKUP(BO$4,Conversion!$C$4:$CC$47,$A39,)</f>
        <v>4.8701746834023033E-18</v>
      </c>
      <c r="BP39">
        <f>HLOOKUP(BP$4,Conversion!$C$4:$CC$47,$A39,)</f>
        <v>4.8701746834023033E-18</v>
      </c>
      <c r="BQ39">
        <f>HLOOKUP(BQ$4,Conversion!$C$4:$CC$47,$A39,)</f>
        <v>0</v>
      </c>
      <c r="BR39">
        <f>HLOOKUP(BR$4,Conversion!$C$4:$CC$47,$A39,)</f>
        <v>1.3866642636210013E-17</v>
      </c>
      <c r="BS39">
        <f>HLOOKUP(BS$4,Conversion!$C$4:$CC$47,$A39,)</f>
        <v>7.0180067703712082E-18</v>
      </c>
      <c r="BT39">
        <f>HLOOKUP(BT$4,Conversion!$C$4:$CC$47,$A39,)</f>
        <v>4.0507778828639077E-18</v>
      </c>
      <c r="BU39">
        <f>HLOOKUP(BU$4,Conversion!$C$4:$CC$47,$A39,)</f>
        <v>3.3260396608746741E-18</v>
      </c>
      <c r="BV39">
        <f>HLOOKUP(BV$4,Conversion!$C$4:$CC$47,$A39,)</f>
        <v>1.2785221499791127E-15</v>
      </c>
      <c r="BW39">
        <f>HLOOKUP(BW$4,Conversion!$C$4:$CC$47,$A39,)</f>
        <v>8.4488813653237804E-16</v>
      </c>
      <c r="BX39">
        <f>HLOOKUP(BX$4,Conversion!$C$4:$CC$47,$A39,)</f>
        <v>8.4488813653237804E-16</v>
      </c>
      <c r="BY39">
        <f>HLOOKUP(BY$4,Conversion!$C$4:$CC$47,$A39,)</f>
        <v>6.1578427524156777E-15</v>
      </c>
      <c r="BZ39">
        <f>HLOOKUP(BZ$4,Conversion!$C$4:$CC$47,$A39,)</f>
        <v>4.9832555731231778E-14</v>
      </c>
      <c r="CA39">
        <f>HLOOKUP(CA$4,Conversion!$C$4:$CC$47,$A39,)</f>
        <v>9.0053855435066335E-13</v>
      </c>
      <c r="CB39">
        <f>HLOOKUP(CB$4,Conversion!$C$4:$CC$47,$A39,)</f>
        <v>3.1460549797593641E-14</v>
      </c>
      <c r="CC39">
        <f>HLOOKUP(CC$4,Conversion!$C$4:$CC$47,$A39,)</f>
        <v>9.3158682614673199E-16</v>
      </c>
    </row>
    <row r="40" spans="1:81" x14ac:dyDescent="0.15">
      <c r="A40">
        <v>37</v>
      </c>
      <c r="B40" t="s">
        <v>22</v>
      </c>
      <c r="C40">
        <f>HLOOKUP($C$4,Conversion!$C$4:$CC$47,$A40,)</f>
        <v>1.1857739523581934E-15</v>
      </c>
      <c r="D40">
        <f>HLOOKUP($D$4,Conversion!$C$4:$CC$47,$A40,)</f>
        <v>1.4256502594084539E-16</v>
      </c>
      <c r="E40">
        <f>HLOOKUP($E$4,Conversion!$C$4:$CC$47,$A40,)</f>
        <v>2.9595129550983169E-17</v>
      </c>
      <c r="F40">
        <f>HLOOKUP($F$4,Conversion!$C$4:$CC$47,$A40,)</f>
        <v>2.7954496376372383E-15</v>
      </c>
      <c r="G40">
        <f>HLOOKUP($G$4,Conversion!$C$4:$CC$47,$A40,)</f>
        <v>5.3281873549984588E-19</v>
      </c>
      <c r="H40">
        <f>HLOOKUP($H$4,Conversion!$C$4:$CC$47,$A40,)</f>
        <v>2.4466135356038622E-17</v>
      </c>
      <c r="I40">
        <f>HLOOKUP($I$4,Conversion!$C$4:$CC$47,$A40,)</f>
        <v>1.705839117110298E-17</v>
      </c>
      <c r="J40">
        <f>HLOOKUP($J$4,Conversion!$C$4:$CC$47,$A40,)</f>
        <v>1.705839117110298E-17</v>
      </c>
      <c r="K40">
        <f>HLOOKUP($K$4,Conversion!$C$4:$CC$47,$A40,)</f>
        <v>1.705839117110298E-17</v>
      </c>
      <c r="L40">
        <f>HLOOKUP($L$4,Conversion!$C$4:$CC$47,$A40,)</f>
        <v>2.9593349549102352E-17</v>
      </c>
      <c r="M40">
        <f>HLOOKUP($M$4,Conversion!$C$4:$CC$47,$A40,)</f>
        <v>2.9593349549102352E-17</v>
      </c>
      <c r="N40">
        <f>HLOOKUP($N$4,Conversion!$C$4:$CC$47,$A40,)</f>
        <v>2.9593349549102352E-17</v>
      </c>
      <c r="O40">
        <f>HLOOKUP($O$4,Conversion!$C$4:$CC$47,$A40,)</f>
        <v>1.0455787468973199E-15</v>
      </c>
      <c r="P40">
        <f>HLOOKUP($P$4,Conversion!$C$4:$CC$47,$A40,)</f>
        <v>2.7785612106938576E-16</v>
      </c>
      <c r="Q40">
        <f>HLOOKUP($Q$4,Conversion!$C$4:$CC$47,$A40,)</f>
        <v>7.8926581582868425E-16</v>
      </c>
      <c r="R40">
        <f>HLOOKUP($R$4,Conversion!$C$4:$CC$47,$A40,)</f>
        <v>7.8926581582868425E-16</v>
      </c>
      <c r="S40">
        <f>HLOOKUP($S$4,Conversion!$C$4:$CC$47,$A40,)</f>
        <v>5.1036266503283252E-18</v>
      </c>
      <c r="T40">
        <f>HLOOKUP($T$4,Conversion!$C$4:$CC$47,$A40,)</f>
        <v>2.9809584174805074E-18</v>
      </c>
      <c r="U40">
        <f>HLOOKUP($U$4,Conversion!$C$4:$CC$47,$A40,)</f>
        <v>2.9809584174805074E-18</v>
      </c>
      <c r="V40">
        <f>HLOOKUP($V$4,Conversion!$C$4:$CC$47,$A40,)</f>
        <v>2.9809584174805074E-18</v>
      </c>
      <c r="W40">
        <f>HLOOKUP($W$4,Conversion!$C$4:$CC$47,$A40,)</f>
        <v>2.9809584174805074E-18</v>
      </c>
      <c r="X40">
        <f>HLOOKUP($X$4,Conversion!$C$4:$CC$47,$A40,)</f>
        <v>2.9809584174805074E-18</v>
      </c>
      <c r="Y40">
        <f>HLOOKUP($Y$4,Conversion!$C$4:$CC$47,$A40,)</f>
        <v>3.7401896718941518E-18</v>
      </c>
      <c r="Z40">
        <f>HLOOKUP($Z$4,Conversion!$C$4:$CC$47,$A40,)</f>
        <v>1.65805107496538E-16</v>
      </c>
      <c r="AA40">
        <f>HLOOKUP($AA$4,Conversion!$C$4:$CC$47,$A40,)</f>
        <v>1.6075408426300434E-16</v>
      </c>
      <c r="AB40">
        <f>HLOOKUP($AB$4,Conversion!$C$4:$CC$47,$A40,)</f>
        <v>3.112042560226801E-17</v>
      </c>
      <c r="AC40">
        <f>HLOOKUP($AC$4,Conversion!$C$4:$CC$47,$A40,)</f>
        <v>2.7004287281011589E-16</v>
      </c>
      <c r="AD40">
        <f>HLOOKUP($AD$4,Conversion!$C$4:$CC$47,$A40,)</f>
        <v>1.2230494174769451E-15</v>
      </c>
      <c r="AE40">
        <f>HLOOKUP($AE$4,Conversion!$C$4:$CC$47,$A40,)</f>
        <v>1.3176145124707578E-15</v>
      </c>
      <c r="AF40">
        <f>HLOOKUP($AF$4,Conversion!$C$4:$CC$47,$A40,)</f>
        <v>1.3176145124707578E-15</v>
      </c>
      <c r="AG40">
        <f>HLOOKUP(AG$4,Conversion!$C$4:$CC$47,$A40,)</f>
        <v>1.1375345385756273E-16</v>
      </c>
      <c r="AH40">
        <f>HLOOKUP(AH$4,Conversion!$C$4:$CC$47,$A40,)</f>
        <v>2.917518271487946E-17</v>
      </c>
      <c r="AI40">
        <f>HLOOKUP(AI$4,Conversion!$C$4:$CC$47,$A40,)</f>
        <v>3.0009267251818821E-17</v>
      </c>
      <c r="AJ40">
        <f>HLOOKUP(AJ$4,Conversion!$C$4:$CC$47,$A40,)</f>
        <v>4.420141690971312E-18</v>
      </c>
      <c r="AK40">
        <f>HLOOKUP(AK$4,Conversion!$C$4:$CC$47,$A40,)</f>
        <v>3.2130344651855177E-15</v>
      </c>
      <c r="AL40">
        <f>HLOOKUP(AL$4,Conversion!$C$4:$CC$47,$A40,)</f>
        <v>1.7149912360017032E-17</v>
      </c>
      <c r="AM40">
        <f>HLOOKUP(AM$4,Conversion!$C$4:$CC$47,$A40,)</f>
        <v>1.186463246084405E-15</v>
      </c>
      <c r="AN40">
        <f>HLOOKUP(AN$4,Conversion!$C$4:$CC$47,$A40,)</f>
        <v>2.6242576381642005E-17</v>
      </c>
      <c r="AO40">
        <f>HLOOKUP(AO$4,Conversion!$C$4:$CC$47,$A40,)</f>
        <v>2.6242576381642005E-17</v>
      </c>
      <c r="AP40">
        <f>HLOOKUP(AP$4,Conversion!$C$4:$CC$47,$A40,)</f>
        <v>2.6242595692343234E-17</v>
      </c>
      <c r="AQ40">
        <f>HLOOKUP(AQ$4,Conversion!$C$4:$CC$47,$A40,)</f>
        <v>2.9545469142100039E-18</v>
      </c>
      <c r="AR40">
        <f>HLOOKUP(AR$4,Conversion!$C$4:$CC$47,$A40,)</f>
        <v>4.3387132788950959E-18</v>
      </c>
      <c r="AS40">
        <f>HLOOKUP(AS$4,Conversion!$C$4:$CC$47,$A40,)</f>
        <v>3.4309706580827867E-12</v>
      </c>
      <c r="AT40">
        <f>HLOOKUP(AT$4,Conversion!$C$4:$CC$47,$A40,)</f>
        <v>2.5334565020437158E-16</v>
      </c>
      <c r="AU40">
        <f>HLOOKUP(AU$4,Conversion!$C$4:$CC$47,$A40,)</f>
        <v>1.465762483790596E-18</v>
      </c>
      <c r="AV40">
        <f>HLOOKUP(AV$4,Conversion!$C$4:$CC$47,$A40,)</f>
        <v>0</v>
      </c>
      <c r="AW40">
        <f>HLOOKUP(AW$4,Conversion!$C$4:$CC$47,$A40,)</f>
        <v>1.5630083577810014E-14</v>
      </c>
      <c r="AX40">
        <f>HLOOKUP(AX$4,Conversion!$C$4:$CC$47,$A40,)</f>
        <v>2.488133604614468E-14</v>
      </c>
      <c r="AY40">
        <f>HLOOKUP(AY$4,Conversion!$C$4:$CC$47,$A40,)</f>
        <v>2.488133604614468E-14</v>
      </c>
      <c r="AZ40">
        <f>HLOOKUP(AZ$4,Conversion!$C$4:$CC$47,$A40,)</f>
        <v>1.8411495674685919E-15</v>
      </c>
      <c r="BA40">
        <f>HLOOKUP(BA$4,Conversion!$C$4:$CC$47,$A40,)</f>
        <v>2.9215328269902932E-17</v>
      </c>
      <c r="BB40">
        <f>HLOOKUP(BB$4,Conversion!$C$4:$CC$47,$A40,)</f>
        <v>1.1780883677018288E-15</v>
      </c>
      <c r="BC40">
        <f>HLOOKUP(BC$4,Conversion!$C$4:$CC$47,$A40,)</f>
        <v>1.2201323865642316E-15</v>
      </c>
      <c r="BD40">
        <f>HLOOKUP(BD$4,Conversion!$C$4:$CC$47,$A40,)</f>
        <v>1.2201323865642316E-15</v>
      </c>
      <c r="BE40">
        <f>HLOOKUP(BE$4,Conversion!$C$4:$CC$47,$A40,)</f>
        <v>3.5301541723630063E-18</v>
      </c>
      <c r="BF40">
        <f>HLOOKUP(BF$4,Conversion!$C$4:$CC$47,$A40,)</f>
        <v>3.658632885392773E-16</v>
      </c>
      <c r="BG40">
        <f>HLOOKUP(BG$4,Conversion!$C$4:$CC$47,$A40,)</f>
        <v>4.5985576064350113E-15</v>
      </c>
      <c r="BH40">
        <f>HLOOKUP(BH$4,Conversion!$C$4:$CC$47,$A40,)</f>
        <v>4.5236184385406068E-15</v>
      </c>
      <c r="BI40">
        <f>HLOOKUP(BI$4,Conversion!$C$4:$CC$47,$A40,)</f>
        <v>4.5236184385406068E-15</v>
      </c>
      <c r="BJ40">
        <f>HLOOKUP(BJ$4,Conversion!$C$4:$CC$47,$A40,)</f>
        <v>4.5236184385406068E-15</v>
      </c>
      <c r="BK40">
        <f>HLOOKUP(BK$4,Conversion!$C$4:$CC$47,$A40,)</f>
        <v>9.283113296444297E-17</v>
      </c>
      <c r="BL40">
        <f>HLOOKUP(BL$4,Conversion!$C$4:$CC$47,$A40,)</f>
        <v>1.2434680784756023E-16</v>
      </c>
      <c r="BM40">
        <f>HLOOKUP(BM$4,Conversion!$C$4:$CC$47,$A40,)</f>
        <v>1.4713285947056546E-16</v>
      </c>
      <c r="BN40">
        <f>HLOOKUP(BN$4,Conversion!$C$4:$CC$47,$A40,)</f>
        <v>1.4714734326311519E-16</v>
      </c>
      <c r="BO40">
        <f>HLOOKUP(BO$4,Conversion!$C$4:$CC$47,$A40,)</f>
        <v>4.6711024925213606E-18</v>
      </c>
      <c r="BP40">
        <f>HLOOKUP(BP$4,Conversion!$C$4:$CC$47,$A40,)</f>
        <v>4.6711024925213606E-18</v>
      </c>
      <c r="BQ40">
        <f>HLOOKUP(BQ$4,Conversion!$C$4:$CC$47,$A40,)</f>
        <v>0</v>
      </c>
      <c r="BR40">
        <f>HLOOKUP(BR$4,Conversion!$C$4:$CC$47,$A40,)</f>
        <v>1.310419567006617E-17</v>
      </c>
      <c r="BS40">
        <f>HLOOKUP(BS$4,Conversion!$C$4:$CC$47,$A40,)</f>
        <v>7.1861103420690862E-18</v>
      </c>
      <c r="BT40">
        <f>HLOOKUP(BT$4,Conversion!$C$4:$CC$47,$A40,)</f>
        <v>5.5524230750137443E-18</v>
      </c>
      <c r="BU40">
        <f>HLOOKUP(BU$4,Conversion!$C$4:$CC$47,$A40,)</f>
        <v>3.7914022158286585E-18</v>
      </c>
      <c r="BV40">
        <f>HLOOKUP(BV$4,Conversion!$C$4:$CC$47,$A40,)</f>
        <v>1.4092280340434639E-15</v>
      </c>
      <c r="BW40">
        <f>HLOOKUP(BW$4,Conversion!$C$4:$CC$47,$A40,)</f>
        <v>9.145865309145067E-16</v>
      </c>
      <c r="BX40">
        <f>HLOOKUP(BX$4,Conversion!$C$4:$CC$47,$A40,)</f>
        <v>9.145865309145067E-16</v>
      </c>
      <c r="BY40">
        <f>HLOOKUP(BY$4,Conversion!$C$4:$CC$47,$A40,)</f>
        <v>3.6590622548778996E-15</v>
      </c>
      <c r="BZ40">
        <f>HLOOKUP(BZ$4,Conversion!$C$4:$CC$47,$A40,)</f>
        <v>1.0032282347058679E-14</v>
      </c>
      <c r="CA40">
        <f>HLOOKUP(CA$4,Conversion!$C$4:$CC$47,$A40,)</f>
        <v>1.2051816215315568E-14</v>
      </c>
      <c r="CB40">
        <f>HLOOKUP(CB$4,Conversion!$C$4:$CC$47,$A40,)</f>
        <v>4.0755236074179596E-14</v>
      </c>
      <c r="CC40">
        <f>HLOOKUP(CC$4,Conversion!$C$4:$CC$47,$A40,)</f>
        <v>1.0571785227591377E-15</v>
      </c>
    </row>
    <row r="41" spans="1:81" x14ac:dyDescent="0.15">
      <c r="A41">
        <v>38</v>
      </c>
      <c r="B41" t="s">
        <v>34</v>
      </c>
      <c r="C41">
        <f>HLOOKUP($C$4,Conversion!$C$4:$CC$47,$A41,)</f>
        <v>0</v>
      </c>
      <c r="D41">
        <f>HLOOKUP($D$4,Conversion!$C$4:$CC$47,$A41,)</f>
        <v>0</v>
      </c>
      <c r="E41">
        <f>HLOOKUP($E$4,Conversion!$C$4:$CC$47,$A41,)</f>
        <v>0</v>
      </c>
      <c r="F41">
        <f>HLOOKUP($F$4,Conversion!$C$4:$CC$47,$A41,)</f>
        <v>0</v>
      </c>
      <c r="G41">
        <f>HLOOKUP($G$4,Conversion!$C$4:$CC$47,$A41,)</f>
        <v>0</v>
      </c>
      <c r="H41">
        <f>HLOOKUP($H$4,Conversion!$C$4:$CC$47,$A41,)</f>
        <v>0</v>
      </c>
      <c r="I41">
        <f>HLOOKUP($I$4,Conversion!$C$4:$CC$47,$A41,)</f>
        <v>0</v>
      </c>
      <c r="J41">
        <f>HLOOKUP($J$4,Conversion!$C$4:$CC$47,$A41,)</f>
        <v>0</v>
      </c>
      <c r="K41">
        <f>HLOOKUP($K$4,Conversion!$C$4:$CC$47,$A41,)</f>
        <v>0</v>
      </c>
      <c r="L41">
        <f>HLOOKUP($L$4,Conversion!$C$4:$CC$47,$A41,)</f>
        <v>0</v>
      </c>
      <c r="M41">
        <f>HLOOKUP($M$4,Conversion!$C$4:$CC$47,$A41,)</f>
        <v>0</v>
      </c>
      <c r="N41">
        <f>HLOOKUP($N$4,Conversion!$C$4:$CC$47,$A41,)</f>
        <v>0</v>
      </c>
      <c r="O41">
        <f>HLOOKUP($O$4,Conversion!$C$4:$CC$47,$A41,)</f>
        <v>0</v>
      </c>
      <c r="P41">
        <f>HLOOKUP($P$4,Conversion!$C$4:$CC$47,$A41,)</f>
        <v>0</v>
      </c>
      <c r="Q41">
        <f>HLOOKUP($Q$4,Conversion!$C$4:$CC$47,$A41,)</f>
        <v>0</v>
      </c>
      <c r="R41">
        <f>HLOOKUP($R$4,Conversion!$C$4:$CC$47,$A41,)</f>
        <v>0</v>
      </c>
      <c r="S41">
        <f>HLOOKUP($S$4,Conversion!$C$4:$CC$47,$A41,)</f>
        <v>0</v>
      </c>
      <c r="T41">
        <f>HLOOKUP($T$4,Conversion!$C$4:$CC$47,$A41,)</f>
        <v>0</v>
      </c>
      <c r="U41">
        <f>HLOOKUP($U$4,Conversion!$C$4:$CC$47,$A41,)</f>
        <v>0</v>
      </c>
      <c r="V41">
        <f>HLOOKUP($V$4,Conversion!$C$4:$CC$47,$A41,)</f>
        <v>0</v>
      </c>
      <c r="W41">
        <f>HLOOKUP($W$4,Conversion!$C$4:$CC$47,$A41,)</f>
        <v>0</v>
      </c>
      <c r="X41">
        <f>HLOOKUP($X$4,Conversion!$C$4:$CC$47,$A41,)</f>
        <v>0</v>
      </c>
      <c r="Y41">
        <f>HLOOKUP($Y$4,Conversion!$C$4:$CC$47,$A41,)</f>
        <v>0</v>
      </c>
      <c r="Z41">
        <f>HLOOKUP($Z$4,Conversion!$C$4:$CC$47,$A41,)</f>
        <v>0</v>
      </c>
      <c r="AA41">
        <f>HLOOKUP($AA$4,Conversion!$C$4:$CC$47,$A41,)</f>
        <v>0</v>
      </c>
      <c r="AB41">
        <f>HLOOKUP($AB$4,Conversion!$C$4:$CC$47,$A41,)</f>
        <v>0</v>
      </c>
      <c r="AC41">
        <f>HLOOKUP($AC$4,Conversion!$C$4:$CC$47,$A41,)</f>
        <v>0</v>
      </c>
      <c r="AD41">
        <f>HLOOKUP($AD$4,Conversion!$C$4:$CC$47,$A41,)</f>
        <v>0</v>
      </c>
      <c r="AE41">
        <f>HLOOKUP($AE$4,Conversion!$C$4:$CC$47,$A41,)</f>
        <v>0</v>
      </c>
      <c r="AF41">
        <f>HLOOKUP($AF$4,Conversion!$C$4:$CC$47,$A41,)</f>
        <v>0</v>
      </c>
      <c r="AG41">
        <f>HLOOKUP(AG$4,Conversion!$C$4:$CC$47,$A41,)</f>
        <v>0</v>
      </c>
      <c r="AH41">
        <f>HLOOKUP(AH$4,Conversion!$C$4:$CC$47,$A41,)</f>
        <v>0</v>
      </c>
      <c r="AI41">
        <f>HLOOKUP(AI$4,Conversion!$C$4:$CC$47,$A41,)</f>
        <v>0</v>
      </c>
      <c r="AJ41">
        <f>HLOOKUP(AJ$4,Conversion!$C$4:$CC$47,$A41,)</f>
        <v>0</v>
      </c>
      <c r="AK41">
        <f>HLOOKUP(AK$4,Conversion!$C$4:$CC$47,$A41,)</f>
        <v>0</v>
      </c>
      <c r="AL41">
        <f>HLOOKUP(AL$4,Conversion!$C$4:$CC$47,$A41,)</f>
        <v>0</v>
      </c>
      <c r="AM41">
        <f>HLOOKUP(AM$4,Conversion!$C$4:$CC$47,$A41,)</f>
        <v>0</v>
      </c>
      <c r="AN41">
        <f>HLOOKUP(AN$4,Conversion!$C$4:$CC$47,$A41,)</f>
        <v>0</v>
      </c>
      <c r="AO41">
        <f>HLOOKUP(AO$4,Conversion!$C$4:$CC$47,$A41,)</f>
        <v>0</v>
      </c>
      <c r="AP41">
        <f>HLOOKUP(AP$4,Conversion!$C$4:$CC$47,$A41,)</f>
        <v>0</v>
      </c>
      <c r="AQ41">
        <f>HLOOKUP(AQ$4,Conversion!$C$4:$CC$47,$A41,)</f>
        <v>0</v>
      </c>
      <c r="AR41">
        <f>HLOOKUP(AR$4,Conversion!$C$4:$CC$47,$A41,)</f>
        <v>0</v>
      </c>
      <c r="AS41">
        <f>HLOOKUP(AS$4,Conversion!$C$4:$CC$47,$A41,)</f>
        <v>0</v>
      </c>
      <c r="AT41">
        <f>HLOOKUP(AT$4,Conversion!$C$4:$CC$47,$A41,)</f>
        <v>0</v>
      </c>
      <c r="AU41">
        <f>HLOOKUP(AU$4,Conversion!$C$4:$CC$47,$A41,)</f>
        <v>0</v>
      </c>
      <c r="AV41">
        <f>HLOOKUP(AV$4,Conversion!$C$4:$CC$47,$A41,)</f>
        <v>0</v>
      </c>
      <c r="AW41">
        <f>HLOOKUP(AW$4,Conversion!$C$4:$CC$47,$A41,)</f>
        <v>0</v>
      </c>
      <c r="AX41">
        <f>HLOOKUP(AX$4,Conversion!$C$4:$CC$47,$A41,)</f>
        <v>0</v>
      </c>
      <c r="AY41">
        <f>HLOOKUP(AY$4,Conversion!$C$4:$CC$47,$A41,)</f>
        <v>0</v>
      </c>
      <c r="AZ41">
        <f>HLOOKUP(AZ$4,Conversion!$C$4:$CC$47,$A41,)</f>
        <v>0</v>
      </c>
      <c r="BA41">
        <f>HLOOKUP(BA$4,Conversion!$C$4:$CC$47,$A41,)</f>
        <v>0</v>
      </c>
      <c r="BB41">
        <f>HLOOKUP(BB$4,Conversion!$C$4:$CC$47,$A41,)</f>
        <v>0</v>
      </c>
      <c r="BC41">
        <f>HLOOKUP(BC$4,Conversion!$C$4:$CC$47,$A41,)</f>
        <v>0</v>
      </c>
      <c r="BD41">
        <f>HLOOKUP(BD$4,Conversion!$C$4:$CC$47,$A41,)</f>
        <v>0</v>
      </c>
      <c r="BE41">
        <f>HLOOKUP(BE$4,Conversion!$C$4:$CC$47,$A41,)</f>
        <v>0</v>
      </c>
      <c r="BF41">
        <f>HLOOKUP(BF$4,Conversion!$C$4:$CC$47,$A41,)</f>
        <v>0</v>
      </c>
      <c r="BG41">
        <f>HLOOKUP(BG$4,Conversion!$C$4:$CC$47,$A41,)</f>
        <v>0</v>
      </c>
      <c r="BH41">
        <f>HLOOKUP(BH$4,Conversion!$C$4:$CC$47,$A41,)</f>
        <v>0</v>
      </c>
      <c r="BI41">
        <f>HLOOKUP(BI$4,Conversion!$C$4:$CC$47,$A41,)</f>
        <v>0</v>
      </c>
      <c r="BJ41">
        <f>HLOOKUP(BJ$4,Conversion!$C$4:$CC$47,$A41,)</f>
        <v>0</v>
      </c>
      <c r="BK41">
        <f>HLOOKUP(BK$4,Conversion!$C$4:$CC$47,$A41,)</f>
        <v>0</v>
      </c>
      <c r="BL41">
        <f>HLOOKUP(BL$4,Conversion!$C$4:$CC$47,$A41,)</f>
        <v>0</v>
      </c>
      <c r="BM41">
        <f>HLOOKUP(BM$4,Conversion!$C$4:$CC$47,$A41,)</f>
        <v>0</v>
      </c>
      <c r="BN41">
        <f>HLOOKUP(BN$4,Conversion!$C$4:$CC$47,$A41,)</f>
        <v>0</v>
      </c>
      <c r="BO41">
        <f>HLOOKUP(BO$4,Conversion!$C$4:$CC$47,$A41,)</f>
        <v>0</v>
      </c>
      <c r="BP41">
        <f>HLOOKUP(BP$4,Conversion!$C$4:$CC$47,$A41,)</f>
        <v>0</v>
      </c>
      <c r="BQ41">
        <f>HLOOKUP(BQ$4,Conversion!$C$4:$CC$47,$A41,)</f>
        <v>0</v>
      </c>
      <c r="BR41">
        <f>HLOOKUP(BR$4,Conversion!$C$4:$CC$47,$A41,)</f>
        <v>0</v>
      </c>
      <c r="BS41">
        <f>HLOOKUP(BS$4,Conversion!$C$4:$CC$47,$A41,)</f>
        <v>0</v>
      </c>
      <c r="BT41">
        <f>HLOOKUP(BT$4,Conversion!$C$4:$CC$47,$A41,)</f>
        <v>0</v>
      </c>
      <c r="BU41">
        <f>HLOOKUP(BU$4,Conversion!$C$4:$CC$47,$A41,)</f>
        <v>0</v>
      </c>
      <c r="BV41">
        <f>HLOOKUP(BV$4,Conversion!$C$4:$CC$47,$A41,)</f>
        <v>0</v>
      </c>
      <c r="BW41">
        <f>HLOOKUP(BW$4,Conversion!$C$4:$CC$47,$A41,)</f>
        <v>0</v>
      </c>
      <c r="BX41">
        <f>HLOOKUP(BX$4,Conversion!$C$4:$CC$47,$A41,)</f>
        <v>0</v>
      </c>
      <c r="BY41">
        <f>HLOOKUP(BY$4,Conversion!$C$4:$CC$47,$A41,)</f>
        <v>0</v>
      </c>
      <c r="BZ41">
        <f>HLOOKUP(BZ$4,Conversion!$C$4:$CC$47,$A41,)</f>
        <v>0</v>
      </c>
      <c r="CA41">
        <f>HLOOKUP(CA$4,Conversion!$C$4:$CC$47,$A41,)</f>
        <v>0</v>
      </c>
      <c r="CB41">
        <f>HLOOKUP(CB$4,Conversion!$C$4:$CC$47,$A41,)</f>
        <v>0</v>
      </c>
      <c r="CC41">
        <f>HLOOKUP(CC$4,Conversion!$C$4:$CC$47,$A41,)</f>
        <v>0</v>
      </c>
    </row>
    <row r="42" spans="1:81" x14ac:dyDescent="0.15">
      <c r="A42">
        <v>39</v>
      </c>
      <c r="B42" t="s">
        <v>25</v>
      </c>
      <c r="C42">
        <f>HLOOKUP($C$4,Conversion!$C$4:$CC$47,$A42,)</f>
        <v>0</v>
      </c>
      <c r="D42">
        <f>HLOOKUP($D$4,Conversion!$C$4:$CC$47,$A42,)</f>
        <v>0</v>
      </c>
      <c r="E42">
        <f>HLOOKUP($E$4,Conversion!$C$4:$CC$47,$A42,)</f>
        <v>0</v>
      </c>
      <c r="F42">
        <f>HLOOKUP($F$4,Conversion!$C$4:$CC$47,$A42,)</f>
        <v>0</v>
      </c>
      <c r="G42">
        <f>HLOOKUP($G$4,Conversion!$C$4:$CC$47,$A42,)</f>
        <v>0</v>
      </c>
      <c r="H42">
        <f>HLOOKUP($H$4,Conversion!$C$4:$CC$47,$A42,)</f>
        <v>0</v>
      </c>
      <c r="I42">
        <f>HLOOKUP($I$4,Conversion!$C$4:$CC$47,$A42,)</f>
        <v>0</v>
      </c>
      <c r="J42">
        <f>HLOOKUP($J$4,Conversion!$C$4:$CC$47,$A42,)</f>
        <v>0</v>
      </c>
      <c r="K42">
        <f>HLOOKUP($K$4,Conversion!$C$4:$CC$47,$A42,)</f>
        <v>0</v>
      </c>
      <c r="L42">
        <f>HLOOKUP($L$4,Conversion!$C$4:$CC$47,$A42,)</f>
        <v>0</v>
      </c>
      <c r="M42">
        <f>HLOOKUP($M$4,Conversion!$C$4:$CC$47,$A42,)</f>
        <v>0</v>
      </c>
      <c r="N42">
        <f>HLOOKUP($N$4,Conversion!$C$4:$CC$47,$A42,)</f>
        <v>0</v>
      </c>
      <c r="O42">
        <f>HLOOKUP($O$4,Conversion!$C$4:$CC$47,$A42,)</f>
        <v>0</v>
      </c>
      <c r="P42">
        <f>HLOOKUP($P$4,Conversion!$C$4:$CC$47,$A42,)</f>
        <v>0</v>
      </c>
      <c r="Q42">
        <f>HLOOKUP($Q$4,Conversion!$C$4:$CC$47,$A42,)</f>
        <v>0</v>
      </c>
      <c r="R42">
        <f>HLOOKUP($R$4,Conversion!$C$4:$CC$47,$A42,)</f>
        <v>0</v>
      </c>
      <c r="S42">
        <f>HLOOKUP($S$4,Conversion!$C$4:$CC$47,$A42,)</f>
        <v>0</v>
      </c>
      <c r="T42">
        <f>HLOOKUP($T$4,Conversion!$C$4:$CC$47,$A42,)</f>
        <v>0</v>
      </c>
      <c r="U42">
        <f>HLOOKUP($U$4,Conversion!$C$4:$CC$47,$A42,)</f>
        <v>0</v>
      </c>
      <c r="V42">
        <f>HLOOKUP($V$4,Conversion!$C$4:$CC$47,$A42,)</f>
        <v>0</v>
      </c>
      <c r="W42">
        <f>HLOOKUP($W$4,Conversion!$C$4:$CC$47,$A42,)</f>
        <v>0</v>
      </c>
      <c r="X42">
        <f>HLOOKUP($X$4,Conversion!$C$4:$CC$47,$A42,)</f>
        <v>0</v>
      </c>
      <c r="Y42">
        <f>HLOOKUP($Y$4,Conversion!$C$4:$CC$47,$A42,)</f>
        <v>0</v>
      </c>
      <c r="Z42">
        <f>HLOOKUP($Z$4,Conversion!$C$4:$CC$47,$A42,)</f>
        <v>0</v>
      </c>
      <c r="AA42">
        <f>HLOOKUP($AA$4,Conversion!$C$4:$CC$47,$A42,)</f>
        <v>0</v>
      </c>
      <c r="AB42">
        <f>HLOOKUP($AB$4,Conversion!$C$4:$CC$47,$A42,)</f>
        <v>0</v>
      </c>
      <c r="AC42">
        <f>HLOOKUP($AC$4,Conversion!$C$4:$CC$47,$A42,)</f>
        <v>0</v>
      </c>
      <c r="AD42">
        <f>HLOOKUP($AD$4,Conversion!$C$4:$CC$47,$A42,)</f>
        <v>0</v>
      </c>
      <c r="AE42">
        <f>HLOOKUP($AE$4,Conversion!$C$4:$CC$47,$A42,)</f>
        <v>0</v>
      </c>
      <c r="AF42">
        <f>HLOOKUP($AF$4,Conversion!$C$4:$CC$47,$A42,)</f>
        <v>0</v>
      </c>
      <c r="AG42">
        <f>HLOOKUP(AG$4,Conversion!$C$4:$CC$47,$A42,)</f>
        <v>0</v>
      </c>
      <c r="AH42">
        <f>HLOOKUP(AH$4,Conversion!$C$4:$CC$47,$A42,)</f>
        <v>0</v>
      </c>
      <c r="AI42">
        <f>HLOOKUP(AI$4,Conversion!$C$4:$CC$47,$A42,)</f>
        <v>0</v>
      </c>
      <c r="AJ42">
        <f>HLOOKUP(AJ$4,Conversion!$C$4:$CC$47,$A42,)</f>
        <v>0</v>
      </c>
      <c r="AK42">
        <f>HLOOKUP(AK$4,Conversion!$C$4:$CC$47,$A42,)</f>
        <v>0</v>
      </c>
      <c r="AL42">
        <f>HLOOKUP(AL$4,Conversion!$C$4:$CC$47,$A42,)</f>
        <v>0</v>
      </c>
      <c r="AM42">
        <f>HLOOKUP(AM$4,Conversion!$C$4:$CC$47,$A42,)</f>
        <v>0</v>
      </c>
      <c r="AN42">
        <f>HLOOKUP(AN$4,Conversion!$C$4:$CC$47,$A42,)</f>
        <v>0</v>
      </c>
      <c r="AO42">
        <f>HLOOKUP(AO$4,Conversion!$C$4:$CC$47,$A42,)</f>
        <v>0</v>
      </c>
      <c r="AP42">
        <f>HLOOKUP(AP$4,Conversion!$C$4:$CC$47,$A42,)</f>
        <v>0</v>
      </c>
      <c r="AQ42">
        <f>HLOOKUP(AQ$4,Conversion!$C$4:$CC$47,$A42,)</f>
        <v>0</v>
      </c>
      <c r="AR42">
        <f>HLOOKUP(AR$4,Conversion!$C$4:$CC$47,$A42,)</f>
        <v>0</v>
      </c>
      <c r="AS42">
        <f>HLOOKUP(AS$4,Conversion!$C$4:$CC$47,$A42,)</f>
        <v>0</v>
      </c>
      <c r="AT42">
        <f>HLOOKUP(AT$4,Conversion!$C$4:$CC$47,$A42,)</f>
        <v>0</v>
      </c>
      <c r="AU42">
        <f>HLOOKUP(AU$4,Conversion!$C$4:$CC$47,$A42,)</f>
        <v>0</v>
      </c>
      <c r="AV42">
        <f>HLOOKUP(AV$4,Conversion!$C$4:$CC$47,$A42,)</f>
        <v>0</v>
      </c>
      <c r="AW42">
        <f>HLOOKUP(AW$4,Conversion!$C$4:$CC$47,$A42,)</f>
        <v>0</v>
      </c>
      <c r="AX42">
        <f>HLOOKUP(AX$4,Conversion!$C$4:$CC$47,$A42,)</f>
        <v>0</v>
      </c>
      <c r="AY42">
        <f>HLOOKUP(AY$4,Conversion!$C$4:$CC$47,$A42,)</f>
        <v>0</v>
      </c>
      <c r="AZ42">
        <f>HLOOKUP(AZ$4,Conversion!$C$4:$CC$47,$A42,)</f>
        <v>0</v>
      </c>
      <c r="BA42">
        <f>HLOOKUP(BA$4,Conversion!$C$4:$CC$47,$A42,)</f>
        <v>0</v>
      </c>
      <c r="BB42">
        <f>HLOOKUP(BB$4,Conversion!$C$4:$CC$47,$A42,)</f>
        <v>0</v>
      </c>
      <c r="BC42">
        <f>HLOOKUP(BC$4,Conversion!$C$4:$CC$47,$A42,)</f>
        <v>0</v>
      </c>
      <c r="BD42">
        <f>HLOOKUP(BD$4,Conversion!$C$4:$CC$47,$A42,)</f>
        <v>0</v>
      </c>
      <c r="BE42">
        <f>HLOOKUP(BE$4,Conversion!$C$4:$CC$47,$A42,)</f>
        <v>0</v>
      </c>
      <c r="BF42">
        <f>HLOOKUP(BF$4,Conversion!$C$4:$CC$47,$A42,)</f>
        <v>0</v>
      </c>
      <c r="BG42">
        <f>HLOOKUP(BG$4,Conversion!$C$4:$CC$47,$A42,)</f>
        <v>0</v>
      </c>
      <c r="BH42">
        <f>HLOOKUP(BH$4,Conversion!$C$4:$CC$47,$A42,)</f>
        <v>0</v>
      </c>
      <c r="BI42">
        <f>HLOOKUP(BI$4,Conversion!$C$4:$CC$47,$A42,)</f>
        <v>0</v>
      </c>
      <c r="BJ42">
        <f>HLOOKUP(BJ$4,Conversion!$C$4:$CC$47,$A42,)</f>
        <v>0</v>
      </c>
      <c r="BK42">
        <f>HLOOKUP(BK$4,Conversion!$C$4:$CC$47,$A42,)</f>
        <v>0</v>
      </c>
      <c r="BL42">
        <f>HLOOKUP(BL$4,Conversion!$C$4:$CC$47,$A42,)</f>
        <v>0</v>
      </c>
      <c r="BM42">
        <f>HLOOKUP(BM$4,Conversion!$C$4:$CC$47,$A42,)</f>
        <v>0</v>
      </c>
      <c r="BN42">
        <f>HLOOKUP(BN$4,Conversion!$C$4:$CC$47,$A42,)</f>
        <v>0</v>
      </c>
      <c r="BO42">
        <f>HLOOKUP(BO$4,Conversion!$C$4:$CC$47,$A42,)</f>
        <v>0</v>
      </c>
      <c r="BP42">
        <f>HLOOKUP(BP$4,Conversion!$C$4:$CC$47,$A42,)</f>
        <v>0</v>
      </c>
      <c r="BQ42">
        <f>HLOOKUP(BQ$4,Conversion!$C$4:$CC$47,$A42,)</f>
        <v>0</v>
      </c>
      <c r="BR42">
        <f>HLOOKUP(BR$4,Conversion!$C$4:$CC$47,$A42,)</f>
        <v>0</v>
      </c>
      <c r="BS42">
        <f>HLOOKUP(BS$4,Conversion!$C$4:$CC$47,$A42,)</f>
        <v>0</v>
      </c>
      <c r="BT42">
        <f>HLOOKUP(BT$4,Conversion!$C$4:$CC$47,$A42,)</f>
        <v>0</v>
      </c>
      <c r="BU42">
        <f>HLOOKUP(BU$4,Conversion!$C$4:$CC$47,$A42,)</f>
        <v>0</v>
      </c>
      <c r="BV42">
        <f>HLOOKUP(BV$4,Conversion!$C$4:$CC$47,$A42,)</f>
        <v>0</v>
      </c>
      <c r="BW42">
        <f>HLOOKUP(BW$4,Conversion!$C$4:$CC$47,$A42,)</f>
        <v>0</v>
      </c>
      <c r="BX42">
        <f>HLOOKUP(BX$4,Conversion!$C$4:$CC$47,$A42,)</f>
        <v>0</v>
      </c>
      <c r="BY42">
        <f>HLOOKUP(BY$4,Conversion!$C$4:$CC$47,$A42,)</f>
        <v>0</v>
      </c>
      <c r="BZ42">
        <f>HLOOKUP(BZ$4,Conversion!$C$4:$CC$47,$A42,)</f>
        <v>0</v>
      </c>
      <c r="CA42">
        <f>HLOOKUP(CA$4,Conversion!$C$4:$CC$47,$A42,)</f>
        <v>0</v>
      </c>
      <c r="CB42">
        <f>HLOOKUP(CB$4,Conversion!$C$4:$CC$47,$A42,)</f>
        <v>0</v>
      </c>
      <c r="CC42">
        <f>HLOOKUP(CC$4,Conversion!$C$4:$CC$47,$A42,)</f>
        <v>0</v>
      </c>
    </row>
    <row r="43" spans="1:81" x14ac:dyDescent="0.15">
      <c r="A43">
        <v>40</v>
      </c>
      <c r="B43" t="s">
        <v>41</v>
      </c>
      <c r="C43">
        <f>HLOOKUP($C$4,Conversion!$C$4:$CC$47,$A43,)</f>
        <v>1.0157510582568497E-15</v>
      </c>
      <c r="D43">
        <f>HLOOKUP($D$4,Conversion!$C$4:$CC$47,$A43,)</f>
        <v>1.511329265751815E-16</v>
      </c>
      <c r="E43">
        <f>HLOOKUP($E$4,Conversion!$C$4:$CC$47,$A43,)</f>
        <v>2.9790937036104949E-17</v>
      </c>
      <c r="F43">
        <f>HLOOKUP($F$4,Conversion!$C$4:$CC$47,$A43,)</f>
        <v>5.0940122006741313E-16</v>
      </c>
      <c r="G43">
        <f>HLOOKUP($G$4,Conversion!$C$4:$CC$47,$A43,)</f>
        <v>1.1111328400880288E-18</v>
      </c>
      <c r="H43">
        <f>HLOOKUP($H$4,Conversion!$C$4:$CC$47,$A43,)</f>
        <v>2.366791061563955E-17</v>
      </c>
      <c r="I43">
        <f>HLOOKUP($I$4,Conversion!$C$4:$CC$47,$A43,)</f>
        <v>1.7059322642201751E-17</v>
      </c>
      <c r="J43">
        <f>HLOOKUP($J$4,Conversion!$C$4:$CC$47,$A43,)</f>
        <v>1.7059322642201751E-17</v>
      </c>
      <c r="K43">
        <f>HLOOKUP($K$4,Conversion!$C$4:$CC$47,$A43,)</f>
        <v>1.7059322642201751E-17</v>
      </c>
      <c r="L43">
        <f>HLOOKUP($L$4,Conversion!$C$4:$CC$47,$A43,)</f>
        <v>2.9790283649307117E-17</v>
      </c>
      <c r="M43">
        <f>HLOOKUP($M$4,Conversion!$C$4:$CC$47,$A43,)</f>
        <v>2.9790283649307117E-17</v>
      </c>
      <c r="N43">
        <f>HLOOKUP($N$4,Conversion!$C$4:$CC$47,$A43,)</f>
        <v>2.9790283649307117E-17</v>
      </c>
      <c r="O43">
        <f>HLOOKUP($O$4,Conversion!$C$4:$CC$47,$A43,)</f>
        <v>1.0135726783278603E-15</v>
      </c>
      <c r="P43">
        <f>HLOOKUP($P$4,Conversion!$C$4:$CC$47,$A43,)</f>
        <v>2.7337151825957776E-16</v>
      </c>
      <c r="Q43">
        <f>HLOOKUP($Q$4,Conversion!$C$4:$CC$47,$A43,)</f>
        <v>7.4431547327834663E-16</v>
      </c>
      <c r="R43">
        <f>HLOOKUP($R$4,Conversion!$C$4:$CC$47,$A43,)</f>
        <v>7.4431547327834663E-16</v>
      </c>
      <c r="S43">
        <f>HLOOKUP($S$4,Conversion!$C$4:$CC$47,$A43,)</f>
        <v>4.1395791257213966E-18</v>
      </c>
      <c r="T43">
        <f>HLOOKUP($T$4,Conversion!$C$4:$CC$47,$A43,)</f>
        <v>3.1108736506636849E-18</v>
      </c>
      <c r="U43">
        <f>HLOOKUP($U$4,Conversion!$C$4:$CC$47,$A43,)</f>
        <v>3.1108736506636849E-18</v>
      </c>
      <c r="V43">
        <f>HLOOKUP($V$4,Conversion!$C$4:$CC$47,$A43,)</f>
        <v>3.1108736506636849E-18</v>
      </c>
      <c r="W43">
        <f>HLOOKUP($W$4,Conversion!$C$4:$CC$47,$A43,)</f>
        <v>3.1108736506636849E-18</v>
      </c>
      <c r="X43">
        <f>HLOOKUP($X$4,Conversion!$C$4:$CC$47,$A43,)</f>
        <v>3.1108736506636849E-18</v>
      </c>
      <c r="Y43">
        <f>HLOOKUP($Y$4,Conversion!$C$4:$CC$47,$A43,)</f>
        <v>3.7642653084757973E-18</v>
      </c>
      <c r="Z43">
        <f>HLOOKUP($Z$4,Conversion!$C$4:$CC$47,$A43,)</f>
        <v>1.6385769615937735E-16</v>
      </c>
      <c r="AA43">
        <f>HLOOKUP($AA$4,Conversion!$C$4:$CC$47,$A43,)</f>
        <v>1.6425220497799562E-16</v>
      </c>
      <c r="AB43">
        <f>HLOOKUP($AB$4,Conversion!$C$4:$CC$47,$A43,)</f>
        <v>3.6527914821868476E-17</v>
      </c>
      <c r="AC43">
        <f>HLOOKUP($AC$4,Conversion!$C$4:$CC$47,$A43,)</f>
        <v>2.7451722354025276E-16</v>
      </c>
      <c r="AD43">
        <f>HLOOKUP($AD$4,Conversion!$C$4:$CC$47,$A43,)</f>
        <v>1.4328041513965275E-15</v>
      </c>
      <c r="AE43">
        <f>HLOOKUP($AE$4,Conversion!$C$4:$CC$47,$A43,)</f>
        <v>1.6033238165420129E-15</v>
      </c>
      <c r="AF43">
        <f>HLOOKUP($AF$4,Conversion!$C$4:$CC$47,$A43,)</f>
        <v>1.6033238165420129E-15</v>
      </c>
      <c r="AG43">
        <f>HLOOKUP(AG$4,Conversion!$C$4:$CC$47,$A43,)</f>
        <v>1.1564623943250283E-16</v>
      </c>
      <c r="AH43">
        <f>HLOOKUP(AH$4,Conversion!$C$4:$CC$47,$A43,)</f>
        <v>2.9360418256500447E-17</v>
      </c>
      <c r="AI43">
        <f>HLOOKUP(AI$4,Conversion!$C$4:$CC$47,$A43,)</f>
        <v>3.0931802540742638E-17</v>
      </c>
      <c r="AJ43">
        <f>HLOOKUP(AJ$4,Conversion!$C$4:$CC$47,$A43,)</f>
        <v>4.3542259983323511E-18</v>
      </c>
      <c r="AK43">
        <f>HLOOKUP(AK$4,Conversion!$C$4:$CC$47,$A43,)</f>
        <v>3.1566748846923442E-15</v>
      </c>
      <c r="AL43">
        <f>HLOOKUP(AL$4,Conversion!$C$4:$CC$47,$A43,)</f>
        <v>1.506754104916339E-17</v>
      </c>
      <c r="AM43">
        <f>HLOOKUP(AM$4,Conversion!$C$4:$CC$47,$A43,)</f>
        <v>1.0919562041747077E-15</v>
      </c>
      <c r="AN43">
        <f>HLOOKUP(AN$4,Conversion!$C$4:$CC$47,$A43,)</f>
        <v>2.3745204020847468E-17</v>
      </c>
      <c r="AO43">
        <f>HLOOKUP(AO$4,Conversion!$C$4:$CC$47,$A43,)</f>
        <v>2.3745204020847468E-17</v>
      </c>
      <c r="AP43">
        <f>HLOOKUP(AP$4,Conversion!$C$4:$CC$47,$A43,)</f>
        <v>2.3745204020847468E-17</v>
      </c>
      <c r="AQ43">
        <f>HLOOKUP(AQ$4,Conversion!$C$4:$CC$47,$A43,)</f>
        <v>4.4192182357227796E-18</v>
      </c>
      <c r="AR43">
        <f>HLOOKUP(AR$4,Conversion!$C$4:$CC$47,$A43,)</f>
        <v>4.4192182357227796E-18</v>
      </c>
      <c r="AS43">
        <f>HLOOKUP(AS$4,Conversion!$C$4:$CC$47,$A43,)</f>
        <v>4.07783848704742E-14</v>
      </c>
      <c r="AT43">
        <f>HLOOKUP(AT$4,Conversion!$C$4:$CC$47,$A43,)</f>
        <v>2.5984213109766589E-16</v>
      </c>
      <c r="AU43">
        <f>HLOOKUP(AU$4,Conversion!$C$4:$CC$47,$A43,)</f>
        <v>1.9189424315371447E-18</v>
      </c>
      <c r="AV43">
        <f>HLOOKUP(AV$4,Conversion!$C$4:$CC$47,$A43,)</f>
        <v>0</v>
      </c>
      <c r="AW43">
        <f>HLOOKUP(AW$4,Conversion!$C$4:$CC$47,$A43,)</f>
        <v>1.9683359131706035E-14</v>
      </c>
      <c r="AX43">
        <f>HLOOKUP(AX$4,Conversion!$C$4:$CC$47,$A43,)</f>
        <v>3.0219978404953189E-14</v>
      </c>
      <c r="AY43">
        <f>HLOOKUP(AY$4,Conversion!$C$4:$CC$47,$A43,)</f>
        <v>3.0219978404953189E-14</v>
      </c>
      <c r="AZ43">
        <f>HLOOKUP(AZ$4,Conversion!$C$4:$CC$47,$A43,)</f>
        <v>1.717222103953774E-15</v>
      </c>
      <c r="BA43">
        <f>HLOOKUP(BA$4,Conversion!$C$4:$CC$47,$A43,)</f>
        <v>2.9406649659868568E-17</v>
      </c>
      <c r="BB43">
        <f>HLOOKUP(BB$4,Conversion!$C$4:$CC$47,$A43,)</f>
        <v>1.1529199254301639E-15</v>
      </c>
      <c r="BC43">
        <f>HLOOKUP(BC$4,Conversion!$C$4:$CC$47,$A43,)</f>
        <v>1.1769565990555303E-15</v>
      </c>
      <c r="BD43">
        <f>HLOOKUP(BD$4,Conversion!$C$4:$CC$47,$A43,)</f>
        <v>1.1769565990555303E-15</v>
      </c>
      <c r="BE43">
        <f>HLOOKUP(BE$4,Conversion!$C$4:$CC$47,$A43,)</f>
        <v>3.4407401453252092E-18</v>
      </c>
      <c r="BF43">
        <f>HLOOKUP(BF$4,Conversion!$C$4:$CC$47,$A43,)</f>
        <v>3.6236669523599865E-16</v>
      </c>
      <c r="BG43">
        <f>HLOOKUP(BG$4,Conversion!$C$4:$CC$47,$A43,)</f>
        <v>5.2396431377831615E-15</v>
      </c>
      <c r="BH43">
        <f>HLOOKUP(BH$4,Conversion!$C$4:$CC$47,$A43,)</f>
        <v>4.1632337604791609E-15</v>
      </c>
      <c r="BI43">
        <f>HLOOKUP(BI$4,Conversion!$C$4:$CC$47,$A43,)</f>
        <v>4.1632337604791609E-15</v>
      </c>
      <c r="BJ43">
        <f>HLOOKUP(BJ$4,Conversion!$C$4:$CC$47,$A43,)</f>
        <v>4.1632337604791609E-15</v>
      </c>
      <c r="BK43">
        <f>HLOOKUP(BK$4,Conversion!$C$4:$CC$47,$A43,)</f>
        <v>9.9228756307723617E-17</v>
      </c>
      <c r="BL43">
        <f>HLOOKUP(BL$4,Conversion!$C$4:$CC$47,$A43,)</f>
        <v>1.2709162045112657E-16</v>
      </c>
      <c r="BM43">
        <f>HLOOKUP(BM$4,Conversion!$C$4:$CC$47,$A43,)</f>
        <v>1.5893323977087728E-16</v>
      </c>
      <c r="BN43">
        <f>HLOOKUP(BN$4,Conversion!$C$4:$CC$47,$A43,)</f>
        <v>1.5893323977087728E-16</v>
      </c>
      <c r="BO43">
        <f>HLOOKUP(BO$4,Conversion!$C$4:$CC$47,$A43,)</f>
        <v>4.0649027091205604E-18</v>
      </c>
      <c r="BP43">
        <f>HLOOKUP(BP$4,Conversion!$C$4:$CC$47,$A43,)</f>
        <v>4.0649027091205604E-18</v>
      </c>
      <c r="BQ43">
        <f>HLOOKUP(BQ$4,Conversion!$C$4:$CC$47,$A43,)</f>
        <v>0</v>
      </c>
      <c r="BR43">
        <f>HLOOKUP(BR$4,Conversion!$C$4:$CC$47,$A43,)</f>
        <v>1.2542034726992375E-17</v>
      </c>
      <c r="BS43">
        <f>HLOOKUP(BS$4,Conversion!$C$4:$CC$47,$A43,)</f>
        <v>7.0845806059872123E-18</v>
      </c>
      <c r="BT43">
        <f>HLOOKUP(BT$4,Conversion!$C$4:$CC$47,$A43,)</f>
        <v>4.1631838592723048E-18</v>
      </c>
      <c r="BU43">
        <f>HLOOKUP(BU$4,Conversion!$C$4:$CC$47,$A43,)</f>
        <v>3.0071923629688945E-18</v>
      </c>
      <c r="BV43">
        <f>HLOOKUP(BV$4,Conversion!$C$4:$CC$47,$A43,)</f>
        <v>1.3008089991228832E-15</v>
      </c>
      <c r="BW43">
        <f>HLOOKUP(BW$4,Conversion!$C$4:$CC$47,$A43,)</f>
        <v>8.3226414583775952E-16</v>
      </c>
      <c r="BX43">
        <f>HLOOKUP(BX$4,Conversion!$C$4:$CC$47,$A43,)</f>
        <v>8.3226414583775952E-16</v>
      </c>
      <c r="BY43">
        <f>HLOOKUP(BY$4,Conversion!$C$4:$CC$47,$A43,)</f>
        <v>4.1607276091183411E-15</v>
      </c>
      <c r="BZ43">
        <f>HLOOKUP(BZ$4,Conversion!$C$4:$CC$47,$A43,)</f>
        <v>1.9493509774504981E-14</v>
      </c>
      <c r="CA43">
        <f>HLOOKUP(CA$4,Conversion!$C$4:$CC$47,$A43,)</f>
        <v>3.1518599268226946E-14</v>
      </c>
      <c r="CB43">
        <f>HLOOKUP(CB$4,Conversion!$C$4:$CC$47,$A43,)</f>
        <v>5.5573360818777081E-13</v>
      </c>
      <c r="CC43">
        <f>HLOOKUP(CC$4,Conversion!$C$4:$CC$47,$A43,)</f>
        <v>9.4988520459861556E-16</v>
      </c>
    </row>
    <row r="44" spans="1:81" x14ac:dyDescent="0.15">
      <c r="A44">
        <v>41</v>
      </c>
      <c r="B44" t="s">
        <v>17</v>
      </c>
      <c r="C44">
        <f>HLOOKUP($C$4,Conversion!$C$4:$CC$47,$A44,)</f>
        <v>1.0188009882926771E-15</v>
      </c>
      <c r="D44">
        <f>HLOOKUP($D$4,Conversion!$C$4:$CC$47,$A44,)</f>
        <v>4.156204748134762E-15</v>
      </c>
      <c r="E44">
        <f>HLOOKUP($E$4,Conversion!$C$4:$CC$47,$A44,)</f>
        <v>1.8636865187124464E-15</v>
      </c>
      <c r="F44">
        <f>HLOOKUP($F$4,Conversion!$C$4:$CC$47,$A44,)</f>
        <v>2.1703606528318086E-15</v>
      </c>
      <c r="G44">
        <f>HLOOKUP($G$4,Conversion!$C$4:$CC$47,$A44,)</f>
        <v>2.1340600489667436E-16</v>
      </c>
      <c r="H44">
        <f>HLOOKUP($H$4,Conversion!$C$4:$CC$47,$A44,)</f>
        <v>7.9052287694230448E-16</v>
      </c>
      <c r="I44">
        <f>HLOOKUP($I$4,Conversion!$C$4:$CC$47,$A44,)</f>
        <v>3.6955532056116024E-15</v>
      </c>
      <c r="J44">
        <f>HLOOKUP($J$4,Conversion!$C$4:$CC$47,$A44,)</f>
        <v>3.6955532056116024E-15</v>
      </c>
      <c r="K44">
        <f>HLOOKUP($K$4,Conversion!$C$4:$CC$47,$A44,)</f>
        <v>3.6955532056116024E-15</v>
      </c>
      <c r="L44">
        <f>HLOOKUP($L$4,Conversion!$C$4:$CC$47,$A44,)</f>
        <v>1.8636865187124464E-15</v>
      </c>
      <c r="M44">
        <f>HLOOKUP($M$4,Conversion!$C$4:$CC$47,$A44,)</f>
        <v>1.8636865187124464E-15</v>
      </c>
      <c r="N44">
        <f>HLOOKUP($N$4,Conversion!$C$4:$CC$47,$A44,)</f>
        <v>1.8636865187124464E-15</v>
      </c>
      <c r="O44">
        <f>HLOOKUP($O$4,Conversion!$C$4:$CC$47,$A44,)</f>
        <v>1.0248284124461263E-15</v>
      </c>
      <c r="P44">
        <f>HLOOKUP($P$4,Conversion!$C$4:$CC$47,$A44,)</f>
        <v>3.163684772153271E-16</v>
      </c>
      <c r="Q44">
        <f>HLOOKUP($Q$4,Conversion!$C$4:$CC$47,$A44,)</f>
        <v>7.7148126048716503E-16</v>
      </c>
      <c r="R44">
        <f>HLOOKUP($R$4,Conversion!$C$4:$CC$47,$A44,)</f>
        <v>7.7148126048716503E-16</v>
      </c>
      <c r="S44">
        <f>HLOOKUP($S$4,Conversion!$C$4:$CC$47,$A44,)</f>
        <v>2.4474269547838267E-16</v>
      </c>
      <c r="T44">
        <f>HLOOKUP($T$4,Conversion!$C$4:$CC$47,$A44,)</f>
        <v>8.6466176503383514E-16</v>
      </c>
      <c r="U44">
        <f>HLOOKUP($U$4,Conversion!$C$4:$CC$47,$A44,)</f>
        <v>8.6466176503383514E-16</v>
      </c>
      <c r="V44">
        <f>HLOOKUP($V$4,Conversion!$C$4:$CC$47,$A44,)</f>
        <v>8.6466176503383514E-16</v>
      </c>
      <c r="W44">
        <f>HLOOKUP($W$4,Conversion!$C$4:$CC$47,$A44,)</f>
        <v>8.6466176503383514E-16</v>
      </c>
      <c r="X44">
        <f>HLOOKUP($X$4,Conversion!$C$4:$CC$47,$A44,)</f>
        <v>8.6466176503383514E-16</v>
      </c>
      <c r="Y44">
        <f>HLOOKUP($Y$4,Conversion!$C$4:$CC$47,$A44,)</f>
        <v>1.9175879456486546E-16</v>
      </c>
      <c r="Z44">
        <f>HLOOKUP($Z$4,Conversion!$C$4:$CC$47,$A44,)</f>
        <v>3.2152600362715946E-15</v>
      </c>
      <c r="AA44">
        <f>HLOOKUP($AA$4,Conversion!$C$4:$CC$47,$A44,)</f>
        <v>4.2492557124588731E-15</v>
      </c>
      <c r="AB44">
        <f>HLOOKUP($AB$4,Conversion!$C$4:$CC$47,$A44,)</f>
        <v>2.767763136488654E-15</v>
      </c>
      <c r="AC44">
        <f>HLOOKUP($AC$4,Conversion!$C$4:$CC$47,$A44,)</f>
        <v>2.7217276620804934E-15</v>
      </c>
      <c r="AD44">
        <f>HLOOKUP($AD$4,Conversion!$C$4:$CC$47,$A44,)</f>
        <v>3.0705215090211098E-15</v>
      </c>
      <c r="AE44">
        <f>HLOOKUP($AE$4,Conversion!$C$4:$CC$47,$A44,)</f>
        <v>3.6245675015133461E-15</v>
      </c>
      <c r="AF44">
        <f>HLOOKUP($AF$4,Conversion!$C$4:$CC$47,$A44,)</f>
        <v>3.6245675015133461E-15</v>
      </c>
      <c r="AG44">
        <f>HLOOKUP(AG$4,Conversion!$C$4:$CC$47,$A44,)</f>
        <v>1.5090300885828106E-15</v>
      </c>
      <c r="AH44">
        <f>HLOOKUP(AH$4,Conversion!$C$4:$CC$47,$A44,)</f>
        <v>1.9241850085491976E-15</v>
      </c>
      <c r="AI44">
        <f>HLOOKUP(AI$4,Conversion!$C$4:$CC$47,$A44,)</f>
        <v>1.8507835521262845E-15</v>
      </c>
      <c r="AJ44">
        <f>HLOOKUP(AJ$4,Conversion!$C$4:$CC$47,$A44,)</f>
        <v>1.1445124496340221E-15</v>
      </c>
      <c r="AK44">
        <f>HLOOKUP(AK$4,Conversion!$C$4:$CC$47,$A44,)</f>
        <v>2.7093277252526768E-13</v>
      </c>
      <c r="AL44">
        <f>HLOOKUP(AL$4,Conversion!$C$4:$CC$47,$A44,)</f>
        <v>3.4065441781642721E-15</v>
      </c>
      <c r="AM44">
        <f>HLOOKUP(AM$4,Conversion!$C$4:$CC$47,$A44,)</f>
        <v>8.916239749027265E-16</v>
      </c>
      <c r="AN44">
        <f>HLOOKUP(AN$4,Conversion!$C$4:$CC$47,$A44,)</f>
        <v>4.4976688339768259E-15</v>
      </c>
      <c r="AO44">
        <f>HLOOKUP(AO$4,Conversion!$C$4:$CC$47,$A44,)</f>
        <v>4.4976688339768259E-15</v>
      </c>
      <c r="AP44">
        <f>HLOOKUP(AP$4,Conversion!$C$4:$CC$47,$A44,)</f>
        <v>4.4976688339768259E-15</v>
      </c>
      <c r="AQ44">
        <f>HLOOKUP(AQ$4,Conversion!$C$4:$CC$47,$A44,)</f>
        <v>6.1628238495282562E-16</v>
      </c>
      <c r="AR44">
        <f>HLOOKUP(AR$4,Conversion!$C$4:$CC$47,$A44,)</f>
        <v>6.1628238495282562E-16</v>
      </c>
      <c r="AS44">
        <f>HLOOKUP(AS$4,Conversion!$C$4:$CC$47,$A44,)</f>
        <v>3.1637139976586395E-15</v>
      </c>
      <c r="AT44">
        <f>HLOOKUP(AT$4,Conversion!$C$4:$CC$47,$A44,)</f>
        <v>4.6215488784005858E-15</v>
      </c>
      <c r="AU44">
        <f>HLOOKUP(AU$4,Conversion!$C$4:$CC$47,$A44,)</f>
        <v>3.8929781217166508E-16</v>
      </c>
      <c r="AV44">
        <f>HLOOKUP(AV$4,Conversion!$C$4:$CC$47,$A44,)</f>
        <v>0</v>
      </c>
      <c r="AW44">
        <f>HLOOKUP(AW$4,Conversion!$C$4:$CC$47,$A44,)</f>
        <v>2.8138185610805429E-15</v>
      </c>
      <c r="AX44">
        <f>HLOOKUP(AX$4,Conversion!$C$4:$CC$47,$A44,)</f>
        <v>3.6737228211025336E-15</v>
      </c>
      <c r="AY44">
        <f>HLOOKUP(AY$4,Conversion!$C$4:$CC$47,$A44,)</f>
        <v>3.6737228211025336E-15</v>
      </c>
      <c r="AZ44">
        <f>HLOOKUP(AZ$4,Conversion!$C$4:$CC$47,$A44,)</f>
        <v>1.720959365436188E-15</v>
      </c>
      <c r="BA44">
        <f>HLOOKUP(BA$4,Conversion!$C$4:$CC$47,$A44,)</f>
        <v>1.8729309778278656E-15</v>
      </c>
      <c r="BB44">
        <f>HLOOKUP(BB$4,Conversion!$C$4:$CC$47,$A44,)</f>
        <v>2.5861277159372442E-15</v>
      </c>
      <c r="BC44">
        <f>HLOOKUP(BC$4,Conversion!$C$4:$CC$47,$A44,)</f>
        <v>3.3476341653936061E-15</v>
      </c>
      <c r="BD44">
        <f>HLOOKUP(BD$4,Conversion!$C$4:$CC$47,$A44,)</f>
        <v>3.3476341653936061E-15</v>
      </c>
      <c r="BE44">
        <f>HLOOKUP(BE$4,Conversion!$C$4:$CC$47,$A44,)</f>
        <v>1.2777596734895849E-15</v>
      </c>
      <c r="BF44">
        <f>HLOOKUP(BF$4,Conversion!$C$4:$CC$47,$A44,)</f>
        <v>4.6447539254678482E-16</v>
      </c>
      <c r="BG44">
        <f>HLOOKUP(BG$4,Conversion!$C$4:$CC$47,$A44,)</f>
        <v>3.8407410158645726E-15</v>
      </c>
      <c r="BH44">
        <f>HLOOKUP(BH$4,Conversion!$C$4:$CC$47,$A44,)</f>
        <v>4.9993226694800772E-15</v>
      </c>
      <c r="BI44">
        <f>HLOOKUP(BI$4,Conversion!$C$4:$CC$47,$A44,)</f>
        <v>4.9993226694800772E-15</v>
      </c>
      <c r="BJ44">
        <f>HLOOKUP(BJ$4,Conversion!$C$4:$CC$47,$A44,)</f>
        <v>4.9993226694800772E-15</v>
      </c>
      <c r="BK44">
        <f>HLOOKUP(BK$4,Conversion!$C$4:$CC$47,$A44,)</f>
        <v>1.7506134725896219E-15</v>
      </c>
      <c r="BL44">
        <f>HLOOKUP(BL$4,Conversion!$C$4:$CC$47,$A44,)</f>
        <v>2.4816059438502814E-15</v>
      </c>
      <c r="BM44">
        <f>HLOOKUP(BM$4,Conversion!$C$4:$CC$47,$A44,)</f>
        <v>3.2644923746529934E-15</v>
      </c>
      <c r="BN44">
        <f>HLOOKUP(BN$4,Conversion!$C$4:$CC$47,$A44,)</f>
        <v>3.2644923746529934E-15</v>
      </c>
      <c r="BO44">
        <f>HLOOKUP(BO$4,Conversion!$C$4:$CC$47,$A44,)</f>
        <v>4.4233520191905348E-16</v>
      </c>
      <c r="BP44">
        <f>HLOOKUP(BP$4,Conversion!$C$4:$CC$47,$A44,)</f>
        <v>4.4233520191905348E-16</v>
      </c>
      <c r="BQ44">
        <f>HLOOKUP(BQ$4,Conversion!$C$4:$CC$47,$A44,)</f>
        <v>0</v>
      </c>
      <c r="BR44">
        <f>HLOOKUP(BR$4,Conversion!$C$4:$CC$47,$A44,)</f>
        <v>4.4426772373116744E-15</v>
      </c>
      <c r="BS44">
        <f>HLOOKUP(BS$4,Conversion!$C$4:$CC$47,$A44,)</f>
        <v>3.1218891595380352E-15</v>
      </c>
      <c r="BT44">
        <f>HLOOKUP(BT$4,Conversion!$C$4:$CC$47,$A44,)</f>
        <v>6.6809712604405581E-16</v>
      </c>
      <c r="BU44">
        <f>HLOOKUP(BU$4,Conversion!$C$4:$CC$47,$A44,)</f>
        <v>6.547002348961526E-16</v>
      </c>
      <c r="BV44">
        <f>HLOOKUP(BV$4,Conversion!$C$4:$CC$47,$A44,)</f>
        <v>1.0895035724293601E-15</v>
      </c>
      <c r="BW44">
        <f>HLOOKUP(BW$4,Conversion!$C$4:$CC$47,$A44,)</f>
        <v>8.7583077332775208E-16</v>
      </c>
      <c r="BX44">
        <f>HLOOKUP(BX$4,Conversion!$C$4:$CC$47,$A44,)</f>
        <v>8.7583077332775208E-16</v>
      </c>
      <c r="BY44">
        <f>HLOOKUP(BY$4,Conversion!$C$4:$CC$47,$A44,)</f>
        <v>4.9346633969505554E-15</v>
      </c>
      <c r="BZ44">
        <f>HLOOKUP(BZ$4,Conversion!$C$4:$CC$47,$A44,)</f>
        <v>2.1746409256270809E-15</v>
      </c>
      <c r="CA44">
        <f>HLOOKUP(CA$4,Conversion!$C$4:$CC$47,$A44,)</f>
        <v>2.4595002855706925E-15</v>
      </c>
      <c r="CB44">
        <f>HLOOKUP(CB$4,Conversion!$C$4:$CC$47,$A44,)</f>
        <v>3.1642806381289191E-15</v>
      </c>
      <c r="CC44">
        <f>HLOOKUP(CC$4,Conversion!$C$4:$CC$47,$A44,)</f>
        <v>6.6888682151126125E-16</v>
      </c>
    </row>
    <row r="45" spans="1:81" x14ac:dyDescent="0.15">
      <c r="A45">
        <v>42</v>
      </c>
      <c r="B45" t="s">
        <v>30</v>
      </c>
      <c r="C45">
        <f>HLOOKUP($C$4,Conversion!$C$4:$CC$47,$A45,)</f>
        <v>7.6398695998359354E-16</v>
      </c>
      <c r="D45">
        <f>HLOOKUP($D$4,Conversion!$C$4:$CC$47,$A45,)</f>
        <v>3.5685860207491688E-16</v>
      </c>
      <c r="E45">
        <f>HLOOKUP($E$4,Conversion!$C$4:$CC$47,$A45,)</f>
        <v>4.4530816974505541E-16</v>
      </c>
      <c r="F45">
        <f>HLOOKUP($F$4,Conversion!$C$4:$CC$47,$A45,)</f>
        <v>9.5088044005485098E-16</v>
      </c>
      <c r="G45">
        <f>HLOOKUP($G$4,Conversion!$C$4:$CC$47,$A45,)</f>
        <v>3.2535109803257223E-16</v>
      </c>
      <c r="H45">
        <f>HLOOKUP($H$4,Conversion!$C$4:$CC$47,$A45,)</f>
        <v>7.5524243028952978E-16</v>
      </c>
      <c r="I45">
        <f>HLOOKUP($I$4,Conversion!$C$4:$CC$47,$A45,)</f>
        <v>4.0680417360800618E-16</v>
      </c>
      <c r="J45">
        <f>HLOOKUP($J$4,Conversion!$C$4:$CC$47,$A45,)</f>
        <v>4.0680417360800618E-16</v>
      </c>
      <c r="K45">
        <f>HLOOKUP($K$4,Conversion!$C$4:$CC$47,$A45,)</f>
        <v>4.0680417360800618E-16</v>
      </c>
      <c r="L45">
        <f>HLOOKUP($L$4,Conversion!$C$4:$CC$47,$A45,)</f>
        <v>4.4530816974505541E-16</v>
      </c>
      <c r="M45">
        <f>HLOOKUP($M$4,Conversion!$C$4:$CC$47,$A45,)</f>
        <v>4.4530816974505541E-16</v>
      </c>
      <c r="N45">
        <f>HLOOKUP($N$4,Conversion!$C$4:$CC$47,$A45,)</f>
        <v>4.4530816974505541E-16</v>
      </c>
      <c r="O45">
        <f>HLOOKUP($O$4,Conversion!$C$4:$CC$47,$A45,)</f>
        <v>4.5707451006647142E-16</v>
      </c>
      <c r="P45">
        <f>HLOOKUP($P$4,Conversion!$C$4:$CC$47,$A45,)</f>
        <v>4.9408179845114863E-16</v>
      </c>
      <c r="Q45">
        <f>HLOOKUP($Q$4,Conversion!$C$4:$CC$47,$A45,)</f>
        <v>4.6973458050530279E-16</v>
      </c>
      <c r="R45">
        <f>HLOOKUP($R$4,Conversion!$C$4:$CC$47,$A45,)</f>
        <v>4.6973458050530279E-16</v>
      </c>
      <c r="S45">
        <f>HLOOKUP($S$4,Conversion!$C$4:$CC$47,$A45,)</f>
        <v>5.3245082661214923E-16</v>
      </c>
      <c r="T45">
        <f>HLOOKUP($T$4,Conversion!$C$4:$CC$47,$A45,)</f>
        <v>3.8035451723684382E-16</v>
      </c>
      <c r="U45">
        <f>HLOOKUP($U$4,Conversion!$C$4:$CC$47,$A45,)</f>
        <v>3.8035451723684382E-16</v>
      </c>
      <c r="V45">
        <f>HLOOKUP($V$4,Conversion!$C$4:$CC$47,$A45,)</f>
        <v>3.8035451723684382E-16</v>
      </c>
      <c r="W45">
        <f>HLOOKUP($W$4,Conversion!$C$4:$CC$47,$A45,)</f>
        <v>3.8035451723684382E-16</v>
      </c>
      <c r="X45">
        <f>HLOOKUP($X$4,Conversion!$C$4:$CC$47,$A45,)</f>
        <v>3.8035451723684382E-16</v>
      </c>
      <c r="Y45">
        <f>HLOOKUP($Y$4,Conversion!$C$4:$CC$47,$A45,)</f>
        <v>5.8286990648406061E-16</v>
      </c>
      <c r="Z45">
        <f>HLOOKUP($Z$4,Conversion!$C$4:$CC$47,$A45,)</f>
        <v>3.3592769026729796E-16</v>
      </c>
      <c r="AA45">
        <f>HLOOKUP($AA$4,Conversion!$C$4:$CC$47,$A45,)</f>
        <v>3.4004331566902933E-16</v>
      </c>
      <c r="AB45">
        <f>HLOOKUP($AB$4,Conversion!$C$4:$CC$47,$A45,)</f>
        <v>3.9225336296869554E-16</v>
      </c>
      <c r="AC45">
        <f>HLOOKUP($AC$4,Conversion!$C$4:$CC$47,$A45,)</f>
        <v>3.8110929358013663E-16</v>
      </c>
      <c r="AD45">
        <f>HLOOKUP($AD$4,Conversion!$C$4:$CC$47,$A45,)</f>
        <v>3.6782683706444922E-16</v>
      </c>
      <c r="AE45">
        <f>HLOOKUP($AE$4,Conversion!$C$4:$CC$47,$A45,)</f>
        <v>3.7070450763966922E-16</v>
      </c>
      <c r="AF45">
        <f>HLOOKUP($AF$4,Conversion!$C$4:$CC$47,$A45,)</f>
        <v>3.7070450763966922E-16</v>
      </c>
      <c r="AG45">
        <f>HLOOKUP(AG$4,Conversion!$C$4:$CC$47,$A45,)</f>
        <v>4.0880205947109596E-16</v>
      </c>
      <c r="AH45">
        <f>HLOOKUP(AH$4,Conversion!$C$4:$CC$47,$A45,)</f>
        <v>4.4404043649621866E-16</v>
      </c>
      <c r="AI45">
        <f>HLOOKUP(AI$4,Conversion!$C$4:$CC$47,$A45,)</f>
        <v>4.4401423307841645E-16</v>
      </c>
      <c r="AJ45">
        <f>HLOOKUP(AJ$4,Conversion!$C$4:$CC$47,$A45,)</f>
        <v>4.4023798789531654E-16</v>
      </c>
      <c r="AK45">
        <f>HLOOKUP(AK$4,Conversion!$C$4:$CC$47,$A45,)</f>
        <v>4.4816413059388379E-16</v>
      </c>
      <c r="AL45">
        <f>HLOOKUP(AL$4,Conversion!$C$4:$CC$47,$A45,)</f>
        <v>4.0603453661793344E-16</v>
      </c>
      <c r="AM45">
        <f>HLOOKUP(AM$4,Conversion!$C$4:$CC$47,$A45,)</f>
        <v>4.7544461073040113E-16</v>
      </c>
      <c r="AN45">
        <f>HLOOKUP(AN$4,Conversion!$C$4:$CC$47,$A45,)</f>
        <v>3.7865748550585921E-16</v>
      </c>
      <c r="AO45">
        <f>HLOOKUP(AO$4,Conversion!$C$4:$CC$47,$A45,)</f>
        <v>3.7865748550585921E-16</v>
      </c>
      <c r="AP45">
        <f>HLOOKUP(AP$4,Conversion!$C$4:$CC$47,$A45,)</f>
        <v>3.7865748550585921E-16</v>
      </c>
      <c r="AQ45">
        <f>HLOOKUP(AQ$4,Conversion!$C$4:$CC$47,$A45,)</f>
        <v>4.1645418137528381E-16</v>
      </c>
      <c r="AR45">
        <f>HLOOKUP(AR$4,Conversion!$C$4:$CC$47,$A45,)</f>
        <v>4.1645418137528381E-16</v>
      </c>
      <c r="AS45">
        <f>HLOOKUP(AS$4,Conversion!$C$4:$CC$47,$A45,)</f>
        <v>3.4030716675992686E-16</v>
      </c>
      <c r="AT45">
        <f>HLOOKUP(AT$4,Conversion!$C$4:$CC$47,$A45,)</f>
        <v>3.4007721225452089E-16</v>
      </c>
      <c r="AU45">
        <f>HLOOKUP(AU$4,Conversion!$C$4:$CC$47,$A45,)</f>
        <v>3.0735477549456701E-16</v>
      </c>
      <c r="AV45">
        <f>HLOOKUP(AV$4,Conversion!$C$4:$CC$47,$A45,)</f>
        <v>0</v>
      </c>
      <c r="AW45">
        <f>HLOOKUP(AW$4,Conversion!$C$4:$CC$47,$A45,)</f>
        <v>3.530886732156503E-16</v>
      </c>
      <c r="AX45">
        <f>HLOOKUP(AX$4,Conversion!$C$4:$CC$47,$A45,)</f>
        <v>3.5976795157515323E-16</v>
      </c>
      <c r="AY45">
        <f>HLOOKUP(AY$4,Conversion!$C$4:$CC$47,$A45,)</f>
        <v>3.5976795157515323E-16</v>
      </c>
      <c r="AZ45">
        <f>HLOOKUP(AZ$4,Conversion!$C$4:$CC$47,$A45,)</f>
        <v>3.9215415453145223E-16</v>
      </c>
      <c r="BA45">
        <f>HLOOKUP(BA$4,Conversion!$C$4:$CC$47,$A45,)</f>
        <v>4.4404051746235641E-16</v>
      </c>
      <c r="BB45">
        <f>HLOOKUP(BB$4,Conversion!$C$4:$CC$47,$A45,)</f>
        <v>3.7076963367144866E-16</v>
      </c>
      <c r="BC45">
        <f>HLOOKUP(BC$4,Conversion!$C$4:$CC$47,$A45,)</f>
        <v>3.7811798102774568E-16</v>
      </c>
      <c r="BD45">
        <f>HLOOKUP(BD$4,Conversion!$C$4:$CC$47,$A45,)</f>
        <v>3.7811798102774568E-16</v>
      </c>
      <c r="BE45">
        <f>HLOOKUP(BE$4,Conversion!$C$4:$CC$47,$A45,)</f>
        <v>5.0710309136605202E-16</v>
      </c>
      <c r="BF45">
        <f>HLOOKUP(BF$4,Conversion!$C$4:$CC$47,$A45,)</f>
        <v>1.4472060002583155E-14</v>
      </c>
      <c r="BG45">
        <f>HLOOKUP(BG$4,Conversion!$C$4:$CC$47,$A45,)</f>
        <v>3.5143292581401363E-16</v>
      </c>
      <c r="BH45">
        <f>HLOOKUP(BH$4,Conversion!$C$4:$CC$47,$A45,)</f>
        <v>3.5159764095109179E-16</v>
      </c>
      <c r="BI45">
        <f>HLOOKUP(BI$4,Conversion!$C$4:$CC$47,$A45,)</f>
        <v>3.5159764095109179E-16</v>
      </c>
      <c r="BJ45">
        <f>HLOOKUP(BJ$4,Conversion!$C$4:$CC$47,$A45,)</f>
        <v>3.5159764095109179E-16</v>
      </c>
      <c r="BK45">
        <f>HLOOKUP(BK$4,Conversion!$C$4:$CC$47,$A45,)</f>
        <v>4.7828809671554861E-16</v>
      </c>
      <c r="BL45">
        <f>HLOOKUP(BL$4,Conversion!$C$4:$CC$47,$A45,)</f>
        <v>3.9286135188744546E-16</v>
      </c>
      <c r="BM45">
        <f>HLOOKUP(BM$4,Conversion!$C$4:$CC$47,$A45,)</f>
        <v>3.9872620664891948E-16</v>
      </c>
      <c r="BN45">
        <f>HLOOKUP(BN$4,Conversion!$C$4:$CC$47,$A45,)</f>
        <v>3.9872620664891948E-16</v>
      </c>
      <c r="BO45">
        <f>HLOOKUP(BO$4,Conversion!$C$4:$CC$47,$A45,)</f>
        <v>4.2270319399237472E-16</v>
      </c>
      <c r="BP45">
        <f>HLOOKUP(BP$4,Conversion!$C$4:$CC$47,$A45,)</f>
        <v>4.2270319399237472E-16</v>
      </c>
      <c r="BQ45">
        <f>HLOOKUP(BQ$4,Conversion!$C$4:$CC$47,$A45,)</f>
        <v>0</v>
      </c>
      <c r="BR45">
        <f>HLOOKUP(BR$4,Conversion!$C$4:$CC$47,$A45,)</f>
        <v>4.3645944543120123E-16</v>
      </c>
      <c r="BS45">
        <f>HLOOKUP(BS$4,Conversion!$C$4:$CC$47,$A45,)</f>
        <v>4.873208192375222E-16</v>
      </c>
      <c r="BT45">
        <f>HLOOKUP(BT$4,Conversion!$C$4:$CC$47,$A45,)</f>
        <v>3.9872455382253721E-16</v>
      </c>
      <c r="BU45">
        <f>HLOOKUP(BU$4,Conversion!$C$4:$CC$47,$A45,)</f>
        <v>3.8112159122338154E-16</v>
      </c>
      <c r="BV45">
        <f>HLOOKUP(BV$4,Conversion!$C$4:$CC$47,$A45,)</f>
        <v>4.3420777161519686E-16</v>
      </c>
      <c r="BW45">
        <f>HLOOKUP(BW$4,Conversion!$C$4:$CC$47,$A45,)</f>
        <v>4.362423531543039E-16</v>
      </c>
      <c r="BX45">
        <f>HLOOKUP(BX$4,Conversion!$C$4:$CC$47,$A45,)</f>
        <v>4.362423531543039E-16</v>
      </c>
      <c r="BY45">
        <f>HLOOKUP(BY$4,Conversion!$C$4:$CC$47,$A45,)</f>
        <v>3.1830756864813511E-16</v>
      </c>
      <c r="BZ45">
        <f>HLOOKUP(BZ$4,Conversion!$C$4:$CC$47,$A45,)</f>
        <v>3.8868618089591254E-16</v>
      </c>
      <c r="CA45">
        <f>HLOOKUP(CA$4,Conversion!$C$4:$CC$47,$A45,)</f>
        <v>4.108160519414752E-16</v>
      </c>
      <c r="CB45">
        <f>HLOOKUP(CB$4,Conversion!$C$4:$CC$47,$A45,)</f>
        <v>3.4341491088280881E-16</v>
      </c>
      <c r="CC45">
        <f>HLOOKUP(CC$4,Conversion!$C$4:$CC$47,$A45,)</f>
        <v>4.6284431309148076E-16</v>
      </c>
    </row>
    <row r="46" spans="1:81" x14ac:dyDescent="0.15">
      <c r="A46">
        <v>43</v>
      </c>
      <c r="B46" t="s">
        <v>48</v>
      </c>
      <c r="C46">
        <f>HLOOKUP($C$4,Conversion!$C$4:$CC$47,$A46,)</f>
        <v>2.6749961303761456E-15</v>
      </c>
      <c r="D46">
        <f>HLOOKUP($D$4,Conversion!$C$4:$CC$47,$A46,)</f>
        <v>6.5645888506395682E-16</v>
      </c>
      <c r="E46">
        <f>HLOOKUP($E$4,Conversion!$C$4:$CC$47,$A46,)</f>
        <v>5.7706251674962781E-16</v>
      </c>
      <c r="F46">
        <f>HLOOKUP($F$4,Conversion!$C$4:$CC$47,$A46,)</f>
        <v>5.6223025484113576E-16</v>
      </c>
      <c r="G46">
        <f>HLOOKUP($G$4,Conversion!$C$4:$CC$47,$A46,)</f>
        <v>2.2892905436264287E-16</v>
      </c>
      <c r="H46">
        <f>HLOOKUP($H$4,Conversion!$C$4:$CC$47,$A46,)</f>
        <v>1.6132158713006375E-15</v>
      </c>
      <c r="I46">
        <f>HLOOKUP($I$4,Conversion!$C$4:$CC$47,$A46,)</f>
        <v>6.2662382006002582E-16</v>
      </c>
      <c r="J46">
        <f>HLOOKUP($J$4,Conversion!$C$4:$CC$47,$A46,)</f>
        <v>6.2662382006002582E-16</v>
      </c>
      <c r="K46">
        <f>HLOOKUP($K$4,Conversion!$C$4:$CC$47,$A46,)</f>
        <v>6.2662382006002582E-16</v>
      </c>
      <c r="L46">
        <f>HLOOKUP($L$4,Conversion!$C$4:$CC$47,$A46,)</f>
        <v>5.7706251674962781E-16</v>
      </c>
      <c r="M46">
        <f>HLOOKUP($M$4,Conversion!$C$4:$CC$47,$A46,)</f>
        <v>5.7706251674962781E-16</v>
      </c>
      <c r="N46">
        <f>HLOOKUP($N$4,Conversion!$C$4:$CC$47,$A46,)</f>
        <v>5.7706251674962781E-16</v>
      </c>
      <c r="O46">
        <f>HLOOKUP($O$4,Conversion!$C$4:$CC$47,$A46,)</f>
        <v>6.1407644951672286E-16</v>
      </c>
      <c r="P46">
        <f>HLOOKUP($P$4,Conversion!$C$4:$CC$47,$A46,)</f>
        <v>5.4778864105919034E-16</v>
      </c>
      <c r="Q46">
        <f>HLOOKUP($Q$4,Conversion!$C$4:$CC$47,$A46,)</f>
        <v>5.6128293486391714E-16</v>
      </c>
      <c r="R46">
        <f>HLOOKUP($R$4,Conversion!$C$4:$CC$47,$A46,)</f>
        <v>5.6128293486391714E-16</v>
      </c>
      <c r="S46">
        <f>HLOOKUP($S$4,Conversion!$C$4:$CC$47,$A46,)</f>
        <v>7.5340926933987427E-16</v>
      </c>
      <c r="T46">
        <f>HLOOKUP($T$4,Conversion!$C$4:$CC$47,$A46,)</f>
        <v>6.5044788255535391E-16</v>
      </c>
      <c r="U46">
        <f>HLOOKUP($U$4,Conversion!$C$4:$CC$47,$A46,)</f>
        <v>6.5044788255535391E-16</v>
      </c>
      <c r="V46">
        <f>HLOOKUP($V$4,Conversion!$C$4:$CC$47,$A46,)</f>
        <v>6.5044788255535391E-16</v>
      </c>
      <c r="W46">
        <f>HLOOKUP($W$4,Conversion!$C$4:$CC$47,$A46,)</f>
        <v>6.5044788255535391E-16</v>
      </c>
      <c r="X46">
        <f>HLOOKUP($X$4,Conversion!$C$4:$CC$47,$A46,)</f>
        <v>6.5044788255535391E-16</v>
      </c>
      <c r="Y46">
        <f>HLOOKUP($Y$4,Conversion!$C$4:$CC$47,$A46,)</f>
        <v>4.0955717504141703E-16</v>
      </c>
      <c r="Z46">
        <f>HLOOKUP($Z$4,Conversion!$C$4:$CC$47,$A46,)</f>
        <v>5.3457550178438071E-16</v>
      </c>
      <c r="AA46">
        <f>HLOOKUP($AA$4,Conversion!$C$4:$CC$47,$A46,)</f>
        <v>5.5391137179213737E-16</v>
      </c>
      <c r="AB46">
        <f>HLOOKUP($AB$4,Conversion!$C$4:$CC$47,$A46,)</f>
        <v>5.2395923349254516E-16</v>
      </c>
      <c r="AC46">
        <f>HLOOKUP($AC$4,Conversion!$C$4:$CC$47,$A46,)</f>
        <v>7.4018239068094946E-16</v>
      </c>
      <c r="AD46">
        <f>HLOOKUP($AD$4,Conversion!$C$4:$CC$47,$A46,)</f>
        <v>8.394768274656008E-16</v>
      </c>
      <c r="AE46">
        <f>HLOOKUP($AE$4,Conversion!$C$4:$CC$47,$A46,)</f>
        <v>8.9313342925052786E-16</v>
      </c>
      <c r="AF46">
        <f>HLOOKUP($AF$4,Conversion!$C$4:$CC$47,$A46,)</f>
        <v>8.9313342925052786E-16</v>
      </c>
      <c r="AG46">
        <f>HLOOKUP(AG$4,Conversion!$C$4:$CC$47,$A46,)</f>
        <v>5.3402518415271685E-16</v>
      </c>
      <c r="AH46">
        <f>HLOOKUP(AH$4,Conversion!$C$4:$CC$47,$A46,)</f>
        <v>5.7871542052451184E-16</v>
      </c>
      <c r="AI46">
        <f>HLOOKUP(AI$4,Conversion!$C$4:$CC$47,$A46,)</f>
        <v>5.7224207829167223E-16</v>
      </c>
      <c r="AJ46">
        <f>HLOOKUP(AJ$4,Conversion!$C$4:$CC$47,$A46,)</f>
        <v>5.78233022178253E-16</v>
      </c>
      <c r="AK46">
        <f>HLOOKUP(AK$4,Conversion!$C$4:$CC$47,$A46,)</f>
        <v>1.0095841528076145E-15</v>
      </c>
      <c r="AL46">
        <f>HLOOKUP(AL$4,Conversion!$C$4:$CC$47,$A46,)</f>
        <v>7.0853503912690342E-16</v>
      </c>
      <c r="AM46">
        <f>HLOOKUP(AM$4,Conversion!$C$4:$CC$47,$A46,)</f>
        <v>7.3565350428254717E-16</v>
      </c>
      <c r="AN46">
        <f>HLOOKUP(AN$4,Conversion!$C$4:$CC$47,$A46,)</f>
        <v>5.3876461480528463E-16</v>
      </c>
      <c r="AO46">
        <f>HLOOKUP(AO$4,Conversion!$C$4:$CC$47,$A46,)</f>
        <v>5.3876461480528463E-16</v>
      </c>
      <c r="AP46">
        <f>HLOOKUP(AP$4,Conversion!$C$4:$CC$47,$A46,)</f>
        <v>5.3876461480528463E-16</v>
      </c>
      <c r="AQ46">
        <f>HLOOKUP(AQ$4,Conversion!$C$4:$CC$47,$A46,)</f>
        <v>5.06209171361919E-16</v>
      </c>
      <c r="AR46">
        <f>HLOOKUP(AR$4,Conversion!$C$4:$CC$47,$A46,)</f>
        <v>5.06209171361919E-16</v>
      </c>
      <c r="AS46">
        <f>HLOOKUP(AS$4,Conversion!$C$4:$CC$47,$A46,)</f>
        <v>1.1721063928216769E-15</v>
      </c>
      <c r="AT46">
        <f>HLOOKUP(AT$4,Conversion!$C$4:$CC$47,$A46,)</f>
        <v>6.5008807263676061E-16</v>
      </c>
      <c r="AU46">
        <f>HLOOKUP(AU$4,Conversion!$C$4:$CC$47,$A46,)</f>
        <v>3.7485496747168626E-16</v>
      </c>
      <c r="AV46">
        <f>HLOOKUP(AV$4,Conversion!$C$4:$CC$47,$A46,)</f>
        <v>0</v>
      </c>
      <c r="AW46">
        <f>HLOOKUP(AW$4,Conversion!$C$4:$CC$47,$A46,)</f>
        <v>1.0389308582960288E-15</v>
      </c>
      <c r="AX46">
        <f>HLOOKUP(AX$4,Conversion!$C$4:$CC$47,$A46,)</f>
        <v>1.1251126444718073E-15</v>
      </c>
      <c r="AY46">
        <f>HLOOKUP(AY$4,Conversion!$C$4:$CC$47,$A46,)</f>
        <v>1.1251126444718073E-15</v>
      </c>
      <c r="AZ46">
        <f>HLOOKUP(AZ$4,Conversion!$C$4:$CC$47,$A46,)</f>
        <v>6.7504521322558535E-16</v>
      </c>
      <c r="BA46">
        <f>HLOOKUP(BA$4,Conversion!$C$4:$CC$47,$A46,)</f>
        <v>5.7789678289480198E-16</v>
      </c>
      <c r="BB46">
        <f>HLOOKUP(BB$4,Conversion!$C$4:$CC$47,$A46,)</f>
        <v>7.8110062469977176E-16</v>
      </c>
      <c r="BC46">
        <f>HLOOKUP(BC$4,Conversion!$C$4:$CC$47,$A46,)</f>
        <v>8.4271654579868049E-16</v>
      </c>
      <c r="BD46">
        <f>HLOOKUP(BD$4,Conversion!$C$4:$CC$47,$A46,)</f>
        <v>8.4271654579868049E-16</v>
      </c>
      <c r="BE46">
        <f>HLOOKUP(BE$4,Conversion!$C$4:$CC$47,$A46,)</f>
        <v>5.0780729352612518E-16</v>
      </c>
      <c r="BF46">
        <f>HLOOKUP(BF$4,Conversion!$C$4:$CC$47,$A46,)</f>
        <v>7.8691400469976267E-16</v>
      </c>
      <c r="BG46">
        <f>HLOOKUP(BG$4,Conversion!$C$4:$CC$47,$A46,)</f>
        <v>8.4194680159754863E-16</v>
      </c>
      <c r="BH46">
        <f>HLOOKUP(BH$4,Conversion!$C$4:$CC$47,$A46,)</f>
        <v>9.4407031981308544E-16</v>
      </c>
      <c r="BI46">
        <f>HLOOKUP(BI$4,Conversion!$C$4:$CC$47,$A46,)</f>
        <v>9.4407031981308544E-16</v>
      </c>
      <c r="BJ46">
        <f>HLOOKUP(BJ$4,Conversion!$C$4:$CC$47,$A46,)</f>
        <v>9.4407031981308544E-16</v>
      </c>
      <c r="BK46">
        <f>HLOOKUP(BK$4,Conversion!$C$4:$CC$47,$A46,)</f>
        <v>7.3374933092293804E-16</v>
      </c>
      <c r="BL46">
        <f>HLOOKUP(BL$4,Conversion!$C$4:$CC$47,$A46,)</f>
        <v>5.937660719126547E-16</v>
      </c>
      <c r="BM46">
        <f>HLOOKUP(BM$4,Conversion!$C$4:$CC$47,$A46,)</f>
        <v>6.6777211772319292E-16</v>
      </c>
      <c r="BN46">
        <f>HLOOKUP(BN$4,Conversion!$C$4:$CC$47,$A46,)</f>
        <v>6.6777211772319292E-16</v>
      </c>
      <c r="BO46">
        <f>HLOOKUP(BO$4,Conversion!$C$4:$CC$47,$A46,)</f>
        <v>4.4686372402806444E-16</v>
      </c>
      <c r="BP46">
        <f>HLOOKUP(BP$4,Conversion!$C$4:$CC$47,$A46,)</f>
        <v>4.4686372402806444E-16</v>
      </c>
      <c r="BQ46">
        <f>HLOOKUP(BQ$4,Conversion!$C$4:$CC$47,$A46,)</f>
        <v>0</v>
      </c>
      <c r="BR46">
        <f>HLOOKUP(BR$4,Conversion!$C$4:$CC$47,$A46,)</f>
        <v>6.3437131583167293E-16</v>
      </c>
      <c r="BS46">
        <f>HLOOKUP(BS$4,Conversion!$C$4:$CC$47,$A46,)</f>
        <v>5.9299789978763012E-16</v>
      </c>
      <c r="BT46">
        <f>HLOOKUP(BT$4,Conversion!$C$4:$CC$47,$A46,)</f>
        <v>4.7225430042961567E-16</v>
      </c>
      <c r="BU46">
        <f>HLOOKUP(BU$4,Conversion!$C$4:$CC$47,$A46,)</f>
        <v>5.977506532228917E-16</v>
      </c>
      <c r="BV46">
        <f>HLOOKUP(BV$4,Conversion!$C$4:$CC$47,$A46,)</f>
        <v>6.0186847032004505E-16</v>
      </c>
      <c r="BW46">
        <f>HLOOKUP(BW$4,Conversion!$C$4:$CC$47,$A46,)</f>
        <v>5.2566026158906316E-16</v>
      </c>
      <c r="BX46">
        <f>HLOOKUP(BX$4,Conversion!$C$4:$CC$47,$A46,)</f>
        <v>5.2566026158906316E-16</v>
      </c>
      <c r="BY46">
        <f>HLOOKUP(BY$4,Conversion!$C$4:$CC$47,$A46,)</f>
        <v>1.0462873346246418E-15</v>
      </c>
      <c r="BZ46">
        <f>HLOOKUP(BZ$4,Conversion!$C$4:$CC$47,$A46,)</f>
        <v>8.0943566256692192E-16</v>
      </c>
      <c r="CA46">
        <f>HLOOKUP(CA$4,Conversion!$C$4:$CC$47,$A46,)</f>
        <v>9.1112574789217259E-16</v>
      </c>
      <c r="CB46">
        <f>HLOOKUP(CB$4,Conversion!$C$4:$CC$47,$A46,)</f>
        <v>1.0135319490579091E-15</v>
      </c>
      <c r="CC46">
        <f>HLOOKUP(CC$4,Conversion!$C$4:$CC$47,$A46,)</f>
        <v>5.5782067362254753E-16</v>
      </c>
    </row>
    <row r="47" spans="1:81" x14ac:dyDescent="0.15">
      <c r="A47">
        <v>44</v>
      </c>
      <c r="B47" t="s">
        <v>19</v>
      </c>
      <c r="C47">
        <f>HLOOKUP($C$4,Conversion!$C$4:$CC$47,$A47,)</f>
        <v>7.3471381136066009E-16</v>
      </c>
      <c r="D47">
        <f>HLOOKUP($D$4,Conversion!$C$4:$CC$47,$A47,)</f>
        <v>7.2222805257985073E-16</v>
      </c>
      <c r="E47">
        <f>HLOOKUP($E$4,Conversion!$C$4:$CC$47,$A47,)</f>
        <v>7.0919122919881331E-16</v>
      </c>
      <c r="F47">
        <f>HLOOKUP($F$4,Conversion!$C$4:$CC$47,$A47,)</f>
        <v>7.9449912190099006E-16</v>
      </c>
      <c r="G47">
        <f>HLOOKUP($G$4,Conversion!$C$4:$CC$47,$A47,)</f>
        <v>1.6102458539753498E-16</v>
      </c>
      <c r="H47">
        <f>HLOOKUP($H$4,Conversion!$C$4:$CC$47,$A47,)</f>
        <v>3.9604707582688911E-16</v>
      </c>
      <c r="I47">
        <f>HLOOKUP($I$4,Conversion!$C$4:$CC$47,$A47,)</f>
        <v>7.2024021681110779E-16</v>
      </c>
      <c r="J47">
        <f>HLOOKUP($J$4,Conversion!$C$4:$CC$47,$A47,)</f>
        <v>7.2024021681110779E-16</v>
      </c>
      <c r="K47">
        <f>HLOOKUP($K$4,Conversion!$C$4:$CC$47,$A47,)</f>
        <v>7.2024021681110779E-16</v>
      </c>
      <c r="L47">
        <f>HLOOKUP($L$4,Conversion!$C$4:$CC$47,$A47,)</f>
        <v>7.0919122919881331E-16</v>
      </c>
      <c r="M47">
        <f>HLOOKUP($M$4,Conversion!$C$4:$CC$47,$A47,)</f>
        <v>7.0919122919881331E-16</v>
      </c>
      <c r="N47">
        <f>HLOOKUP($N$4,Conversion!$C$4:$CC$47,$A47,)</f>
        <v>7.0919122919881331E-16</v>
      </c>
      <c r="O47">
        <f>HLOOKUP($O$4,Conversion!$C$4:$CC$47,$A47,)</f>
        <v>8.7103552194612692E-16</v>
      </c>
      <c r="P47">
        <f>HLOOKUP($P$4,Conversion!$C$4:$CC$47,$A47,)</f>
        <v>1.036161792612855E-15</v>
      </c>
      <c r="Q47">
        <f>HLOOKUP($Q$4,Conversion!$C$4:$CC$47,$A47,)</f>
        <v>9.2391325319326621E-16</v>
      </c>
      <c r="R47">
        <f>HLOOKUP($R$4,Conversion!$C$4:$CC$47,$A47,)</f>
        <v>9.2391325319326621E-16</v>
      </c>
      <c r="S47">
        <f>HLOOKUP($S$4,Conversion!$C$4:$CC$47,$A47,)</f>
        <v>2.3161168283214863E-16</v>
      </c>
      <c r="T47">
        <f>HLOOKUP($T$4,Conversion!$C$4:$CC$47,$A47,)</f>
        <v>6.2364099110228336E-16</v>
      </c>
      <c r="U47">
        <f>HLOOKUP($U$4,Conversion!$C$4:$CC$47,$A47,)</f>
        <v>6.2364099110228336E-16</v>
      </c>
      <c r="V47">
        <f>HLOOKUP($V$4,Conversion!$C$4:$CC$47,$A47,)</f>
        <v>6.2364099110228336E-16</v>
      </c>
      <c r="W47">
        <f>HLOOKUP($W$4,Conversion!$C$4:$CC$47,$A47,)</f>
        <v>6.2364099110228336E-16</v>
      </c>
      <c r="X47">
        <f>HLOOKUP($X$4,Conversion!$C$4:$CC$47,$A47,)</f>
        <v>6.2364099110228336E-16</v>
      </c>
      <c r="Y47">
        <f>HLOOKUP($Y$4,Conversion!$C$4:$CC$47,$A47,)</f>
        <v>1.9728908850557656E-16</v>
      </c>
      <c r="Z47">
        <f>HLOOKUP($Z$4,Conversion!$C$4:$CC$47,$A47,)</f>
        <v>5.3945094977152098E-16</v>
      </c>
      <c r="AA47">
        <f>HLOOKUP($AA$4,Conversion!$C$4:$CC$47,$A47,)</f>
        <v>5.5306091837086318E-16</v>
      </c>
      <c r="AB47">
        <f>HLOOKUP($AB$4,Conversion!$C$4:$CC$47,$A47,)</f>
        <v>5.3200340467016783E-16</v>
      </c>
      <c r="AC47">
        <f>HLOOKUP($AC$4,Conversion!$C$4:$CC$47,$A47,)</f>
        <v>7.9898267575988874E-16</v>
      </c>
      <c r="AD47">
        <f>HLOOKUP($AD$4,Conversion!$C$4:$CC$47,$A47,)</f>
        <v>8.6676230878894881E-16</v>
      </c>
      <c r="AE47">
        <f>HLOOKUP($AE$4,Conversion!$C$4:$CC$47,$A47,)</f>
        <v>9.2215049967751141E-16</v>
      </c>
      <c r="AF47">
        <f>HLOOKUP($AF$4,Conversion!$C$4:$CC$47,$A47,)</f>
        <v>9.0551793487534592E-16</v>
      </c>
      <c r="AG47">
        <f>HLOOKUP(AG$4,Conversion!$C$4:$CC$47,$A47,)</f>
        <v>5.2388832158153913E-16</v>
      </c>
      <c r="AH47">
        <f>HLOOKUP(AH$4,Conversion!$C$4:$CC$47,$A47,)</f>
        <v>7.0961215142198757E-16</v>
      </c>
      <c r="AI47">
        <f>HLOOKUP(AI$4,Conversion!$C$4:$CC$47,$A47,)</f>
        <v>7.0298109038616993E-16</v>
      </c>
      <c r="AJ47">
        <f>HLOOKUP(AJ$4,Conversion!$C$4:$CC$47,$A47,)</f>
        <v>9.0168810367176079E-16</v>
      </c>
      <c r="AK47">
        <f>HLOOKUP(AK$4,Conversion!$C$4:$CC$47,$A47,)</f>
        <v>8.918732258656818E-16</v>
      </c>
      <c r="AL47">
        <f>HLOOKUP(AL$4,Conversion!$C$4:$CC$47,$A47,)</f>
        <v>7.4338445320685147E-16</v>
      </c>
      <c r="AM47">
        <f>HLOOKUP(AM$4,Conversion!$C$4:$CC$47,$A47,)</f>
        <v>3.391239153009377E-15</v>
      </c>
      <c r="AN47">
        <f>HLOOKUP(AN$4,Conversion!$C$4:$CC$47,$A47,)</f>
        <v>7.3519299794042437E-16</v>
      </c>
      <c r="AO47">
        <f>HLOOKUP(AO$4,Conversion!$C$4:$CC$47,$A47,)</f>
        <v>7.3519299794042437E-16</v>
      </c>
      <c r="AP47">
        <f>HLOOKUP(AP$4,Conversion!$C$4:$CC$47,$A47,)</f>
        <v>7.3519299794042437E-16</v>
      </c>
      <c r="AQ47">
        <f>HLOOKUP(AQ$4,Conversion!$C$4:$CC$47,$A47,)</f>
        <v>5.6111458158222436E-16</v>
      </c>
      <c r="AR47">
        <f>HLOOKUP(AR$4,Conversion!$C$4:$CC$47,$A47,)</f>
        <v>5.6111458158222436E-16</v>
      </c>
      <c r="AS47">
        <f>HLOOKUP(AS$4,Conversion!$C$4:$CC$47,$A47,)</f>
        <v>1.175157872280283E-15</v>
      </c>
      <c r="AT47">
        <f>HLOOKUP(AT$4,Conversion!$C$4:$CC$47,$A47,)</f>
        <v>5.8464269508441224E-16</v>
      </c>
      <c r="AU47">
        <f>HLOOKUP(AU$4,Conversion!$C$4:$CC$47,$A47,)</f>
        <v>2.911461888690614E-16</v>
      </c>
      <c r="AV47">
        <f>HLOOKUP(AV$4,Conversion!$C$4:$CC$47,$A47,)</f>
        <v>0</v>
      </c>
      <c r="AW47">
        <f>HLOOKUP(AW$4,Conversion!$C$4:$CC$47,$A47,)</f>
        <v>9.7279869625912593E-16</v>
      </c>
      <c r="AX47">
        <f>HLOOKUP(AX$4,Conversion!$C$4:$CC$47,$A47,)</f>
        <v>1.0881851355272548E-15</v>
      </c>
      <c r="AY47">
        <f>HLOOKUP(AY$4,Conversion!$C$4:$CC$47,$A47,)</f>
        <v>1.0881851355272548E-15</v>
      </c>
      <c r="AZ47">
        <f>HLOOKUP(AZ$4,Conversion!$C$4:$CC$47,$A47,)</f>
        <v>9.6140620524544704E-16</v>
      </c>
      <c r="BA47">
        <f>HLOOKUP(BA$4,Conversion!$C$4:$CC$47,$A47,)</f>
        <v>7.0804322893752286E-16</v>
      </c>
      <c r="BB47">
        <f>HLOOKUP(BB$4,Conversion!$C$4:$CC$47,$A47,)</f>
        <v>8.6357685370296772E-16</v>
      </c>
      <c r="BC47">
        <f>HLOOKUP(BC$4,Conversion!$C$4:$CC$47,$A47,)</f>
        <v>9.2377786123497771E-16</v>
      </c>
      <c r="BD47">
        <f>HLOOKUP(BD$4,Conversion!$C$4:$CC$47,$A47,)</f>
        <v>9.2377786123497771E-16</v>
      </c>
      <c r="BE47">
        <f>HLOOKUP(BE$4,Conversion!$C$4:$CC$47,$A47,)</f>
        <v>5.6295283792098419E-16</v>
      </c>
      <c r="BF47">
        <f>HLOOKUP(BF$4,Conversion!$C$4:$CC$47,$A47,)</f>
        <v>4.8892801206445925E-16</v>
      </c>
      <c r="BG47">
        <f>HLOOKUP(BG$4,Conversion!$C$4:$CC$47,$A47,)</f>
        <v>7.512928790698898E-16</v>
      </c>
      <c r="BH47">
        <f>HLOOKUP(BH$4,Conversion!$C$4:$CC$47,$A47,)</f>
        <v>8.2613301937053123E-16</v>
      </c>
      <c r="BI47">
        <f>HLOOKUP(BI$4,Conversion!$C$4:$CC$47,$A47,)</f>
        <v>8.2613301937053123E-16</v>
      </c>
      <c r="BJ47">
        <f>HLOOKUP(BJ$4,Conversion!$C$4:$CC$47,$A47,)</f>
        <v>8.2613301937053123E-16</v>
      </c>
      <c r="BK47">
        <f>HLOOKUP(BK$4,Conversion!$C$4:$CC$47,$A47,)</f>
        <v>6.3317498307722864E-16</v>
      </c>
      <c r="BL47">
        <f>HLOOKUP(BL$4,Conversion!$C$4:$CC$47,$A47,)</f>
        <v>5.0252229529649683E-16</v>
      </c>
      <c r="BM47">
        <f>HLOOKUP(BM$4,Conversion!$C$4:$CC$47,$A47,)</f>
        <v>5.4427990487537404E-16</v>
      </c>
      <c r="BN47">
        <f>HLOOKUP(BN$4,Conversion!$C$4:$CC$47,$A47,)</f>
        <v>5.4427990487537404E-16</v>
      </c>
      <c r="BO47">
        <f>HLOOKUP(BO$4,Conversion!$C$4:$CC$47,$A47,)</f>
        <v>3.8626177576226171E-16</v>
      </c>
      <c r="BP47">
        <f>HLOOKUP(BP$4,Conversion!$C$4:$CC$47,$A47,)</f>
        <v>3.8626177576226171E-16</v>
      </c>
      <c r="BQ47">
        <f>HLOOKUP(BQ$4,Conversion!$C$4:$CC$47,$A47,)</f>
        <v>0</v>
      </c>
      <c r="BR47">
        <f>HLOOKUP(BR$4,Conversion!$C$4:$CC$47,$A47,)</f>
        <v>6.7780824251124648E-16</v>
      </c>
      <c r="BS47">
        <f>HLOOKUP(BS$4,Conversion!$C$4:$CC$47,$A47,)</f>
        <v>9.1763419743698275E-16</v>
      </c>
      <c r="BT47">
        <f>HLOOKUP(BT$4,Conversion!$C$4:$CC$47,$A47,)</f>
        <v>5.2117635919459972E-16</v>
      </c>
      <c r="BU47">
        <f>HLOOKUP(BU$4,Conversion!$C$4:$CC$47,$A47,)</f>
        <v>6.8132684223068648E-16</v>
      </c>
      <c r="BV47">
        <f>HLOOKUP(BV$4,Conversion!$C$4:$CC$47,$A47,)</f>
        <v>8.2901059624939201E-16</v>
      </c>
      <c r="BW47">
        <f>HLOOKUP(BW$4,Conversion!$C$4:$CC$47,$A47,)</f>
        <v>6.949964658899981E-16</v>
      </c>
      <c r="BX47">
        <f>HLOOKUP(BX$4,Conversion!$C$4:$CC$47,$A47,)</f>
        <v>6.949964658899981E-16</v>
      </c>
      <c r="BY47">
        <f>HLOOKUP(BY$4,Conversion!$C$4:$CC$47,$A47,)</f>
        <v>1.0009440184339026E-15</v>
      </c>
      <c r="BZ47">
        <f>HLOOKUP(BZ$4,Conversion!$C$4:$CC$47,$A47,)</f>
        <v>8.8968667457796935E-16</v>
      </c>
      <c r="CA47">
        <f>HLOOKUP(CA$4,Conversion!$C$4:$CC$47,$A47,)</f>
        <v>9.6493436262135036E-16</v>
      </c>
      <c r="CB47">
        <f>HLOOKUP(CB$4,Conversion!$C$4:$CC$47,$A47,)</f>
        <v>1.0820158848156126E-15</v>
      </c>
      <c r="CC47">
        <f>HLOOKUP(CC$4,Conversion!$C$4:$CC$47,$A47,)</f>
        <v>7.9225011977741302E-16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25E11-89CA-47F6-9B00-5A3C05EDFB0C}">
  <sheetPr codeName="Sheet5"/>
  <dimension ref="B2:CC57"/>
  <sheetViews>
    <sheetView workbookViewId="0"/>
  </sheetViews>
  <sheetFormatPr defaultRowHeight="12" x14ac:dyDescent="0.15"/>
  <cols>
    <col min="2" max="2" width="11.85546875" bestFit="1" customWidth="1"/>
    <col min="3" max="7" width="8.7109375" customWidth="1"/>
    <col min="8" max="15" width="12.7109375" customWidth="1"/>
    <col min="16" max="81" width="8.7109375" customWidth="1"/>
  </cols>
  <sheetData>
    <row r="2" spans="2:81" x14ac:dyDescent="0.15">
      <c r="C2" t="s">
        <v>103</v>
      </c>
    </row>
    <row r="4" spans="2:81" x14ac:dyDescent="0.15">
      <c r="C4" t="str">
        <f>Sort_Alpha!C4</f>
        <v>Adipose</v>
      </c>
      <c r="D4" t="str">
        <f>Sort_Alpha!D4</f>
        <v>Adrenals</v>
      </c>
      <c r="E4" t="str">
        <f>Sort_Alpha!E4</f>
        <v>ALV</v>
      </c>
      <c r="F4" t="str">
        <f>Sort_Alpha!F4</f>
        <v>Blood</v>
      </c>
      <c r="G4" t="str">
        <f>Sort_Alpha!G4</f>
        <v>Brain</v>
      </c>
      <c r="H4" t="str">
        <f>Sort_Alpha!H4</f>
        <v>Breast</v>
      </c>
      <c r="I4" t="str">
        <f>Sort_Alpha!I4</f>
        <v>Bronchi</v>
      </c>
      <c r="J4" t="str">
        <f>Sort_Alpha!J4</f>
        <v>Bronchi-b</v>
      </c>
      <c r="K4" t="str">
        <f>Sort_Alpha!K4</f>
        <v>Bronchi-q</v>
      </c>
      <c r="L4" t="str">
        <f>Sort_Alpha!L4</f>
        <v>Brchiole</v>
      </c>
      <c r="M4" t="str">
        <f>Sort_Alpha!M4</f>
        <v>Brchiole-b</v>
      </c>
      <c r="N4" t="str">
        <f>Sort_Alpha!N4</f>
        <v>Brchiole-q</v>
      </c>
      <c r="O4" t="str">
        <f>Sort_Alpha!O4</f>
        <v>Cartilage</v>
      </c>
      <c r="P4" t="str">
        <f>Sort_Alpha!P4</f>
        <v>C-marrow</v>
      </c>
      <c r="Q4" t="str">
        <f>Sort_Alpha!Q4</f>
        <v>C-bone-S</v>
      </c>
      <c r="R4" t="str">
        <f>Sort_Alpha!R4</f>
        <v>C-bone-V</v>
      </c>
      <c r="S4" t="str">
        <f>Sort_Alpha!S4</f>
        <v>ET1-sur</v>
      </c>
      <c r="T4" t="str">
        <f>Sort_Alpha!T4</f>
        <v>ET1-wall</v>
      </c>
      <c r="U4" t="str">
        <f>Sort_Alpha!U4</f>
        <v>ET2-bnd</v>
      </c>
      <c r="V4" t="str">
        <f>Sort_Alpha!V4</f>
        <v>ET2-seq</v>
      </c>
      <c r="W4" t="str">
        <f>Sort_Alpha!W4</f>
        <v>ET2-sur</v>
      </c>
      <c r="X4" t="str">
        <f>Sort_Alpha!X4</f>
        <v>ET2-wall</v>
      </c>
      <c r="Y4" t="str">
        <f>Sort_Alpha!Y4</f>
        <v>Eye-lens</v>
      </c>
      <c r="Z4" t="str">
        <f>Sort_Alpha!Z4</f>
        <v>GB-cont</v>
      </c>
      <c r="AA4" t="str">
        <f>Sort_Alpha!AA4</f>
        <v>GB-wall</v>
      </c>
      <c r="AB4" t="str">
        <f>Sort_Alpha!AB4</f>
        <v>Ht-wall</v>
      </c>
      <c r="AC4" t="str">
        <f>Sort_Alpha!AC4</f>
        <v>Kidneys</v>
      </c>
      <c r="AD4" t="str">
        <f>Sort_Alpha!AD4</f>
        <v>LC-cont</v>
      </c>
      <c r="AE4" t="str">
        <f>Sort_Alpha!AE4</f>
        <v>LC-mucosa</v>
      </c>
      <c r="AF4" t="str">
        <f>Sort_Alpha!AF4</f>
        <v>LC-wall</v>
      </c>
      <c r="AG4" t="str">
        <f>Sort_Alpha!AG4</f>
        <v>Liver</v>
      </c>
      <c r="AH4" t="str">
        <f>Sort_Alpha!AH4</f>
        <v>Lung-Tis</v>
      </c>
      <c r="AI4" t="str">
        <f>Sort_Alpha!AI4</f>
        <v>Lungs</v>
      </c>
      <c r="AJ4" t="str">
        <f>Sort_Alpha!AJ4</f>
        <v>LN-ET</v>
      </c>
      <c r="AK4" t="str">
        <f>Sort_Alpha!AK4</f>
        <v>LN-Sys</v>
      </c>
      <c r="AL4" t="str">
        <f>Sort_Alpha!AL4</f>
        <v>LN-Th</v>
      </c>
      <c r="AM4" t="str">
        <f>Sort_Alpha!AM4</f>
        <v>Muscle</v>
      </c>
      <c r="AN4" t="str">
        <f>Sort_Alpha!AN4</f>
        <v>Oespphag-f</v>
      </c>
      <c r="AO4" t="str">
        <f>Sort_Alpha!AO4</f>
        <v>Oespphag-s</v>
      </c>
      <c r="AP4" t="str">
        <f>Sort_Alpha!AP4</f>
        <v>Oespphag-w</v>
      </c>
      <c r="AQ4" t="str">
        <f>Sort_Alpha!AQ4</f>
        <v>O-cavity</v>
      </c>
      <c r="AR4" t="str">
        <f>Sort_Alpha!AR4</f>
        <v>O-mucosa</v>
      </c>
      <c r="AS4" t="str">
        <f>Sort_Alpha!AS4</f>
        <v>Ovaries</v>
      </c>
      <c r="AT4" t="str">
        <f>Sort_Alpha!AT4</f>
        <v>Pancreas</v>
      </c>
      <c r="AU4" t="str">
        <f>Sort_Alpha!AU4</f>
        <v>P-gland</v>
      </c>
      <c r="AV4" t="str">
        <f>Sort_Alpha!AV4</f>
        <v>Prostate</v>
      </c>
      <c r="AW4" t="str">
        <f>Sort_Alpha!AW4</f>
        <v>RS-cont</v>
      </c>
      <c r="AX4" t="str">
        <f>Sort_Alpha!AX4</f>
        <v>RS-mucosa</v>
      </c>
      <c r="AY4" t="str">
        <f>Sort_Alpha!AY4</f>
        <v>RS-wall</v>
      </c>
      <c r="AZ4" t="str">
        <f>Sort_Alpha!AZ4</f>
        <v>R-marrow</v>
      </c>
      <c r="BA4" t="str">
        <f>Sort_Alpha!BA4</f>
        <v>RT-air</v>
      </c>
      <c r="BB4" t="str">
        <f>Sort_Alpha!BB4</f>
        <v>RC-cont</v>
      </c>
      <c r="BC4" t="str">
        <f>Sort_Alpha!BC4</f>
        <v>RC-mucosa</v>
      </c>
      <c r="BD4" t="str">
        <f>Sort_Alpha!BD4</f>
        <v>RC-wall</v>
      </c>
      <c r="BE4" t="str">
        <f>Sort_Alpha!BE4</f>
        <v>S-glands</v>
      </c>
      <c r="BF4" t="str">
        <f>Sort_Alpha!BF4</f>
        <v>Skin</v>
      </c>
      <c r="BG4" t="str">
        <f>Sort_Alpha!BG4</f>
        <v>SI-cont</v>
      </c>
      <c r="BH4" t="str">
        <f>Sort_Alpha!BH4</f>
        <v>SI-mucosa</v>
      </c>
      <c r="BI4" t="str">
        <f>Sort_Alpha!BI4</f>
        <v>SI-wall</v>
      </c>
      <c r="BJ4" t="str">
        <f>Sort_Alpha!BJ4</f>
        <v>SI-villi</v>
      </c>
      <c r="BK4" t="str">
        <f>Sort_Alpha!BK4</f>
        <v>Spleen</v>
      </c>
      <c r="BL4" t="str">
        <f>Sort_Alpha!BL4</f>
        <v>St-cont</v>
      </c>
      <c r="BM4" t="str">
        <f>Sort_Alpha!BM4</f>
        <v>St-mucosa</v>
      </c>
      <c r="BN4" t="str">
        <f>Sort_Alpha!BN4</f>
        <v>St-wall</v>
      </c>
      <c r="BO4" t="str">
        <f>Sort_Alpha!BO4</f>
        <v>Teeth-S</v>
      </c>
      <c r="BP4" t="str">
        <f>Sort_Alpha!BP4</f>
        <v>Teeth-V</v>
      </c>
      <c r="BQ4" t="str">
        <f>Sort_Alpha!BQ4</f>
        <v>Testes</v>
      </c>
      <c r="BR4" t="str">
        <f>Sort_Alpha!BR4</f>
        <v>Thymus</v>
      </c>
      <c r="BS4" t="str">
        <f>Sort_Alpha!BS4</f>
        <v>Thyroid</v>
      </c>
      <c r="BT4" t="str">
        <f>Sort_Alpha!BT4</f>
        <v>Tongue</v>
      </c>
      <c r="BU4" t="str">
        <f>Sort_Alpha!BU4</f>
        <v>Tonsils</v>
      </c>
      <c r="BV4" t="str">
        <f>Sort_Alpha!BV4</f>
        <v>T-marrow</v>
      </c>
      <c r="BW4" t="str">
        <f>Sort_Alpha!BW4</f>
        <v>T-bone-S</v>
      </c>
      <c r="BX4" t="str">
        <f>Sort_Alpha!BX4</f>
        <v>T-bone-V</v>
      </c>
      <c r="BY4" t="str">
        <f>Sort_Alpha!BY4</f>
        <v>Ureters</v>
      </c>
      <c r="BZ4" t="str">
        <f>Sort_Alpha!BZ4</f>
        <v>UB-cont</v>
      </c>
      <c r="CA4" t="str">
        <f>Sort_Alpha!CA4</f>
        <v>UB-wall</v>
      </c>
      <c r="CB4" t="str">
        <f>Sort_Alpha!CB4</f>
        <v>Uterus</v>
      </c>
      <c r="CC4" t="str">
        <f>Sort_Alpha!CC4</f>
        <v>Y-marrow</v>
      </c>
    </row>
    <row r="5" spans="2:81" x14ac:dyDescent="0.15">
      <c r="B5" t="s">
        <v>48</v>
      </c>
      <c r="C5" s="1">
        <f>_xlfn.XLOOKUP($B5,Sort_Alpha!$B$5:$B$47,Sort_Alpha!C$5:C$47,"",0)</f>
        <v>2.6749961303761456E-15</v>
      </c>
      <c r="D5" s="1">
        <f>_xlfn.XLOOKUP($B5,Sort_Alpha!$B$5:$B$47,Sort_Alpha!D$5:D$47,"",0)</f>
        <v>6.5645888506395682E-16</v>
      </c>
      <c r="E5" s="1">
        <f>_xlfn.XLOOKUP($B5,Sort_Alpha!$B$5:$B$47,Sort_Alpha!E$5:E$47,"",0)</f>
        <v>5.7706251674962781E-16</v>
      </c>
      <c r="F5" s="1">
        <f>_xlfn.XLOOKUP($B5,Sort_Alpha!$B$5:$B$47,Sort_Alpha!F$5:F$47,"",0)</f>
        <v>5.6223025484113576E-16</v>
      </c>
      <c r="G5" s="1">
        <f>_xlfn.XLOOKUP($B5,Sort_Alpha!$B$5:$B$47,Sort_Alpha!G$5:G$47,"",0)</f>
        <v>2.2892905436264287E-16</v>
      </c>
      <c r="H5" s="1">
        <f>_xlfn.XLOOKUP($B5,Sort_Alpha!$B$5:$B$47,Sort_Alpha!H$5:H$47,"",0)</f>
        <v>1.6132158713006375E-15</v>
      </c>
      <c r="I5" s="1">
        <f>_xlfn.XLOOKUP($B5,Sort_Alpha!$B$5:$B$47,Sort_Alpha!I$5:I$47,"",0)</f>
        <v>6.2662382006002582E-16</v>
      </c>
      <c r="J5" s="1">
        <f>_xlfn.XLOOKUP($B5,Sort_Alpha!$B$5:$B$47,Sort_Alpha!J$5:J$47,"",0)</f>
        <v>6.2662382006002582E-16</v>
      </c>
      <c r="K5" s="1">
        <f>_xlfn.XLOOKUP($B5,Sort_Alpha!$B$5:$B$47,Sort_Alpha!K$5:K$47,"",0)</f>
        <v>6.2662382006002582E-16</v>
      </c>
      <c r="L5" s="1">
        <f>_xlfn.XLOOKUP($B5,Sort_Alpha!$B$5:$B$47,Sort_Alpha!L$5:L$47,"",0)</f>
        <v>5.7706251674962781E-16</v>
      </c>
      <c r="M5" s="1">
        <f>_xlfn.XLOOKUP($B5,Sort_Alpha!$B$5:$B$47,Sort_Alpha!M$5:M$47,"",0)</f>
        <v>5.7706251674962781E-16</v>
      </c>
      <c r="N5" s="1">
        <f>_xlfn.XLOOKUP($B5,Sort_Alpha!$B$5:$B$47,Sort_Alpha!N$5:N$47,"",0)</f>
        <v>5.7706251674962781E-16</v>
      </c>
      <c r="O5" s="1">
        <f>_xlfn.XLOOKUP($B5,Sort_Alpha!$B$5:$B$47,Sort_Alpha!O$5:O$47,"",0)</f>
        <v>6.1407644951672286E-16</v>
      </c>
      <c r="P5" s="1">
        <f>_xlfn.XLOOKUP($B5,Sort_Alpha!$B$5:$B$47,Sort_Alpha!P$5:P$47,"",0)</f>
        <v>5.4778864105919034E-16</v>
      </c>
      <c r="Q5" s="1">
        <f>_xlfn.XLOOKUP($B5,Sort_Alpha!$B$5:$B$47,Sort_Alpha!Q$5:Q$47,"",0)</f>
        <v>5.6128293486391714E-16</v>
      </c>
      <c r="R5" s="1">
        <f>_xlfn.XLOOKUP($B5,Sort_Alpha!$B$5:$B$47,Sort_Alpha!R$5:R$47,"",0)</f>
        <v>5.6128293486391714E-16</v>
      </c>
      <c r="S5" s="1">
        <f>_xlfn.XLOOKUP($B5,Sort_Alpha!$B$5:$B$47,Sort_Alpha!S$5:S$47,"",0)</f>
        <v>7.5340926933987427E-16</v>
      </c>
      <c r="T5" s="1">
        <f>_xlfn.XLOOKUP($B5,Sort_Alpha!$B$5:$B$47,Sort_Alpha!T$5:T$47,"",0)</f>
        <v>6.5044788255535391E-16</v>
      </c>
      <c r="U5" s="1">
        <f>_xlfn.XLOOKUP($B5,Sort_Alpha!$B$5:$B$47,Sort_Alpha!U$5:U$47,"",0)</f>
        <v>6.5044788255535391E-16</v>
      </c>
      <c r="V5" s="1">
        <f>_xlfn.XLOOKUP($B5,Sort_Alpha!$B$5:$B$47,Sort_Alpha!V$5:V$47,"",0)</f>
        <v>6.5044788255535391E-16</v>
      </c>
      <c r="W5" s="1">
        <f>_xlfn.XLOOKUP($B5,Sort_Alpha!$B$5:$B$47,Sort_Alpha!W$5:W$47,"",0)</f>
        <v>6.5044788255535391E-16</v>
      </c>
      <c r="X5" s="1">
        <f>_xlfn.XLOOKUP($B5,Sort_Alpha!$B$5:$B$47,Sort_Alpha!X$5:X$47,"",0)</f>
        <v>6.5044788255535391E-16</v>
      </c>
      <c r="Y5" s="1">
        <f>_xlfn.XLOOKUP($B5,Sort_Alpha!$B$5:$B$47,Sort_Alpha!Y$5:Y$47,"",0)</f>
        <v>4.0955717504141703E-16</v>
      </c>
      <c r="Z5" s="1">
        <f>_xlfn.XLOOKUP($B5,Sort_Alpha!$B$5:$B$47,Sort_Alpha!Z$5:Z$47,"",0)</f>
        <v>5.3457550178438071E-16</v>
      </c>
      <c r="AA5" s="1">
        <f>_xlfn.XLOOKUP($B5,Sort_Alpha!$B$5:$B$47,Sort_Alpha!AA$5:AA$47,"",0)</f>
        <v>5.5391137179213737E-16</v>
      </c>
      <c r="AB5" s="1">
        <f>_xlfn.XLOOKUP($B5,Sort_Alpha!$B$5:$B$47,Sort_Alpha!AB$5:AB$47,"",0)</f>
        <v>5.2395923349254516E-16</v>
      </c>
      <c r="AC5" s="1">
        <f>_xlfn.XLOOKUP($B5,Sort_Alpha!$B$5:$B$47,Sort_Alpha!AC$5:AC$47,"",0)</f>
        <v>7.4018239068094946E-16</v>
      </c>
      <c r="AD5" s="1">
        <f>_xlfn.XLOOKUP($B5,Sort_Alpha!$B$5:$B$47,Sort_Alpha!AD$5:AD$47,"",0)</f>
        <v>8.394768274656008E-16</v>
      </c>
      <c r="AE5" s="1">
        <f>_xlfn.XLOOKUP($B5,Sort_Alpha!$B$5:$B$47,Sort_Alpha!AE$5:AE$47,"",0)</f>
        <v>8.9313342925052786E-16</v>
      </c>
      <c r="AF5" s="1">
        <f>_xlfn.XLOOKUP($B5,Sort_Alpha!$B$5:$B$47,Sort_Alpha!AF$5:AF$47,"",0)</f>
        <v>8.9313342925052786E-16</v>
      </c>
      <c r="AG5" s="1">
        <f>_xlfn.XLOOKUP($B5,Sort_Alpha!$B$5:$B$47,Sort_Alpha!AG$5:AG$47,"",0)</f>
        <v>5.3402518415271685E-16</v>
      </c>
      <c r="AH5" s="1">
        <f>_xlfn.XLOOKUP($B5,Sort_Alpha!$B$5:$B$47,Sort_Alpha!AH$5:AH$47,"",0)</f>
        <v>5.7871542052451184E-16</v>
      </c>
      <c r="AI5" s="1">
        <f>_xlfn.XLOOKUP($B5,Sort_Alpha!$B$5:$B$47,Sort_Alpha!AI$5:AI$47,"",0)</f>
        <v>5.7224207829167223E-16</v>
      </c>
      <c r="AJ5" s="1">
        <f>_xlfn.XLOOKUP($B5,Sort_Alpha!$B$5:$B$47,Sort_Alpha!AJ$5:AJ$47,"",0)</f>
        <v>5.78233022178253E-16</v>
      </c>
      <c r="AK5" s="1">
        <f>_xlfn.XLOOKUP($B5,Sort_Alpha!$B$5:$B$47,Sort_Alpha!AK$5:AK$47,"",0)</f>
        <v>1.0095841528076145E-15</v>
      </c>
      <c r="AL5" s="1">
        <f>_xlfn.XLOOKUP($B5,Sort_Alpha!$B$5:$B$47,Sort_Alpha!AL$5:AL$47,"",0)</f>
        <v>7.0853503912690342E-16</v>
      </c>
      <c r="AM5" s="1">
        <f>_xlfn.XLOOKUP($B5,Sort_Alpha!$B$5:$B$47,Sort_Alpha!AM$5:AM$47,"",0)</f>
        <v>7.3565350428254717E-16</v>
      </c>
      <c r="AN5" s="1">
        <f>_xlfn.XLOOKUP($B5,Sort_Alpha!$B$5:$B$47,Sort_Alpha!AN$5:AN$47,"",0)</f>
        <v>5.3876461480528463E-16</v>
      </c>
      <c r="AO5" s="1">
        <f>_xlfn.XLOOKUP($B5,Sort_Alpha!$B$5:$B$47,Sort_Alpha!AO$5:AO$47,"",0)</f>
        <v>5.3876461480528463E-16</v>
      </c>
      <c r="AP5" s="1">
        <f>_xlfn.XLOOKUP($B5,Sort_Alpha!$B$5:$B$47,Sort_Alpha!AP$5:AP$47,"",0)</f>
        <v>5.3876461480528463E-16</v>
      </c>
      <c r="AQ5" s="1">
        <f>_xlfn.XLOOKUP($B5,Sort_Alpha!$B$5:$B$47,Sort_Alpha!AQ$5:AQ$47,"",0)</f>
        <v>5.06209171361919E-16</v>
      </c>
      <c r="AR5" s="1">
        <f>_xlfn.XLOOKUP($B5,Sort_Alpha!$B$5:$B$47,Sort_Alpha!AR$5:AR$47,"",0)</f>
        <v>5.06209171361919E-16</v>
      </c>
      <c r="AS5" s="1">
        <f>_xlfn.XLOOKUP($B5,Sort_Alpha!$B$5:$B$47,Sort_Alpha!AS$5:AS$47,"",0)</f>
        <v>1.1721063928216769E-15</v>
      </c>
      <c r="AT5" s="1">
        <f>_xlfn.XLOOKUP($B5,Sort_Alpha!$B$5:$B$47,Sort_Alpha!AT$5:AT$47,"",0)</f>
        <v>6.5008807263676061E-16</v>
      </c>
      <c r="AU5" s="1">
        <f>_xlfn.XLOOKUP($B5,Sort_Alpha!$B$5:$B$47,Sort_Alpha!AU$5:AU$47,"",0)</f>
        <v>3.7485496747168626E-16</v>
      </c>
      <c r="AV5" s="1">
        <f>_xlfn.XLOOKUP($B5,Sort_Alpha!$B$5:$B$47,Sort_Alpha!AV$5:AV$47,"",0)</f>
        <v>0</v>
      </c>
      <c r="AW5" s="1">
        <f>_xlfn.XLOOKUP($B5,Sort_Alpha!$B$5:$B$47,Sort_Alpha!AW$5:AW$47,"",0)</f>
        <v>1.0389308582960288E-15</v>
      </c>
      <c r="AX5" s="1">
        <f>_xlfn.XLOOKUP($B5,Sort_Alpha!$B$5:$B$47,Sort_Alpha!AX$5:AX$47,"",0)</f>
        <v>1.1251126444718073E-15</v>
      </c>
      <c r="AY5" s="1">
        <f>_xlfn.XLOOKUP($B5,Sort_Alpha!$B$5:$B$47,Sort_Alpha!AY$5:AY$47,"",0)</f>
        <v>1.1251126444718073E-15</v>
      </c>
      <c r="AZ5" s="1">
        <f>_xlfn.XLOOKUP($B5,Sort_Alpha!$B$5:$B$47,Sort_Alpha!AZ$5:AZ$47,"",0)</f>
        <v>6.7504521322558535E-16</v>
      </c>
      <c r="BA5" s="1">
        <f>_xlfn.XLOOKUP($B5,Sort_Alpha!$B$5:$B$47,Sort_Alpha!BA$5:BA$47,"",0)</f>
        <v>5.7789678289480198E-16</v>
      </c>
      <c r="BB5" s="1">
        <f>_xlfn.XLOOKUP($B5,Sort_Alpha!$B$5:$B$47,Sort_Alpha!BB$5:BB$47,"",0)</f>
        <v>7.8110062469977176E-16</v>
      </c>
      <c r="BC5" s="1">
        <f>_xlfn.XLOOKUP($B5,Sort_Alpha!$B$5:$B$47,Sort_Alpha!BC$5:BC$47,"",0)</f>
        <v>8.4271654579868049E-16</v>
      </c>
      <c r="BD5" s="1">
        <f>_xlfn.XLOOKUP($B5,Sort_Alpha!$B$5:$B$47,Sort_Alpha!BD$5:BD$47,"",0)</f>
        <v>8.4271654579868049E-16</v>
      </c>
      <c r="BE5" s="1">
        <f>_xlfn.XLOOKUP($B5,Sort_Alpha!$B$5:$B$47,Sort_Alpha!BE$5:BE$47,"",0)</f>
        <v>5.0780729352612518E-16</v>
      </c>
      <c r="BF5" s="1">
        <f>_xlfn.XLOOKUP($B5,Sort_Alpha!$B$5:$B$47,Sort_Alpha!BF$5:BF$47,"",0)</f>
        <v>7.8691400469976267E-16</v>
      </c>
      <c r="BG5" s="1">
        <f>_xlfn.XLOOKUP($B5,Sort_Alpha!$B$5:$B$47,Sort_Alpha!BG$5:BG$47,"",0)</f>
        <v>8.4194680159754863E-16</v>
      </c>
      <c r="BH5" s="1">
        <f>_xlfn.XLOOKUP($B5,Sort_Alpha!$B$5:$B$47,Sort_Alpha!BH$5:BH$47,"",0)</f>
        <v>9.4407031981308544E-16</v>
      </c>
      <c r="BI5" s="1">
        <f>_xlfn.XLOOKUP($B5,Sort_Alpha!$B$5:$B$47,Sort_Alpha!BI$5:BI$47,"",0)</f>
        <v>9.4407031981308544E-16</v>
      </c>
      <c r="BJ5" s="1">
        <f>_xlfn.XLOOKUP($B5,Sort_Alpha!$B$5:$B$47,Sort_Alpha!BJ$5:BJ$47,"",0)</f>
        <v>9.4407031981308544E-16</v>
      </c>
      <c r="BK5" s="1">
        <f>_xlfn.XLOOKUP($B5,Sort_Alpha!$B$5:$B$47,Sort_Alpha!BK$5:BK$47,"",0)</f>
        <v>7.3374933092293804E-16</v>
      </c>
      <c r="BL5" s="1">
        <f>_xlfn.XLOOKUP($B5,Sort_Alpha!$B$5:$B$47,Sort_Alpha!BL$5:BL$47,"",0)</f>
        <v>5.937660719126547E-16</v>
      </c>
      <c r="BM5" s="1">
        <f>_xlfn.XLOOKUP($B5,Sort_Alpha!$B$5:$B$47,Sort_Alpha!BM$5:BM$47,"",0)</f>
        <v>6.6777211772319292E-16</v>
      </c>
      <c r="BN5" s="1">
        <f>_xlfn.XLOOKUP($B5,Sort_Alpha!$B$5:$B$47,Sort_Alpha!BN$5:BN$47,"",0)</f>
        <v>6.6777211772319292E-16</v>
      </c>
      <c r="BO5" s="1">
        <f>_xlfn.XLOOKUP($B5,Sort_Alpha!$B$5:$B$47,Sort_Alpha!BO$5:BO$47,"",0)</f>
        <v>4.4686372402806444E-16</v>
      </c>
      <c r="BP5" s="1">
        <f>_xlfn.XLOOKUP($B5,Sort_Alpha!$B$5:$B$47,Sort_Alpha!BP$5:BP$47,"",0)</f>
        <v>4.4686372402806444E-16</v>
      </c>
      <c r="BQ5" s="1">
        <f>_xlfn.XLOOKUP($B5,Sort_Alpha!$B$5:$B$47,Sort_Alpha!BQ$5:BQ$47,"",0)</f>
        <v>0</v>
      </c>
      <c r="BR5" s="1">
        <f>_xlfn.XLOOKUP($B5,Sort_Alpha!$B$5:$B$47,Sort_Alpha!BR$5:BR$47,"",0)</f>
        <v>6.3437131583167293E-16</v>
      </c>
      <c r="BS5" s="1">
        <f>_xlfn.XLOOKUP($B5,Sort_Alpha!$B$5:$B$47,Sort_Alpha!BS$5:BS$47,"",0)</f>
        <v>5.9299789978763012E-16</v>
      </c>
      <c r="BT5" s="1">
        <f>_xlfn.XLOOKUP($B5,Sort_Alpha!$B$5:$B$47,Sort_Alpha!BT$5:BT$47,"",0)</f>
        <v>4.7225430042961567E-16</v>
      </c>
      <c r="BU5" s="1">
        <f>_xlfn.XLOOKUP($B5,Sort_Alpha!$B$5:$B$47,Sort_Alpha!BU$5:BU$47,"",0)</f>
        <v>5.977506532228917E-16</v>
      </c>
      <c r="BV5" s="1">
        <f>_xlfn.XLOOKUP($B5,Sort_Alpha!$B$5:$B$47,Sort_Alpha!BV$5:BV$47,"",0)</f>
        <v>6.0186847032004505E-16</v>
      </c>
      <c r="BW5" s="1">
        <f>_xlfn.XLOOKUP($B5,Sort_Alpha!$B$5:$B$47,Sort_Alpha!BW$5:BW$47,"",0)</f>
        <v>5.2566026158906316E-16</v>
      </c>
      <c r="BX5" s="1">
        <f>_xlfn.XLOOKUP($B5,Sort_Alpha!$B$5:$B$47,Sort_Alpha!BX$5:BX$47,"",0)</f>
        <v>5.2566026158906316E-16</v>
      </c>
      <c r="BY5" s="1">
        <f>_xlfn.XLOOKUP($B5,Sort_Alpha!$B$5:$B$47,Sort_Alpha!BY$5:BY$47,"",0)</f>
        <v>1.0462873346246418E-15</v>
      </c>
      <c r="BZ5" s="1">
        <f>_xlfn.XLOOKUP($B5,Sort_Alpha!$B$5:$B$47,Sort_Alpha!BZ$5:BZ$47,"",0)</f>
        <v>8.0943566256692192E-16</v>
      </c>
      <c r="CA5" s="1">
        <f>_xlfn.XLOOKUP($B5,Sort_Alpha!$B$5:$B$47,Sort_Alpha!CA$5:CA$47,"",0)</f>
        <v>9.1112574789217259E-16</v>
      </c>
      <c r="CB5" s="1">
        <f>_xlfn.XLOOKUP($B5,Sort_Alpha!$B$5:$B$47,Sort_Alpha!CB$5:CB$47,"",0)</f>
        <v>1.0135319490579091E-15</v>
      </c>
      <c r="CC5" s="1">
        <f>_xlfn.XLOOKUP($B5,Sort_Alpha!$B$5:$B$47,Sort_Alpha!CC$5:CC$47,"",0)</f>
        <v>5.5782067362254753E-16</v>
      </c>
    </row>
    <row r="6" spans="2:81" x14ac:dyDescent="0.15">
      <c r="B6" t="s">
        <v>0</v>
      </c>
      <c r="C6" s="1">
        <f>_xlfn.XLOOKUP($B6,Sort_Alpha!$B$5:$B$47,Sort_Alpha!C$5:C$47,"",0)</f>
        <v>6.5640981864935938E-16</v>
      </c>
      <c r="D6" s="1">
        <f>_xlfn.XLOOKUP($B6,Sort_Alpha!$B$5:$B$47,Sort_Alpha!D$5:D$47,"",0)</f>
        <v>2.6128112264075738E-12</v>
      </c>
      <c r="E6" s="1">
        <f>_xlfn.XLOOKUP($B6,Sort_Alpha!$B$5:$B$47,Sort_Alpha!E$5:E$47,"",0)</f>
        <v>1.5258901771390944E-15</v>
      </c>
      <c r="F6" s="1">
        <f>_xlfn.XLOOKUP($B6,Sort_Alpha!$B$5:$B$47,Sort_Alpha!F$5:F$47,"",0)</f>
        <v>3.8119683785281463E-15</v>
      </c>
      <c r="G6" s="1">
        <f>_xlfn.XLOOKUP($B6,Sort_Alpha!$B$5:$B$47,Sort_Alpha!G$5:G$47,"",0)</f>
        <v>3.3853425433432393E-17</v>
      </c>
      <c r="H6" s="1">
        <f>_xlfn.XLOOKUP($B6,Sort_Alpha!$B$5:$B$47,Sort_Alpha!H$5:H$47,"",0)</f>
        <v>8.3958634660814923E-16</v>
      </c>
      <c r="I6" s="1">
        <f>_xlfn.XLOOKUP($B6,Sort_Alpha!$B$5:$B$47,Sort_Alpha!I$5:I$47,"",0)</f>
        <v>8.3594410850890052E-16</v>
      </c>
      <c r="J6" s="1">
        <f>_xlfn.XLOOKUP($B6,Sort_Alpha!$B$5:$B$47,Sort_Alpha!J$5:J$47,"",0)</f>
        <v>8.3594410850890052E-16</v>
      </c>
      <c r="K6" s="1">
        <f>_xlfn.XLOOKUP($B6,Sort_Alpha!$B$5:$B$47,Sort_Alpha!K$5:K$47,"",0)</f>
        <v>8.3594410850890052E-16</v>
      </c>
      <c r="L6" s="1">
        <f>_xlfn.XLOOKUP($B6,Sort_Alpha!$B$5:$B$47,Sort_Alpha!L$5:L$47,"",0)</f>
        <v>1.5258901771390944E-15</v>
      </c>
      <c r="M6" s="1">
        <f>_xlfn.XLOOKUP($B6,Sort_Alpha!$B$5:$B$47,Sort_Alpha!M$5:M$47,"",0)</f>
        <v>1.5258901771390944E-15</v>
      </c>
      <c r="N6" s="1">
        <f>_xlfn.XLOOKUP($B6,Sort_Alpha!$B$5:$B$47,Sort_Alpha!N$5:N$47,"",0)</f>
        <v>1.5258901771390944E-15</v>
      </c>
      <c r="O6" s="1">
        <f>_xlfn.XLOOKUP($B6,Sort_Alpha!$B$5:$B$47,Sort_Alpha!O$5:O$47,"",0)</f>
        <v>1.4757875336043214E-15</v>
      </c>
      <c r="P6" s="1">
        <f>_xlfn.XLOOKUP($B6,Sort_Alpha!$B$5:$B$47,Sort_Alpha!P$5:P$47,"",0)</f>
        <v>1.2959391254235782E-16</v>
      </c>
      <c r="Q6" s="1">
        <f>_xlfn.XLOOKUP($B6,Sort_Alpha!$B$5:$B$47,Sort_Alpha!Q$5:Q$47,"",0)</f>
        <v>1.1091189624530965E-15</v>
      </c>
      <c r="R6" s="1">
        <f>_xlfn.XLOOKUP($B6,Sort_Alpha!$B$5:$B$47,Sort_Alpha!R$5:R$47,"",0)</f>
        <v>1.1091189624530965E-15</v>
      </c>
      <c r="S6" s="1">
        <f>_xlfn.XLOOKUP($B6,Sort_Alpha!$B$5:$B$47,Sort_Alpha!S$5:S$47,"",0)</f>
        <v>8.4857337815112841E-17</v>
      </c>
      <c r="T6" s="1">
        <f>_xlfn.XLOOKUP($B6,Sort_Alpha!$B$5:$B$47,Sort_Alpha!T$5:T$47,"",0)</f>
        <v>9.4935767454896637E-17</v>
      </c>
      <c r="U6" s="1">
        <f>_xlfn.XLOOKUP($B6,Sort_Alpha!$B$5:$B$47,Sort_Alpha!U$5:U$47,"",0)</f>
        <v>9.4935767454896637E-17</v>
      </c>
      <c r="V6" s="1">
        <f>_xlfn.XLOOKUP($B6,Sort_Alpha!$B$5:$B$47,Sort_Alpha!V$5:V$47,"",0)</f>
        <v>9.4935767454896637E-17</v>
      </c>
      <c r="W6" s="1">
        <f>_xlfn.XLOOKUP($B6,Sort_Alpha!$B$5:$B$47,Sort_Alpha!W$5:W$47,"",0)</f>
        <v>9.4935767454896637E-17</v>
      </c>
      <c r="X6" s="1">
        <f>_xlfn.XLOOKUP($B6,Sort_Alpha!$B$5:$B$47,Sort_Alpha!X$5:X$47,"",0)</f>
        <v>9.4935767454896637E-17</v>
      </c>
      <c r="Y6" s="1">
        <f>_xlfn.XLOOKUP($B6,Sort_Alpha!$B$5:$B$47,Sort_Alpha!Y$5:Y$47,"",0)</f>
        <v>6.5068993154691429E-17</v>
      </c>
      <c r="Z6" s="1">
        <f>_xlfn.XLOOKUP($B6,Sort_Alpha!$B$5:$B$47,Sort_Alpha!Z$5:Z$47,"",0)</f>
        <v>1.8687331538650863E-14</v>
      </c>
      <c r="AA6" s="1">
        <f>_xlfn.XLOOKUP($B6,Sort_Alpha!$B$5:$B$47,Sort_Alpha!AA$5:AA$47,"",0)</f>
        <v>2.2917158078965055E-14</v>
      </c>
      <c r="AB6" s="1">
        <f>_xlfn.XLOOKUP($B6,Sort_Alpha!$B$5:$B$47,Sort_Alpha!AB$5:AB$47,"",0)</f>
        <v>2.026035292073775E-15</v>
      </c>
      <c r="AC6" s="1">
        <f>_xlfn.XLOOKUP($B6,Sort_Alpha!$B$5:$B$47,Sort_Alpha!AC$5:AC$47,"",0)</f>
        <v>1.5474550985707993E-14</v>
      </c>
      <c r="AD6" s="1">
        <f>_xlfn.XLOOKUP($B6,Sort_Alpha!$B$5:$B$47,Sort_Alpha!AD$5:AD$47,"",0)</f>
        <v>7.1746783785013265E-16</v>
      </c>
      <c r="AE6" s="1">
        <f>_xlfn.XLOOKUP($B6,Sort_Alpha!$B$5:$B$47,Sort_Alpha!AE$5:AE$47,"",0)</f>
        <v>7.0625831125923024E-16</v>
      </c>
      <c r="AF6" s="1">
        <f>_xlfn.XLOOKUP($B6,Sort_Alpha!$B$5:$B$47,Sort_Alpha!AF$5:AF$47,"",0)</f>
        <v>7.0625831125923024E-16</v>
      </c>
      <c r="AG6" s="1">
        <f>_xlfn.XLOOKUP($B6,Sort_Alpha!$B$5:$B$47,Sort_Alpha!AG$5:AG$47,"",0)</f>
        <v>9.0610191001567159E-15</v>
      </c>
      <c r="AH6" s="1">
        <f>_xlfn.XLOOKUP($B6,Sort_Alpha!$B$5:$B$47,Sort_Alpha!AH$5:AH$47,"",0)</f>
        <v>1.502814329841342E-15</v>
      </c>
      <c r="AI6" s="1">
        <f>_xlfn.XLOOKUP($B6,Sort_Alpha!$B$5:$B$47,Sort_Alpha!AI$5:AI$47,"",0)</f>
        <v>1.6020086568207079E-15</v>
      </c>
      <c r="AJ6" s="1">
        <f>_xlfn.XLOOKUP($B6,Sort_Alpha!$B$5:$B$47,Sort_Alpha!AJ$5:AJ$47,"",0)</f>
        <v>1.3401071939490646E-16</v>
      </c>
      <c r="AK6" s="1">
        <f>_xlfn.XLOOKUP($B6,Sort_Alpha!$B$5:$B$47,Sort_Alpha!AK$5:AK$47,"",0)</f>
        <v>4.1320730944001418E-15</v>
      </c>
      <c r="AL6" s="1">
        <f>_xlfn.XLOOKUP($B6,Sort_Alpha!$B$5:$B$47,Sort_Alpha!AL$5:AL$47,"",0)</f>
        <v>7.1172024600383774E-16</v>
      </c>
      <c r="AM6" s="1">
        <f>_xlfn.XLOOKUP($B6,Sort_Alpha!$B$5:$B$47,Sort_Alpha!AM$5:AM$47,"",0)</f>
        <v>7.310961323175623E-16</v>
      </c>
      <c r="AN6" s="1">
        <f>_xlfn.XLOOKUP($B6,Sort_Alpha!$B$5:$B$47,Sort_Alpha!AN$5:AN$47,"",0)</f>
        <v>2.2850953985326324E-15</v>
      </c>
      <c r="AO6" s="1">
        <f>_xlfn.XLOOKUP($B6,Sort_Alpha!$B$5:$B$47,Sort_Alpha!AO$5:AO$47,"",0)</f>
        <v>2.2850953985326324E-15</v>
      </c>
      <c r="AP6" s="1">
        <f>_xlfn.XLOOKUP($B6,Sort_Alpha!$B$5:$B$47,Sort_Alpha!AP$5:AP$47,"",0)</f>
        <v>2.2850953985326324E-15</v>
      </c>
      <c r="AQ6" s="1">
        <f>_xlfn.XLOOKUP($B6,Sort_Alpha!$B$5:$B$47,Sort_Alpha!AQ$5:AQ$47,"",0)</f>
        <v>1.0799255035635721E-16</v>
      </c>
      <c r="AR6" s="1">
        <f>_xlfn.XLOOKUP($B6,Sort_Alpha!$B$5:$B$47,Sort_Alpha!AR$5:AR$47,"",0)</f>
        <v>1.0799255035635721E-16</v>
      </c>
      <c r="AS6" s="1">
        <f>_xlfn.XLOOKUP($B6,Sort_Alpha!$B$5:$B$47,Sort_Alpha!AS$5:AS$47,"",0)</f>
        <v>1.5262081368385229E-16</v>
      </c>
      <c r="AT6" s="1">
        <f>_xlfn.XLOOKUP($B6,Sort_Alpha!$B$5:$B$47,Sort_Alpha!AT$5:AT$47,"",0)</f>
        <v>7.8332439775663842E-15</v>
      </c>
      <c r="AU6" s="1">
        <f>_xlfn.XLOOKUP($B6,Sort_Alpha!$B$5:$B$47,Sort_Alpha!AU$5:AU$47,"",0)</f>
        <v>4.8853403706764504E-17</v>
      </c>
      <c r="AV6" s="1">
        <f>_xlfn.XLOOKUP($B6,Sort_Alpha!$B$5:$B$47,Sort_Alpha!AV$5:AV$47,"",0)</f>
        <v>0</v>
      </c>
      <c r="AW6" s="1">
        <f>_xlfn.XLOOKUP($B6,Sort_Alpha!$B$5:$B$47,Sort_Alpha!AW$5:AW$47,"",0)</f>
        <v>1.9662593378935506E-16</v>
      </c>
      <c r="AX6" s="1">
        <f>_xlfn.XLOOKUP($B6,Sort_Alpha!$B$5:$B$47,Sort_Alpha!AX$5:AX$47,"",0)</f>
        <v>1.598965187966258E-16</v>
      </c>
      <c r="AY6" s="1">
        <f>_xlfn.XLOOKUP($B6,Sort_Alpha!$B$5:$B$47,Sort_Alpha!AY$5:AY$47,"",0)</f>
        <v>1.598965187966258E-16</v>
      </c>
      <c r="AZ6" s="1">
        <f>_xlfn.XLOOKUP($B6,Sort_Alpha!$B$5:$B$47,Sort_Alpha!AZ$5:AZ$47,"",0)</f>
        <v>3.013013130290589E-15</v>
      </c>
      <c r="BA6" s="1">
        <f>_xlfn.XLOOKUP($B6,Sort_Alpha!$B$5:$B$47,Sort_Alpha!BA$5:BA$47,"",0)</f>
        <v>1.5053333294094003E-15</v>
      </c>
      <c r="BB6" s="1">
        <f>_xlfn.XLOOKUP($B6,Sort_Alpha!$B$5:$B$47,Sort_Alpha!BB$5:BB$47,"",0)</f>
        <v>1.1692123547347722E-15</v>
      </c>
      <c r="BC6" s="1">
        <f>_xlfn.XLOOKUP($B6,Sort_Alpha!$B$5:$B$47,Sort_Alpha!BC$5:BC$47,"",0)</f>
        <v>1.2055380655863292E-15</v>
      </c>
      <c r="BD6" s="1">
        <f>_xlfn.XLOOKUP($B6,Sort_Alpha!$B$5:$B$47,Sort_Alpha!BD$5:BD$47,"",0)</f>
        <v>1.2055380655863292E-15</v>
      </c>
      <c r="BE6" s="1">
        <f>_xlfn.XLOOKUP($B6,Sort_Alpha!$B$5:$B$47,Sort_Alpha!BE$5:BE$47,"",0)</f>
        <v>9.2449058347520245E-17</v>
      </c>
      <c r="BF6" s="1">
        <f>_xlfn.XLOOKUP($B6,Sort_Alpha!$B$5:$B$47,Sort_Alpha!BF$5:BF$47,"",0)</f>
        <v>3.7283648855965851E-16</v>
      </c>
      <c r="BG6" s="1">
        <f>_xlfn.XLOOKUP($B6,Sort_Alpha!$B$5:$B$47,Sort_Alpha!BG$5:BG$47,"",0)</f>
        <v>2.8927506947949066E-15</v>
      </c>
      <c r="BH6" s="1">
        <f>_xlfn.XLOOKUP($B6,Sort_Alpha!$B$5:$B$47,Sort_Alpha!BH$5:BH$47,"",0)</f>
        <v>2.4072268778206262E-15</v>
      </c>
      <c r="BI6" s="1">
        <f>_xlfn.XLOOKUP($B6,Sort_Alpha!$B$5:$B$47,Sort_Alpha!BI$5:BI$47,"",0)</f>
        <v>2.4072268778206262E-15</v>
      </c>
      <c r="BJ6" s="1">
        <f>_xlfn.XLOOKUP($B6,Sort_Alpha!$B$5:$B$47,Sort_Alpha!BJ$5:BJ$47,"",0)</f>
        <v>2.4072268778206262E-15</v>
      </c>
      <c r="BK6" s="1">
        <f>_xlfn.XLOOKUP($B6,Sort_Alpha!$B$5:$B$47,Sort_Alpha!BK$5:BK$47,"",0)</f>
        <v>5.9533539751121552E-15</v>
      </c>
      <c r="BL6" s="1">
        <f>_xlfn.XLOOKUP($B6,Sort_Alpha!$B$5:$B$47,Sort_Alpha!BL$5:BL$47,"",0)</f>
        <v>6.5389939412893122E-15</v>
      </c>
      <c r="BM6" s="1">
        <f>_xlfn.XLOOKUP($B6,Sort_Alpha!$B$5:$B$47,Sort_Alpha!BM$5:BM$47,"",0)</f>
        <v>6.266126704725006E-15</v>
      </c>
      <c r="BN6" s="1">
        <f>_xlfn.XLOOKUP($B6,Sort_Alpha!$B$5:$B$47,Sort_Alpha!BN$5:BN$47,"",0)</f>
        <v>6.266126704725006E-15</v>
      </c>
      <c r="BO6" s="1">
        <f>_xlfn.XLOOKUP($B6,Sort_Alpha!$B$5:$B$47,Sort_Alpha!BO$5:BO$47,"",0)</f>
        <v>1.0624317830005581E-16</v>
      </c>
      <c r="BP6" s="1">
        <f>_xlfn.XLOOKUP($B6,Sort_Alpha!$B$5:$B$47,Sort_Alpha!BP$5:BP$47,"",0)</f>
        <v>1.0624317830005581E-16</v>
      </c>
      <c r="BQ6" s="1">
        <f>_xlfn.XLOOKUP($B6,Sort_Alpha!$B$5:$B$47,Sort_Alpha!BQ$5:BQ$47,"",0)</f>
        <v>0</v>
      </c>
      <c r="BR6" s="1">
        <f>_xlfn.XLOOKUP($B6,Sort_Alpha!$B$5:$B$47,Sort_Alpha!BR$5:BR$47,"",0)</f>
        <v>5.1522132442630641E-16</v>
      </c>
      <c r="BS6" s="1">
        <f>_xlfn.XLOOKUP($B6,Sort_Alpha!$B$5:$B$47,Sort_Alpha!BS$5:BS$47,"",0)</f>
        <v>2.5699252081932149E-16</v>
      </c>
      <c r="BT6" s="1">
        <f>_xlfn.XLOOKUP($B6,Sort_Alpha!$B$5:$B$47,Sort_Alpha!BT$5:BT$47,"",0)</f>
        <v>1.0837398358576596E-16</v>
      </c>
      <c r="BU6" s="1">
        <f>_xlfn.XLOOKUP($B6,Sort_Alpha!$B$5:$B$47,Sort_Alpha!BU$5:BU$47,"",0)</f>
        <v>8.1147456459560517E-17</v>
      </c>
      <c r="BV6" s="1">
        <f>_xlfn.XLOOKUP($B6,Sort_Alpha!$B$5:$B$47,Sort_Alpha!BV$5:BV$47,"",0)</f>
        <v>1.5834947414949048E-15</v>
      </c>
      <c r="BW6" s="1">
        <f>_xlfn.XLOOKUP($B6,Sort_Alpha!$B$5:$B$47,Sort_Alpha!BW$5:BW$47,"",0)</f>
        <v>1.2707248428350884E-15</v>
      </c>
      <c r="BX6" s="1">
        <f>_xlfn.XLOOKUP($B6,Sort_Alpha!$B$5:$B$47,Sort_Alpha!BX$5:BX$47,"",0)</f>
        <v>1.2707248428350884E-15</v>
      </c>
      <c r="BY6" s="1">
        <f>_xlfn.XLOOKUP($B6,Sort_Alpha!$B$5:$B$47,Sort_Alpha!BY$5:BY$47,"",0)</f>
        <v>3.2099623777642725E-15</v>
      </c>
      <c r="BZ6" s="1">
        <f>_xlfn.XLOOKUP($B6,Sort_Alpha!$B$5:$B$47,Sort_Alpha!BZ$5:BZ$47,"",0)</f>
        <v>1.4769281884307454E-16</v>
      </c>
      <c r="CA6" s="1">
        <f>_xlfn.XLOOKUP($B6,Sort_Alpha!$B$5:$B$47,Sort_Alpha!CA$5:CA$47,"",0)</f>
        <v>1.3544196898740986E-16</v>
      </c>
      <c r="CB6" s="1">
        <f>_xlfn.XLOOKUP($B6,Sort_Alpha!$B$5:$B$47,Sort_Alpha!CB$5:CB$47,"",0)</f>
        <v>1.4273955690188772E-16</v>
      </c>
      <c r="CC6" s="1">
        <f>_xlfn.XLOOKUP($B6,Sort_Alpha!$B$5:$B$47,Sort_Alpha!CC$5:CC$47,"",0)</f>
        <v>7.0640413376027999E-16</v>
      </c>
    </row>
    <row r="7" spans="2:81" x14ac:dyDescent="0.15">
      <c r="B7" t="s">
        <v>1</v>
      </c>
      <c r="C7" s="1">
        <f>_xlfn.XLOOKUP($B7,Sort_Alpha!$B$5:$B$47,Sort_Alpha!C$5:C$47,"",0)</f>
        <v>5.7556220261119017E-16</v>
      </c>
      <c r="D7" s="1">
        <f>_xlfn.XLOOKUP($B7,Sort_Alpha!$B$5:$B$47,Sort_Alpha!D$5:D$47,"",0)</f>
        <v>1.5804595692271874E-15</v>
      </c>
      <c r="E7" s="1">
        <f>_xlfn.XLOOKUP($B7,Sort_Alpha!$B$5:$B$47,Sort_Alpha!E$5:E$47,"",0)</f>
        <v>5.204157233700536E-14</v>
      </c>
      <c r="F7" s="1">
        <f>_xlfn.XLOOKUP($B7,Sort_Alpha!$B$5:$B$47,Sort_Alpha!F$5:F$47,"",0)</f>
        <v>8.0617603769603732E-15</v>
      </c>
      <c r="G7" s="1">
        <f>_xlfn.XLOOKUP($B7,Sort_Alpha!$B$5:$B$47,Sort_Alpha!G$5:G$47,"",0)</f>
        <v>1.5698003655181449E-16</v>
      </c>
      <c r="H7" s="1">
        <f>_xlfn.XLOOKUP($B7,Sort_Alpha!$B$5:$B$47,Sort_Alpha!H$5:H$47,"",0)</f>
        <v>2.8639747786826143E-15</v>
      </c>
      <c r="I7" s="1">
        <f>_xlfn.XLOOKUP($B7,Sort_Alpha!$B$5:$B$47,Sort_Alpha!I$5:I$47,"",0)</f>
        <v>9.943214844315238E-15</v>
      </c>
      <c r="J7" s="1">
        <f>_xlfn.XLOOKUP($B7,Sort_Alpha!$B$5:$B$47,Sort_Alpha!J$5:J$47,"",0)</f>
        <v>9.943214844315238E-15</v>
      </c>
      <c r="K7" s="1">
        <f>_xlfn.XLOOKUP($B7,Sort_Alpha!$B$5:$B$47,Sort_Alpha!K$5:K$47,"",0)</f>
        <v>9.943214844315238E-15</v>
      </c>
      <c r="L7" s="1">
        <f>_xlfn.XLOOKUP($B7,Sort_Alpha!$B$5:$B$47,Sort_Alpha!L$5:L$47,"",0)</f>
        <v>5.0024073165151391E-14</v>
      </c>
      <c r="M7" s="1">
        <f>_xlfn.XLOOKUP($B7,Sort_Alpha!$B$5:$B$47,Sort_Alpha!M$5:M$47,"",0)</f>
        <v>5.0024073165151391E-14</v>
      </c>
      <c r="N7" s="1">
        <f>_xlfn.XLOOKUP($B7,Sort_Alpha!$B$5:$B$47,Sort_Alpha!N$5:N$47,"",0)</f>
        <v>5.0024073165151391E-14</v>
      </c>
      <c r="O7" s="1">
        <f>_xlfn.XLOOKUP($B7,Sort_Alpha!$B$5:$B$47,Sort_Alpha!O$5:O$47,"",0)</f>
        <v>7.892598971144359E-16</v>
      </c>
      <c r="P7" s="1">
        <f>_xlfn.XLOOKUP($B7,Sort_Alpha!$B$5:$B$47,Sort_Alpha!P$5:P$47,"",0)</f>
        <v>2.2825516852473176E-16</v>
      </c>
      <c r="Q7" s="1">
        <f>_xlfn.XLOOKUP($B7,Sort_Alpha!$B$5:$B$47,Sort_Alpha!Q$5:Q$47,"",0)</f>
        <v>9.320446862254822E-16</v>
      </c>
      <c r="R7" s="1">
        <f>_xlfn.XLOOKUP($B7,Sort_Alpha!$B$5:$B$47,Sort_Alpha!R$5:R$47,"",0)</f>
        <v>9.320446862254822E-16</v>
      </c>
      <c r="S7" s="1">
        <f>_xlfn.XLOOKUP($B7,Sort_Alpha!$B$5:$B$47,Sort_Alpha!S$5:S$47,"",0)</f>
        <v>3.1242022252179807E-16</v>
      </c>
      <c r="T7" s="1">
        <f>_xlfn.XLOOKUP($B7,Sort_Alpha!$B$5:$B$47,Sort_Alpha!T$5:T$47,"",0)</f>
        <v>6.2615610042067597E-16</v>
      </c>
      <c r="U7" s="1">
        <f>_xlfn.XLOOKUP($B7,Sort_Alpha!$B$5:$B$47,Sort_Alpha!U$5:U$47,"",0)</f>
        <v>6.2615610042067597E-16</v>
      </c>
      <c r="V7" s="1">
        <f>_xlfn.XLOOKUP($B7,Sort_Alpha!$B$5:$B$47,Sort_Alpha!V$5:V$47,"",0)</f>
        <v>6.2615610042067597E-16</v>
      </c>
      <c r="W7" s="1">
        <f>_xlfn.XLOOKUP($B7,Sort_Alpha!$B$5:$B$47,Sort_Alpha!W$5:W$47,"",0)</f>
        <v>6.2615610042067597E-16</v>
      </c>
      <c r="X7" s="1">
        <f>_xlfn.XLOOKUP($B7,Sort_Alpha!$B$5:$B$47,Sort_Alpha!X$5:X$47,"",0)</f>
        <v>6.2615610042067597E-16</v>
      </c>
      <c r="Y7" s="1">
        <f>_xlfn.XLOOKUP($B7,Sort_Alpha!$B$5:$B$47,Sort_Alpha!Y$5:Y$47,"",0)</f>
        <v>2.395387831782751E-16</v>
      </c>
      <c r="Z7" s="1">
        <f>_xlfn.XLOOKUP($B7,Sort_Alpha!$B$5:$B$47,Sort_Alpha!Z$5:Z$47,"",0)</f>
        <v>1.3001758199742803E-15</v>
      </c>
      <c r="AA7" s="1">
        <f>_xlfn.XLOOKUP($B7,Sort_Alpha!$B$5:$B$47,Sort_Alpha!AA$5:AA$47,"",0)</f>
        <v>1.2924261277820626E-15</v>
      </c>
      <c r="AB7" s="1">
        <f>_xlfn.XLOOKUP($B7,Sort_Alpha!$B$5:$B$47,Sort_Alpha!AB$5:AB$47,"",0)</f>
        <v>7.0768810586441159E-15</v>
      </c>
      <c r="AC7" s="1">
        <f>_xlfn.XLOOKUP($B7,Sort_Alpha!$B$5:$B$47,Sort_Alpha!AC$5:AC$47,"",0)</f>
        <v>8.0257181056412874E-16</v>
      </c>
      <c r="AD7" s="1">
        <f>_xlfn.XLOOKUP($B7,Sort_Alpha!$B$5:$B$47,Sort_Alpha!AD$5:AD$47,"",0)</f>
        <v>1.4338904901900258E-16</v>
      </c>
      <c r="AE7" s="1">
        <f>_xlfn.XLOOKUP($B7,Sort_Alpha!$B$5:$B$47,Sort_Alpha!AE$5:AE$47,"",0)</f>
        <v>1.3897802148103569E-16</v>
      </c>
      <c r="AF7" s="1">
        <f>_xlfn.XLOOKUP($B7,Sort_Alpha!$B$5:$B$47,Sort_Alpha!AF$5:AF$47,"",0)</f>
        <v>1.3897802148103569E-16</v>
      </c>
      <c r="AG7" s="1">
        <f>_xlfn.XLOOKUP($B7,Sort_Alpha!$B$5:$B$47,Sort_Alpha!AG$5:AG$47,"",0)</f>
        <v>2.4241206079538714E-15</v>
      </c>
      <c r="AH7" s="1">
        <f>_xlfn.XLOOKUP($B7,Sort_Alpha!$B$5:$B$47,Sort_Alpha!AH$5:AH$47,"",0)</f>
        <v>5.0603931711092232E-14</v>
      </c>
      <c r="AI7" s="1">
        <f>_xlfn.XLOOKUP($B7,Sort_Alpha!$B$5:$B$47,Sort_Alpha!AI$5:AI$47,"",0)</f>
        <v>5.0465439039283606E-14</v>
      </c>
      <c r="AJ7" s="1">
        <f>_xlfn.XLOOKUP($B7,Sort_Alpha!$B$5:$B$47,Sort_Alpha!AJ$5:AJ$47,"",0)</f>
        <v>9.1987540951335181E-16</v>
      </c>
      <c r="AK7" s="1">
        <f>_xlfn.XLOOKUP($B7,Sort_Alpha!$B$5:$B$47,Sort_Alpha!AK$5:AK$47,"",0)</f>
        <v>1.8414907881299237E-15</v>
      </c>
      <c r="AL7" s="1">
        <f>_xlfn.XLOOKUP($B7,Sort_Alpha!$B$5:$B$47,Sort_Alpha!AL$5:AL$47,"",0)</f>
        <v>7.7871789878177353E-15</v>
      </c>
      <c r="AM7" s="1">
        <f>_xlfn.XLOOKUP($B7,Sort_Alpha!$B$5:$B$47,Sort_Alpha!AM$5:AM$47,"",0)</f>
        <v>7.0814683966708715E-16</v>
      </c>
      <c r="AN7" s="1">
        <f>_xlfn.XLOOKUP($B7,Sort_Alpha!$B$5:$B$47,Sort_Alpha!AN$5:AN$47,"",0)</f>
        <v>5.5237228613051199E-15</v>
      </c>
      <c r="AO7" s="1">
        <f>_xlfn.XLOOKUP($B7,Sort_Alpha!$B$5:$B$47,Sort_Alpha!AO$5:AO$47,"",0)</f>
        <v>5.5237228613051199E-15</v>
      </c>
      <c r="AP7" s="1">
        <f>_xlfn.XLOOKUP($B7,Sort_Alpha!$B$5:$B$47,Sort_Alpha!AP$5:AP$47,"",0)</f>
        <v>5.5237228613051199E-15</v>
      </c>
      <c r="AQ7" s="1">
        <f>_xlfn.XLOOKUP($B7,Sort_Alpha!$B$5:$B$47,Sort_Alpha!AQ$5:AQ$47,"",0)</f>
        <v>5.927473152782844E-16</v>
      </c>
      <c r="AR7" s="1">
        <f>_xlfn.XLOOKUP($B7,Sort_Alpha!$B$5:$B$47,Sort_Alpha!AR$5:AR$47,"",0)</f>
        <v>5.927473152782844E-16</v>
      </c>
      <c r="AS7" s="1">
        <f>_xlfn.XLOOKUP($B7,Sort_Alpha!$B$5:$B$47,Sort_Alpha!AS$5:AS$47,"",0)</f>
        <v>2.9768314427503977E-17</v>
      </c>
      <c r="AT7" s="1">
        <f>_xlfn.XLOOKUP($B7,Sort_Alpha!$B$5:$B$47,Sort_Alpha!AT$5:AT$47,"",0)</f>
        <v>7.7186303386596268E-16</v>
      </c>
      <c r="AU7" s="1">
        <f>_xlfn.XLOOKUP($B7,Sort_Alpha!$B$5:$B$47,Sort_Alpha!AU$5:AU$47,"",0)</f>
        <v>2.5099543131167987E-16</v>
      </c>
      <c r="AV7" s="1">
        <f>_xlfn.XLOOKUP($B7,Sort_Alpha!$B$5:$B$47,Sort_Alpha!AV$5:AV$47,"",0)</f>
        <v>0</v>
      </c>
      <c r="AW7" s="1">
        <f>_xlfn.XLOOKUP($B7,Sort_Alpha!$B$5:$B$47,Sort_Alpha!AW$5:AW$47,"",0)</f>
        <v>3.8221031662557731E-17</v>
      </c>
      <c r="AX7" s="1">
        <f>_xlfn.XLOOKUP($B7,Sort_Alpha!$B$5:$B$47,Sort_Alpha!AX$5:AX$47,"",0)</f>
        <v>3.2740298219088129E-17</v>
      </c>
      <c r="AY7" s="1">
        <f>_xlfn.XLOOKUP($B7,Sort_Alpha!$B$5:$B$47,Sort_Alpha!AY$5:AY$47,"",0)</f>
        <v>3.2740298219088129E-17</v>
      </c>
      <c r="AZ7" s="1">
        <f>_xlfn.XLOOKUP($B7,Sort_Alpha!$B$5:$B$47,Sort_Alpha!AZ$5:AZ$47,"",0)</f>
        <v>2.0526467281508833E-15</v>
      </c>
      <c r="BA7" s="1">
        <f>_xlfn.XLOOKUP($B7,Sort_Alpha!$B$5:$B$47,Sort_Alpha!BA$5:BA$47,"",0)</f>
        <v>5.1100829499941741E-14</v>
      </c>
      <c r="BB7" s="1">
        <f>_xlfn.XLOOKUP($B7,Sort_Alpha!$B$5:$B$47,Sort_Alpha!BB$5:BB$47,"",0)</f>
        <v>1.7569178155954929E-16</v>
      </c>
      <c r="BC7" s="1">
        <f>_xlfn.XLOOKUP($B7,Sort_Alpha!$B$5:$B$47,Sort_Alpha!BC$5:BC$47,"",0)</f>
        <v>1.7772242427306131E-16</v>
      </c>
      <c r="BD7" s="1">
        <f>_xlfn.XLOOKUP($B7,Sort_Alpha!$B$5:$B$47,Sort_Alpha!BD$5:BD$47,"",0)</f>
        <v>1.7772242427306131E-16</v>
      </c>
      <c r="BE7" s="1">
        <f>_xlfn.XLOOKUP($B7,Sort_Alpha!$B$5:$B$47,Sort_Alpha!BE$5:BE$47,"",0)</f>
        <v>5.7020843688742706E-16</v>
      </c>
      <c r="BF7" s="1">
        <f>_xlfn.XLOOKUP($B7,Sort_Alpha!$B$5:$B$47,Sort_Alpha!BF$5:BF$47,"",0)</f>
        <v>4.6031867528594235E-16</v>
      </c>
      <c r="BG7" s="1">
        <f>_xlfn.XLOOKUP($B7,Sort_Alpha!$B$5:$B$47,Sort_Alpha!BG$5:BG$47,"",0)</f>
        <v>3.3617487371520976E-16</v>
      </c>
      <c r="BH7" s="1">
        <f>_xlfn.XLOOKUP($B7,Sort_Alpha!$B$5:$B$47,Sort_Alpha!BH$5:BH$47,"",0)</f>
        <v>2.733887203168604E-16</v>
      </c>
      <c r="BI7" s="1">
        <f>_xlfn.XLOOKUP($B7,Sort_Alpha!$B$5:$B$47,Sort_Alpha!BI$5:BI$47,"",0)</f>
        <v>2.733887203168604E-16</v>
      </c>
      <c r="BJ7" s="1">
        <f>_xlfn.XLOOKUP($B7,Sort_Alpha!$B$5:$B$47,Sort_Alpha!BJ$5:BJ$47,"",0)</f>
        <v>2.733887203168604E-16</v>
      </c>
      <c r="BK7" s="1">
        <f>_xlfn.XLOOKUP($B7,Sort_Alpha!$B$5:$B$47,Sort_Alpha!BK$5:BK$47,"",0)</f>
        <v>2.8099114922911436E-15</v>
      </c>
      <c r="BL7" s="1">
        <f>_xlfn.XLOOKUP($B7,Sort_Alpha!$B$5:$B$47,Sort_Alpha!BL$5:BL$47,"",0)</f>
        <v>1.953525426052772E-15</v>
      </c>
      <c r="BM7" s="1">
        <f>_xlfn.XLOOKUP($B7,Sort_Alpha!$B$5:$B$47,Sort_Alpha!BM$5:BM$47,"",0)</f>
        <v>1.6368127496160864E-15</v>
      </c>
      <c r="BN7" s="1">
        <f>_xlfn.XLOOKUP($B7,Sort_Alpha!$B$5:$B$47,Sort_Alpha!BN$5:BN$47,"",0)</f>
        <v>1.6368127496160864E-15</v>
      </c>
      <c r="BO7" s="1">
        <f>_xlfn.XLOOKUP($B7,Sort_Alpha!$B$5:$B$47,Sort_Alpha!BO$5:BO$47,"",0)</f>
        <v>5.1081143554568304E-16</v>
      </c>
      <c r="BP7" s="1">
        <f>_xlfn.XLOOKUP($B7,Sort_Alpha!$B$5:$B$47,Sort_Alpha!BP$5:BP$47,"",0)</f>
        <v>5.1081143554568304E-16</v>
      </c>
      <c r="BQ7" s="1">
        <f>_xlfn.XLOOKUP($B7,Sort_Alpha!$B$5:$B$47,Sort_Alpha!BQ$5:BQ$47,"",0)</f>
        <v>0</v>
      </c>
      <c r="BR7" s="1">
        <f>_xlfn.XLOOKUP($B7,Sort_Alpha!$B$5:$B$47,Sort_Alpha!BR$5:BR$47,"",0)</f>
        <v>5.7168600016208847E-15</v>
      </c>
      <c r="BS7" s="1">
        <f>_xlfn.XLOOKUP($B7,Sort_Alpha!$B$5:$B$47,Sort_Alpha!BS$5:BS$47,"",0)</f>
        <v>2.5456544503318393E-15</v>
      </c>
      <c r="BT7" s="1">
        <f>_xlfn.XLOOKUP($B7,Sort_Alpha!$B$5:$B$47,Sort_Alpha!BT$5:BT$47,"",0)</f>
        <v>6.1125125837183615E-16</v>
      </c>
      <c r="BU7" s="1">
        <f>_xlfn.XLOOKUP($B7,Sort_Alpha!$B$5:$B$47,Sort_Alpha!BU$5:BU$47,"",0)</f>
        <v>4.9521009242398881E-16</v>
      </c>
      <c r="BV7" s="1">
        <f>_xlfn.XLOOKUP($B7,Sort_Alpha!$B$5:$B$47,Sort_Alpha!BV$5:BV$47,"",0)</f>
        <v>1.1334117052163866E-15</v>
      </c>
      <c r="BW7" s="1">
        <f>_xlfn.XLOOKUP($B7,Sort_Alpha!$B$5:$B$47,Sort_Alpha!BW$5:BW$47,"",0)</f>
        <v>7.3607436003276973E-16</v>
      </c>
      <c r="BX7" s="1">
        <f>_xlfn.XLOOKUP($B7,Sort_Alpha!$B$5:$B$47,Sort_Alpha!BX$5:BX$47,"",0)</f>
        <v>7.3607436003276973E-16</v>
      </c>
      <c r="BY7" s="1">
        <f>_xlfn.XLOOKUP($B7,Sort_Alpha!$B$5:$B$47,Sort_Alpha!BY$5:BY$47,"",0)</f>
        <v>2.6531846668627456E-16</v>
      </c>
      <c r="BZ7" s="1">
        <f>_xlfn.XLOOKUP($B7,Sort_Alpha!$B$5:$B$47,Sort_Alpha!BZ$5:BZ$47,"",0)</f>
        <v>3.1197615603598097E-17</v>
      </c>
      <c r="CA7" s="1">
        <f>_xlfn.XLOOKUP($B7,Sort_Alpha!$B$5:$B$47,Sort_Alpha!CA$5:CA$47,"",0)</f>
        <v>2.850963537528214E-17</v>
      </c>
      <c r="CB7" s="1">
        <f>_xlfn.XLOOKUP($B7,Sort_Alpha!$B$5:$B$47,Sort_Alpha!CB$5:CB$47,"",0)</f>
        <v>2.9408901925417414E-17</v>
      </c>
      <c r="CC7" s="1">
        <f>_xlfn.XLOOKUP($B7,Sort_Alpha!$B$5:$B$47,Sort_Alpha!CC$5:CC$47,"",0)</f>
        <v>5.4261559093825423E-16</v>
      </c>
    </row>
    <row r="8" spans="2:81" x14ac:dyDescent="0.15">
      <c r="B8" t="s">
        <v>2</v>
      </c>
      <c r="C8" s="1">
        <f>_xlfn.XLOOKUP($B8,Sort_Alpha!$B$5:$B$47,Sort_Alpha!C$5:C$47,"",0)</f>
        <v>2.2971472814420346E-16</v>
      </c>
      <c r="D8" s="1">
        <f>_xlfn.XLOOKUP($B8,Sort_Alpha!$B$5:$B$47,Sort_Alpha!D$5:D$47,"",0)</f>
        <v>2.7856020254707242E-17</v>
      </c>
      <c r="E8" s="1">
        <f>_xlfn.XLOOKUP($B8,Sort_Alpha!$B$5:$B$47,Sort_Alpha!E$5:E$47,"",0)</f>
        <v>1.5841830257886672E-16</v>
      </c>
      <c r="F8" s="1">
        <f>_xlfn.XLOOKUP($B8,Sort_Alpha!$B$5:$B$47,Sort_Alpha!F$5:F$47,"",0)</f>
        <v>7.6643603306310608E-16</v>
      </c>
      <c r="G8" s="1">
        <f>_xlfn.XLOOKUP($B8,Sort_Alpha!$B$5:$B$47,Sort_Alpha!G$5:G$47,"",0)</f>
        <v>4.6944597549867415E-14</v>
      </c>
      <c r="H8" s="1">
        <f>_xlfn.XLOOKUP($B8,Sort_Alpha!$B$5:$B$47,Sort_Alpha!H$5:H$47,"",0)</f>
        <v>1.6770474452472721E-16</v>
      </c>
      <c r="I8" s="1">
        <f>_xlfn.XLOOKUP($B8,Sort_Alpha!$B$5:$B$47,Sort_Alpha!I$5:I$47,"",0)</f>
        <v>3.4388508814584235E-16</v>
      </c>
      <c r="J8" s="1">
        <f>_xlfn.XLOOKUP($B8,Sort_Alpha!$B$5:$B$47,Sort_Alpha!J$5:J$47,"",0)</f>
        <v>3.4388508814584235E-16</v>
      </c>
      <c r="K8" s="1">
        <f>_xlfn.XLOOKUP($B8,Sort_Alpha!$B$5:$B$47,Sort_Alpha!K$5:K$47,"",0)</f>
        <v>3.4388508814584235E-16</v>
      </c>
      <c r="L8" s="1">
        <f>_xlfn.XLOOKUP($B8,Sort_Alpha!$B$5:$B$47,Sort_Alpha!L$5:L$47,"",0)</f>
        <v>1.5841830257886672E-16</v>
      </c>
      <c r="M8" s="1">
        <f>_xlfn.XLOOKUP($B8,Sort_Alpha!$B$5:$B$47,Sort_Alpha!M$5:M$47,"",0)</f>
        <v>1.5841830257886672E-16</v>
      </c>
      <c r="N8" s="1">
        <f>_xlfn.XLOOKUP($B8,Sort_Alpha!$B$5:$B$47,Sort_Alpha!N$5:N$47,"",0)</f>
        <v>1.5841830257886672E-16</v>
      </c>
      <c r="O8" s="1">
        <f>_xlfn.XLOOKUP($B8,Sort_Alpha!$B$5:$B$47,Sort_Alpha!O$5:O$47,"",0)</f>
        <v>6.7769787041189735E-16</v>
      </c>
      <c r="P8" s="1">
        <f>_xlfn.XLOOKUP($B8,Sort_Alpha!$B$5:$B$47,Sort_Alpha!P$5:P$47,"",0)</f>
        <v>1.3625020259493626E-17</v>
      </c>
      <c r="Q8" s="1">
        <f>_xlfn.XLOOKUP($B8,Sort_Alpha!$B$5:$B$47,Sort_Alpha!Q$5:Q$47,"",0)</f>
        <v>1.4059821700054266E-15</v>
      </c>
      <c r="R8" s="1">
        <f>_xlfn.XLOOKUP($B8,Sort_Alpha!$B$5:$B$47,Sort_Alpha!R$5:R$47,"",0)</f>
        <v>1.4059821700054266E-15</v>
      </c>
      <c r="S8" s="1">
        <f>_xlfn.XLOOKUP($B8,Sort_Alpha!$B$5:$B$47,Sort_Alpha!S$5:S$47,"",0)</f>
        <v>3.0110639818519722E-15</v>
      </c>
      <c r="T8" s="1">
        <f>_xlfn.XLOOKUP($B8,Sort_Alpha!$B$5:$B$47,Sort_Alpha!T$5:T$47,"",0)</f>
        <v>4.4838956634590077E-15</v>
      </c>
      <c r="U8" s="1">
        <f>_xlfn.XLOOKUP($B8,Sort_Alpha!$B$5:$B$47,Sort_Alpha!U$5:U$47,"",0)</f>
        <v>4.4838956634590077E-15</v>
      </c>
      <c r="V8" s="1">
        <f>_xlfn.XLOOKUP($B8,Sort_Alpha!$B$5:$B$47,Sort_Alpha!V$5:V$47,"",0)</f>
        <v>4.4838956634590077E-15</v>
      </c>
      <c r="W8" s="1">
        <f>_xlfn.XLOOKUP($B8,Sort_Alpha!$B$5:$B$47,Sort_Alpha!W$5:W$47,"",0)</f>
        <v>4.4838956634590077E-15</v>
      </c>
      <c r="X8" s="1">
        <f>_xlfn.XLOOKUP($B8,Sort_Alpha!$B$5:$B$47,Sort_Alpha!X$5:X$47,"",0)</f>
        <v>4.4838956634590077E-15</v>
      </c>
      <c r="Y8" s="1">
        <f>_xlfn.XLOOKUP($B8,Sort_Alpha!$B$5:$B$47,Sort_Alpha!Y$5:Y$47,"",0)</f>
        <v>4.0057518180519188E-15</v>
      </c>
      <c r="Z8" s="1">
        <f>_xlfn.XLOOKUP($B8,Sort_Alpha!$B$5:$B$47,Sort_Alpha!Z$5:Z$47,"",0)</f>
        <v>2.8289191430787109E-17</v>
      </c>
      <c r="AA8" s="1">
        <f>_xlfn.XLOOKUP($B8,Sort_Alpha!$B$5:$B$47,Sort_Alpha!AA$5:AA$47,"",0)</f>
        <v>2.7826662047970108E-17</v>
      </c>
      <c r="AB8" s="1">
        <f>_xlfn.XLOOKUP($B8,Sort_Alpha!$B$5:$B$47,Sort_Alpha!AB$5:AB$47,"",0)</f>
        <v>1.131517238228155E-16</v>
      </c>
      <c r="AC8" s="1">
        <f>_xlfn.XLOOKUP($B8,Sort_Alpha!$B$5:$B$47,Sort_Alpha!AC$5:AC$47,"",0)</f>
        <v>1.8473950849065061E-17</v>
      </c>
      <c r="AD8" s="1">
        <f>_xlfn.XLOOKUP($B8,Sort_Alpha!$B$5:$B$47,Sort_Alpha!AD$5:AD$47,"",0)</f>
        <v>4.7775365817223422E-18</v>
      </c>
      <c r="AE8" s="1">
        <f>_xlfn.XLOOKUP($B8,Sort_Alpha!$B$5:$B$47,Sort_Alpha!AE$5:AE$47,"",0)</f>
        <v>4.7965581879171147E-18</v>
      </c>
      <c r="AF8" s="1">
        <f>_xlfn.XLOOKUP($B8,Sort_Alpha!$B$5:$B$47,Sort_Alpha!AF$5:AF$47,"",0)</f>
        <v>4.7965581879171147E-18</v>
      </c>
      <c r="AG8" s="1">
        <f>_xlfn.XLOOKUP($B8,Sort_Alpha!$B$5:$B$47,Sort_Alpha!AG$5:AG$47,"",0)</f>
        <v>4.3582574850496723E-17</v>
      </c>
      <c r="AH8" s="1">
        <f>_xlfn.XLOOKUP($B8,Sort_Alpha!$B$5:$B$47,Sort_Alpha!AH$5:AH$47,"",0)</f>
        <v>1.6463150158350875E-16</v>
      </c>
      <c r="AI8" s="1">
        <f>_xlfn.XLOOKUP($B8,Sort_Alpha!$B$5:$B$47,Sort_Alpha!AI$5:AI$47,"",0)</f>
        <v>1.5598202209955089E-16</v>
      </c>
      <c r="AJ8" s="1">
        <f>_xlfn.XLOOKUP($B8,Sort_Alpha!$B$5:$B$47,Sort_Alpha!AJ$5:AJ$47,"",0)</f>
        <v>1.8706563672709229E-15</v>
      </c>
      <c r="AK8" s="1">
        <f>_xlfn.XLOOKUP($B8,Sort_Alpha!$B$5:$B$47,Sort_Alpha!AK$5:AK$47,"",0)</f>
        <v>2.1290873537523224E-16</v>
      </c>
      <c r="AL8" s="1">
        <f>_xlfn.XLOOKUP($B8,Sort_Alpha!$B$5:$B$47,Sort_Alpha!AL$5:AL$47,"",0)</f>
        <v>3.8618377415099373E-16</v>
      </c>
      <c r="AM8" s="1">
        <f>_xlfn.XLOOKUP($B8,Sort_Alpha!$B$5:$B$47,Sort_Alpha!AM$5:AM$47,"",0)</f>
        <v>1.6255496872695381E-16</v>
      </c>
      <c r="AN8" s="1">
        <f>_xlfn.XLOOKUP($B8,Sort_Alpha!$B$5:$B$47,Sort_Alpha!AN$5:AN$47,"",0)</f>
        <v>3.4544345127138318E-16</v>
      </c>
      <c r="AO8" s="1">
        <f>_xlfn.XLOOKUP($B8,Sort_Alpha!$B$5:$B$47,Sort_Alpha!AO$5:AO$47,"",0)</f>
        <v>3.4544345127138318E-16</v>
      </c>
      <c r="AP8" s="1">
        <f>_xlfn.XLOOKUP($B8,Sort_Alpha!$B$5:$B$47,Sort_Alpha!AP$5:AP$47,"",0)</f>
        <v>3.4544345127138318E-16</v>
      </c>
      <c r="AQ8" s="1">
        <f>_xlfn.XLOOKUP($B8,Sort_Alpha!$B$5:$B$47,Sort_Alpha!AQ$5:AQ$47,"",0)</f>
        <v>2.7017002193702074E-15</v>
      </c>
      <c r="AR8" s="1">
        <f>_xlfn.XLOOKUP($B8,Sort_Alpha!$B$5:$B$47,Sort_Alpha!AR$5:AR$47,"",0)</f>
        <v>2.7017002193702074E-15</v>
      </c>
      <c r="AS8" s="1">
        <f>_xlfn.XLOOKUP($B8,Sort_Alpha!$B$5:$B$47,Sort_Alpha!AS$5:AS$47,"",0)</f>
        <v>1.0815498805050829E-18</v>
      </c>
      <c r="AT8" s="1">
        <f>_xlfn.XLOOKUP($B8,Sort_Alpha!$B$5:$B$47,Sort_Alpha!AT$5:AT$47,"",0)</f>
        <v>1.8931000300815906E-17</v>
      </c>
      <c r="AU8" s="1">
        <f>_xlfn.XLOOKUP($B8,Sort_Alpha!$B$5:$B$47,Sort_Alpha!AU$5:AU$47,"",0)</f>
        <v>1.9072114844756786E-14</v>
      </c>
      <c r="AV8" s="1">
        <f>_xlfn.XLOOKUP($B8,Sort_Alpha!$B$5:$B$47,Sort_Alpha!AV$5:AV$47,"",0)</f>
        <v>0</v>
      </c>
      <c r="AW8" s="1">
        <f>_xlfn.XLOOKUP($B8,Sort_Alpha!$B$5:$B$47,Sort_Alpha!AW$5:AW$47,"",0)</f>
        <v>1.2553616030764717E-18</v>
      </c>
      <c r="AX8" s="1">
        <f>_xlfn.XLOOKUP($B8,Sort_Alpha!$B$5:$B$47,Sort_Alpha!AX$5:AX$47,"",0)</f>
        <v>1.1289179373735042E-18</v>
      </c>
      <c r="AY8" s="1">
        <f>_xlfn.XLOOKUP($B8,Sort_Alpha!$B$5:$B$47,Sort_Alpha!AY$5:AY$47,"",0)</f>
        <v>1.1289179373735042E-18</v>
      </c>
      <c r="AZ8" s="1">
        <f>_xlfn.XLOOKUP($B8,Sort_Alpha!$B$5:$B$47,Sort_Alpha!AZ$5:AZ$47,"",0)</f>
        <v>9.5044661924939738E-16</v>
      </c>
      <c r="BA8" s="1">
        <f>_xlfn.XLOOKUP($B8,Sort_Alpha!$B$5:$B$47,Sort_Alpha!BA$5:BA$47,"",0)</f>
        <v>1.9801660716300664E-16</v>
      </c>
      <c r="BB8" s="1">
        <f>_xlfn.XLOOKUP($B8,Sort_Alpha!$B$5:$B$47,Sort_Alpha!BB$5:BB$47,"",0)</f>
        <v>6.3929538618662137E-18</v>
      </c>
      <c r="BC8" s="1">
        <f>_xlfn.XLOOKUP($B8,Sort_Alpha!$B$5:$B$47,Sort_Alpha!BC$5:BC$47,"",0)</f>
        <v>6.6705035382192939E-18</v>
      </c>
      <c r="BD8" s="1">
        <f>_xlfn.XLOOKUP($B8,Sort_Alpha!$B$5:$B$47,Sort_Alpha!BD$5:BD$47,"",0)</f>
        <v>6.6705035382192939E-18</v>
      </c>
      <c r="BE8" s="1">
        <f>_xlfn.XLOOKUP($B8,Sort_Alpha!$B$5:$B$47,Sort_Alpha!BE$5:BE$47,"",0)</f>
        <v>3.4487195317039319E-15</v>
      </c>
      <c r="BF8" s="1">
        <f>_xlfn.XLOOKUP($B8,Sort_Alpha!$B$5:$B$47,Sort_Alpha!BF$5:BF$47,"",0)</f>
        <v>3.3488369272323004E-16</v>
      </c>
      <c r="BG8" s="1">
        <f>_xlfn.XLOOKUP($B8,Sort_Alpha!$B$5:$B$47,Sort_Alpha!BG$5:BG$47,"",0)</f>
        <v>9.163067276954383E-18</v>
      </c>
      <c r="BH8" s="1">
        <f>_xlfn.XLOOKUP($B8,Sort_Alpha!$B$5:$B$47,Sort_Alpha!BH$5:BH$47,"",0)</f>
        <v>7.8809290525529327E-18</v>
      </c>
      <c r="BI8" s="1">
        <f>_xlfn.XLOOKUP($B8,Sort_Alpha!$B$5:$B$47,Sort_Alpha!BI$5:BI$47,"",0)</f>
        <v>7.8809290525529327E-18</v>
      </c>
      <c r="BJ8" s="1">
        <f>_xlfn.XLOOKUP($B8,Sort_Alpha!$B$5:$B$47,Sort_Alpha!BJ$5:BJ$47,"",0)</f>
        <v>7.8809290525529327E-18</v>
      </c>
      <c r="BK8" s="1">
        <f>_xlfn.XLOOKUP($B8,Sort_Alpha!$B$5:$B$47,Sort_Alpha!BK$5:BK$47,"",0)</f>
        <v>4.3400358210730627E-17</v>
      </c>
      <c r="BL8" s="1">
        <f>_xlfn.XLOOKUP($B8,Sort_Alpha!$B$5:$B$47,Sort_Alpha!BL$5:BL$47,"",0)</f>
        <v>3.4242369711579752E-17</v>
      </c>
      <c r="BM8" s="1">
        <f>_xlfn.XLOOKUP($B8,Sort_Alpha!$B$5:$B$47,Sort_Alpha!BM$5:BM$47,"",0)</f>
        <v>3.084574827318402E-17</v>
      </c>
      <c r="BN8" s="1">
        <f>_xlfn.XLOOKUP($B8,Sort_Alpha!$B$5:$B$47,Sort_Alpha!BN$5:BN$47,"",0)</f>
        <v>3.084574827318402E-17</v>
      </c>
      <c r="BO8" s="1">
        <f>_xlfn.XLOOKUP($B8,Sort_Alpha!$B$5:$B$47,Sort_Alpha!BO$5:BO$47,"",0)</f>
        <v>2.2637141834921861E-15</v>
      </c>
      <c r="BP8" s="1">
        <f>_xlfn.XLOOKUP($B8,Sort_Alpha!$B$5:$B$47,Sort_Alpha!BP$5:BP$47,"",0)</f>
        <v>2.2637141834921861E-15</v>
      </c>
      <c r="BQ8" s="1">
        <f>_xlfn.XLOOKUP($B8,Sort_Alpha!$B$5:$B$47,Sort_Alpha!BQ$5:BQ$47,"",0)</f>
        <v>0</v>
      </c>
      <c r="BR8" s="1">
        <f>_xlfn.XLOOKUP($B8,Sort_Alpha!$B$5:$B$47,Sort_Alpha!BR$5:BR$47,"",0)</f>
        <v>3.0183508833923839E-16</v>
      </c>
      <c r="BS8" s="1">
        <f>_xlfn.XLOOKUP($B8,Sort_Alpha!$B$5:$B$47,Sort_Alpha!BS$5:BS$47,"",0)</f>
        <v>6.7561321752830961E-16</v>
      </c>
      <c r="BT8" s="1">
        <f>_xlfn.XLOOKUP($B8,Sort_Alpha!$B$5:$B$47,Sort_Alpha!BT$5:BT$47,"",0)</f>
        <v>2.7706630269224451E-15</v>
      </c>
      <c r="BU8" s="1">
        <f>_xlfn.XLOOKUP($B8,Sort_Alpha!$B$5:$B$47,Sort_Alpha!BU$5:BU$47,"",0)</f>
        <v>3.9828722226460726E-15</v>
      </c>
      <c r="BV8" s="1">
        <f>_xlfn.XLOOKUP($B8,Sort_Alpha!$B$5:$B$47,Sort_Alpha!BV$5:BV$47,"",0)</f>
        <v>8.2669187700021055E-16</v>
      </c>
      <c r="BW8" s="1">
        <f>_xlfn.XLOOKUP($B8,Sort_Alpha!$B$5:$B$47,Sort_Alpha!BW$5:BW$47,"",0)</f>
        <v>2.0925901853133536E-15</v>
      </c>
      <c r="BX8" s="1">
        <f>_xlfn.XLOOKUP($B8,Sort_Alpha!$B$5:$B$47,Sort_Alpha!BX$5:BX$47,"",0)</f>
        <v>2.0925901853133536E-15</v>
      </c>
      <c r="BY8" s="1">
        <f>_xlfn.XLOOKUP($B8,Sort_Alpha!$B$5:$B$47,Sort_Alpha!BY$5:BY$47,"",0)</f>
        <v>6.8302104954546462E-18</v>
      </c>
      <c r="BZ8" s="1">
        <f>_xlfn.XLOOKUP($B8,Sort_Alpha!$B$5:$B$47,Sort_Alpha!BZ$5:BZ$47,"",0)</f>
        <v>1.3101790578919922E-18</v>
      </c>
      <c r="CA8" s="1">
        <f>_xlfn.XLOOKUP($B8,Sort_Alpha!$B$5:$B$47,Sort_Alpha!CA$5:CA$47,"",0)</f>
        <v>1.1027080966865715E-18</v>
      </c>
      <c r="CB8" s="1">
        <f>_xlfn.XLOOKUP($B8,Sort_Alpha!$B$5:$B$47,Sort_Alpha!CB$5:CB$47,"",0)</f>
        <v>1.1111328400880288E-18</v>
      </c>
      <c r="CC8" s="1">
        <f>_xlfn.XLOOKUP($B8,Sort_Alpha!$B$5:$B$47,Sort_Alpha!CC$5:CC$47,"",0)</f>
        <v>6.4802099613072615E-16</v>
      </c>
    </row>
    <row r="9" spans="2:81" x14ac:dyDescent="0.15">
      <c r="B9" t="s">
        <v>3</v>
      </c>
      <c r="C9" s="1">
        <f>_xlfn.XLOOKUP($B9,Sort_Alpha!$B$5:$B$47,Sort_Alpha!C$5:C$47,"",0)</f>
        <v>3.9460987886195473E-16</v>
      </c>
      <c r="D9" s="1">
        <f>_xlfn.XLOOKUP($B9,Sort_Alpha!$B$5:$B$47,Sort_Alpha!D$5:D$47,"",0)</f>
        <v>8.0514386270727438E-16</v>
      </c>
      <c r="E9" s="1">
        <f>_xlfn.XLOOKUP($B9,Sort_Alpha!$B$5:$B$47,Sort_Alpha!E$5:E$47,"",0)</f>
        <v>2.9427379494175348E-15</v>
      </c>
      <c r="F9" s="1">
        <f>_xlfn.XLOOKUP($B9,Sort_Alpha!$B$5:$B$47,Sort_Alpha!F$5:F$47,"",0)</f>
        <v>8.5400463570606613E-16</v>
      </c>
      <c r="G9" s="1">
        <f>_xlfn.XLOOKUP($B9,Sort_Alpha!$B$5:$B$47,Sort_Alpha!G$5:G$47,"",0)</f>
        <v>1.637946575773267E-16</v>
      </c>
      <c r="H9" s="1">
        <f>_xlfn.XLOOKUP($B9,Sort_Alpha!$B$5:$B$47,Sort_Alpha!H$5:H$47,"",0)</f>
        <v>9.6604965862753565E-14</v>
      </c>
      <c r="I9" s="1">
        <f>_xlfn.XLOOKUP($B9,Sort_Alpha!$B$5:$B$47,Sort_Alpha!I$5:I$47,"",0)</f>
        <v>1.8706399703302329E-15</v>
      </c>
      <c r="J9" s="1">
        <f>_xlfn.XLOOKUP($B9,Sort_Alpha!$B$5:$B$47,Sort_Alpha!J$5:J$47,"",0)</f>
        <v>1.8706399703302329E-15</v>
      </c>
      <c r="K9" s="1">
        <f>_xlfn.XLOOKUP($B9,Sort_Alpha!$B$5:$B$47,Sort_Alpha!K$5:K$47,"",0)</f>
        <v>1.8706399703302329E-15</v>
      </c>
      <c r="L9" s="1">
        <f>_xlfn.XLOOKUP($B9,Sort_Alpha!$B$5:$B$47,Sort_Alpha!L$5:L$47,"",0)</f>
        <v>2.9427379494175348E-15</v>
      </c>
      <c r="M9" s="1">
        <f>_xlfn.XLOOKUP($B9,Sort_Alpha!$B$5:$B$47,Sort_Alpha!M$5:M$47,"",0)</f>
        <v>2.9427379494175348E-15</v>
      </c>
      <c r="N9" s="1">
        <f>_xlfn.XLOOKUP($B9,Sort_Alpha!$B$5:$B$47,Sort_Alpha!N$5:N$47,"",0)</f>
        <v>2.9427379494175348E-15</v>
      </c>
      <c r="O9" s="1">
        <f>_xlfn.XLOOKUP($B9,Sort_Alpha!$B$5:$B$47,Sort_Alpha!O$5:O$47,"",0)</f>
        <v>4.6751634371392373E-16</v>
      </c>
      <c r="P9" s="1">
        <f>_xlfn.XLOOKUP($B9,Sort_Alpha!$B$5:$B$47,Sort_Alpha!P$5:P$47,"",0)</f>
        <v>1.2954813355232472E-16</v>
      </c>
      <c r="Q9" s="1">
        <f>_xlfn.XLOOKUP($B9,Sort_Alpha!$B$5:$B$47,Sort_Alpha!Q$5:Q$47,"",0)</f>
        <v>3.0568730486833289E-16</v>
      </c>
      <c r="R9" s="1">
        <f>_xlfn.XLOOKUP($B9,Sort_Alpha!$B$5:$B$47,Sort_Alpha!R$5:R$47,"",0)</f>
        <v>3.0568730486833289E-16</v>
      </c>
      <c r="S9" s="1">
        <f>_xlfn.XLOOKUP($B9,Sort_Alpha!$B$5:$B$47,Sort_Alpha!S$5:S$47,"",0)</f>
        <v>5.8785884122704155E-16</v>
      </c>
      <c r="T9" s="1">
        <f>_xlfn.XLOOKUP($B9,Sort_Alpha!$B$5:$B$47,Sort_Alpha!T$5:T$47,"",0)</f>
        <v>5.6760810224193985E-16</v>
      </c>
      <c r="U9" s="1">
        <f>_xlfn.XLOOKUP($B9,Sort_Alpha!$B$5:$B$47,Sort_Alpha!U$5:U$47,"",0)</f>
        <v>5.6760810224193985E-16</v>
      </c>
      <c r="V9" s="1">
        <f>_xlfn.XLOOKUP($B9,Sort_Alpha!$B$5:$B$47,Sort_Alpha!V$5:V$47,"",0)</f>
        <v>5.6760810224193985E-16</v>
      </c>
      <c r="W9" s="1">
        <f>_xlfn.XLOOKUP($B9,Sort_Alpha!$B$5:$B$47,Sort_Alpha!W$5:W$47,"",0)</f>
        <v>5.6760810224193985E-16</v>
      </c>
      <c r="X9" s="1">
        <f>_xlfn.XLOOKUP($B9,Sort_Alpha!$B$5:$B$47,Sort_Alpha!X$5:X$47,"",0)</f>
        <v>5.6760810224193985E-16</v>
      </c>
      <c r="Y9" s="1">
        <f>_xlfn.XLOOKUP($B9,Sort_Alpha!$B$5:$B$47,Sort_Alpha!Y$5:Y$47,"",0)</f>
        <v>4.3706060755328996E-16</v>
      </c>
      <c r="Z9" s="1">
        <f>_xlfn.XLOOKUP($B9,Sort_Alpha!$B$5:$B$47,Sort_Alpha!Z$5:Z$47,"",0)</f>
        <v>9.5012749267788614E-16</v>
      </c>
      <c r="AA9" s="1">
        <f>_xlfn.XLOOKUP($B9,Sort_Alpha!$B$5:$B$47,Sort_Alpha!AA$5:AA$47,"",0)</f>
        <v>9.5189159258731416E-16</v>
      </c>
      <c r="AB9" s="1">
        <f>_xlfn.XLOOKUP($B9,Sort_Alpha!$B$5:$B$47,Sort_Alpha!AB$5:AB$47,"",0)</f>
        <v>4.0125970337096092E-15</v>
      </c>
      <c r="AC9" s="1">
        <f>_xlfn.XLOOKUP($B9,Sort_Alpha!$B$5:$B$47,Sort_Alpha!AC$5:AC$47,"",0)</f>
        <v>4.5059122494049087E-16</v>
      </c>
      <c r="AD9" s="1">
        <f>_xlfn.XLOOKUP($B9,Sort_Alpha!$B$5:$B$47,Sort_Alpha!AD$5:AD$47,"",0)</f>
        <v>1.1534483597289287E-16</v>
      </c>
      <c r="AE9" s="1">
        <f>_xlfn.XLOOKUP($B9,Sort_Alpha!$B$5:$B$47,Sort_Alpha!AE$5:AE$47,"",0)</f>
        <v>1.1260200564054623E-16</v>
      </c>
      <c r="AF9" s="1">
        <f>_xlfn.XLOOKUP($B9,Sort_Alpha!$B$5:$B$47,Sort_Alpha!AF$5:AF$47,"",0)</f>
        <v>1.1259961693592493E-16</v>
      </c>
      <c r="AG9" s="1">
        <f>_xlfn.XLOOKUP($B9,Sort_Alpha!$B$5:$B$47,Sort_Alpha!AG$5:AG$47,"",0)</f>
        <v>1.4543710991840094E-15</v>
      </c>
      <c r="AH9" s="1">
        <f>_xlfn.XLOOKUP($B9,Sort_Alpha!$B$5:$B$47,Sort_Alpha!AH$5:AH$47,"",0)</f>
        <v>2.9063516230218884E-15</v>
      </c>
      <c r="AI9" s="1">
        <f>_xlfn.XLOOKUP($B9,Sort_Alpha!$B$5:$B$47,Sort_Alpha!AI$5:AI$47,"",0)</f>
        <v>2.8480593395230465E-15</v>
      </c>
      <c r="AJ9" s="1">
        <f>_xlfn.XLOOKUP($B9,Sort_Alpha!$B$5:$B$47,Sort_Alpha!AJ$5:AJ$47,"",0)</f>
        <v>8.7407748264023556E-16</v>
      </c>
      <c r="AK9" s="1">
        <f>_xlfn.XLOOKUP($B9,Sort_Alpha!$B$5:$B$47,Sort_Alpha!AK$5:AK$47,"",0)</f>
        <v>7.7958624018300981E-16</v>
      </c>
      <c r="AL9" s="1">
        <f>_xlfn.XLOOKUP($B9,Sort_Alpha!$B$5:$B$47,Sort_Alpha!AL$5:AL$47,"",0)</f>
        <v>1.8073265679627596E-15</v>
      </c>
      <c r="AM9" s="1">
        <f>_xlfn.XLOOKUP($B9,Sort_Alpha!$B$5:$B$47,Sort_Alpha!AM$5:AM$47,"",0)</f>
        <v>3.9251205988501531E-16</v>
      </c>
      <c r="AN9" s="1">
        <f>_xlfn.XLOOKUP($B9,Sort_Alpha!$B$5:$B$47,Sort_Alpha!AN$5:AN$47,"",0)</f>
        <v>1.6220113087235898E-15</v>
      </c>
      <c r="AO9" s="1">
        <f>_xlfn.XLOOKUP($B9,Sort_Alpha!$B$5:$B$47,Sort_Alpha!AO$5:AO$47,"",0)</f>
        <v>1.6220113087235898E-15</v>
      </c>
      <c r="AP9" s="1">
        <f>_xlfn.XLOOKUP($B9,Sort_Alpha!$B$5:$B$47,Sort_Alpha!AP$5:AP$47,"",0)</f>
        <v>1.6220113087235898E-15</v>
      </c>
      <c r="AQ9" s="1">
        <f>_xlfn.XLOOKUP($B9,Sort_Alpha!$B$5:$B$47,Sort_Alpha!AQ$5:AQ$47,"",0)</f>
        <v>7.3723450740850133E-16</v>
      </c>
      <c r="AR9" s="1">
        <f>_xlfn.XLOOKUP($B9,Sort_Alpha!$B$5:$B$47,Sort_Alpha!AR$5:AR$47,"",0)</f>
        <v>7.3723450740850133E-16</v>
      </c>
      <c r="AS9" s="1">
        <f>_xlfn.XLOOKUP($B9,Sort_Alpha!$B$5:$B$47,Sort_Alpha!AS$5:AS$47,"",0)</f>
        <v>2.0999801900186706E-17</v>
      </c>
      <c r="AT9" s="1">
        <f>_xlfn.XLOOKUP($B9,Sort_Alpha!$B$5:$B$47,Sort_Alpha!AT$5:AT$47,"",0)</f>
        <v>6.1655017997789799E-16</v>
      </c>
      <c r="AU9" s="1">
        <f>_xlfn.XLOOKUP($B9,Sort_Alpha!$B$5:$B$47,Sort_Alpha!AU$5:AU$47,"",0)</f>
        <v>3.0022499151782978E-16</v>
      </c>
      <c r="AV9" s="1">
        <f>_xlfn.XLOOKUP($B9,Sort_Alpha!$B$5:$B$47,Sort_Alpha!AV$5:AV$47,"",0)</f>
        <v>0</v>
      </c>
      <c r="AW9" s="1">
        <f>_xlfn.XLOOKUP($B9,Sort_Alpha!$B$5:$B$47,Sort_Alpha!AW$5:AW$47,"",0)</f>
        <v>2.6347223468175685E-17</v>
      </c>
      <c r="AX9" s="1">
        <f>_xlfn.XLOOKUP($B9,Sort_Alpha!$B$5:$B$47,Sort_Alpha!AX$5:AX$47,"",0)</f>
        <v>2.2686224765309921E-17</v>
      </c>
      <c r="AY9" s="1">
        <f>_xlfn.XLOOKUP($B9,Sort_Alpha!$B$5:$B$47,Sort_Alpha!AY$5:AY$47,"",0)</f>
        <v>2.2686224765309921E-17</v>
      </c>
      <c r="AZ9" s="1">
        <f>_xlfn.XLOOKUP($B9,Sort_Alpha!$B$5:$B$47,Sort_Alpha!AZ$5:AZ$47,"",0)</f>
        <v>8.4768901321119494E-16</v>
      </c>
      <c r="BA9" s="1">
        <f>_xlfn.XLOOKUP($B9,Sort_Alpha!$B$5:$B$47,Sort_Alpha!BA$5:BA$47,"",0)</f>
        <v>2.9094599967986318E-15</v>
      </c>
      <c r="BB9" s="1">
        <f>_xlfn.XLOOKUP($B9,Sort_Alpha!$B$5:$B$47,Sort_Alpha!BB$5:BB$47,"",0)</f>
        <v>1.3771535795367292E-16</v>
      </c>
      <c r="BC9" s="1">
        <f>_xlfn.XLOOKUP($B9,Sort_Alpha!$B$5:$B$47,Sort_Alpha!BC$5:BC$47,"",0)</f>
        <v>1.3924381162644955E-16</v>
      </c>
      <c r="BD9" s="1">
        <f>_xlfn.XLOOKUP($B9,Sort_Alpha!$B$5:$B$47,Sort_Alpha!BD$5:BD$47,"",0)</f>
        <v>1.3924381162644955E-16</v>
      </c>
      <c r="BE9" s="1">
        <f>_xlfn.XLOOKUP($B9,Sort_Alpha!$B$5:$B$47,Sort_Alpha!BE$5:BE$47,"",0)</f>
        <v>5.7977399248494589E-16</v>
      </c>
      <c r="BF9" s="1">
        <f>_xlfn.XLOOKUP($B9,Sort_Alpha!$B$5:$B$47,Sort_Alpha!BF$5:BF$47,"",0)</f>
        <v>7.8161662376777056E-16</v>
      </c>
      <c r="BG9" s="1">
        <f>_xlfn.XLOOKUP($B9,Sort_Alpha!$B$5:$B$47,Sort_Alpha!BG$5:BG$47,"",0)</f>
        <v>2.5646867361003319E-16</v>
      </c>
      <c r="BH9" s="1">
        <f>_xlfn.XLOOKUP($B9,Sort_Alpha!$B$5:$B$47,Sort_Alpha!BH$5:BH$47,"",0)</f>
        <v>2.0891996385403368E-16</v>
      </c>
      <c r="BI9" s="1">
        <f>_xlfn.XLOOKUP($B9,Sort_Alpha!$B$5:$B$47,Sort_Alpha!BI$5:BI$47,"",0)</f>
        <v>2.0891996385403368E-16</v>
      </c>
      <c r="BJ9" s="1">
        <f>_xlfn.XLOOKUP($B9,Sort_Alpha!$B$5:$B$47,Sort_Alpha!BJ$5:BJ$47,"",0)</f>
        <v>2.0891996385403368E-16</v>
      </c>
      <c r="BK9" s="1">
        <f>_xlfn.XLOOKUP($B9,Sort_Alpha!$B$5:$B$47,Sort_Alpha!BK$5:BK$47,"",0)</f>
        <v>8.7365954113164184E-16</v>
      </c>
      <c r="BL9" s="1">
        <f>_xlfn.XLOOKUP($B9,Sort_Alpha!$B$5:$B$47,Sort_Alpha!BL$5:BL$47,"",0)</f>
        <v>1.213801757967703E-15</v>
      </c>
      <c r="BM9" s="1">
        <f>_xlfn.XLOOKUP($B9,Sort_Alpha!$B$5:$B$47,Sort_Alpha!BM$5:BM$47,"",0)</f>
        <v>1.0415530523814375E-15</v>
      </c>
      <c r="BN9" s="1">
        <f>_xlfn.XLOOKUP($B9,Sort_Alpha!$B$5:$B$47,Sort_Alpha!BN$5:BN$47,"",0)</f>
        <v>1.0415530523814375E-15</v>
      </c>
      <c r="BO9" s="1">
        <f>_xlfn.XLOOKUP($B9,Sort_Alpha!$B$5:$B$47,Sort_Alpha!BO$5:BO$47,"",0)</f>
        <v>7.0485685040635217E-16</v>
      </c>
      <c r="BP9" s="1">
        <f>_xlfn.XLOOKUP($B9,Sort_Alpha!$B$5:$B$47,Sort_Alpha!BP$5:BP$47,"",0)</f>
        <v>7.0485685040635217E-16</v>
      </c>
      <c r="BQ9" s="1">
        <f>_xlfn.XLOOKUP($B9,Sort_Alpha!$B$5:$B$47,Sort_Alpha!BQ$5:BQ$47,"",0)</f>
        <v>0</v>
      </c>
      <c r="BR9" s="1">
        <f>_xlfn.XLOOKUP($B9,Sort_Alpha!$B$5:$B$47,Sort_Alpha!BR$5:BR$47,"",0)</f>
        <v>2.6058408575764734E-15</v>
      </c>
      <c r="BS9" s="1">
        <f>_xlfn.XLOOKUP($B9,Sort_Alpha!$B$5:$B$47,Sort_Alpha!BS$5:BS$47,"",0)</f>
        <v>1.111187483662967E-15</v>
      </c>
      <c r="BT9" s="1">
        <f>_xlfn.XLOOKUP($B9,Sort_Alpha!$B$5:$B$47,Sort_Alpha!BT$5:BT$47,"",0)</f>
        <v>7.3579909978991442E-16</v>
      </c>
      <c r="BU9" s="1">
        <f>_xlfn.XLOOKUP($B9,Sort_Alpha!$B$5:$B$47,Sort_Alpha!BU$5:BU$47,"",0)</f>
        <v>5.7221360426013705E-16</v>
      </c>
      <c r="BV9" s="1">
        <f>_xlfn.XLOOKUP($B9,Sort_Alpha!$B$5:$B$47,Sort_Alpha!BV$5:BV$47,"",0)</f>
        <v>4.819860839118912E-16</v>
      </c>
      <c r="BW9" s="1">
        <f>_xlfn.XLOOKUP($B9,Sort_Alpha!$B$5:$B$47,Sort_Alpha!BW$5:BW$47,"",0)</f>
        <v>3.5194947058493255E-16</v>
      </c>
      <c r="BX9" s="1">
        <f>_xlfn.XLOOKUP($B9,Sort_Alpha!$B$5:$B$47,Sort_Alpha!BX$5:BX$47,"",0)</f>
        <v>3.5194947058493255E-16</v>
      </c>
      <c r="BY9" s="1">
        <f>_xlfn.XLOOKUP($B9,Sort_Alpha!$B$5:$B$47,Sort_Alpha!BY$5:BY$47,"",0)</f>
        <v>1.8887912425567794E-16</v>
      </c>
      <c r="BZ9" s="1">
        <f>_xlfn.XLOOKUP($B9,Sort_Alpha!$B$5:$B$47,Sort_Alpha!BZ$5:BZ$47,"",0)</f>
        <v>2.445786148485526E-17</v>
      </c>
      <c r="CA9" s="1">
        <f>_xlfn.XLOOKUP($B9,Sort_Alpha!$B$5:$B$47,Sort_Alpha!CA$5:CA$47,"",0)</f>
        <v>2.2664862590003582E-17</v>
      </c>
      <c r="CB9" s="1">
        <f>_xlfn.XLOOKUP($B9,Sort_Alpha!$B$5:$B$47,Sort_Alpha!CB$5:CB$47,"",0)</f>
        <v>2.1475732499985185E-17</v>
      </c>
      <c r="CC9" s="1">
        <f>_xlfn.XLOOKUP($B9,Sort_Alpha!$B$5:$B$47,Sort_Alpha!CC$5:CC$47,"",0)</f>
        <v>2.4719847822278836E-16</v>
      </c>
    </row>
    <row r="10" spans="2:81" x14ac:dyDescent="0.15">
      <c r="B10" t="s">
        <v>4</v>
      </c>
      <c r="C10" s="1">
        <f>_xlfn.XLOOKUP($B10,Sort_Alpha!$B$5:$B$47,Sort_Alpha!C$5:C$47,"",0)</f>
        <v>5.8705502694681625E-16</v>
      </c>
      <c r="D10" s="1">
        <f>_xlfn.XLOOKUP($B10,Sort_Alpha!$B$5:$B$47,Sort_Alpha!D$5:D$47,"",0)</f>
        <v>1.2436647988493321E-15</v>
      </c>
      <c r="E10" s="1">
        <f>_xlfn.XLOOKUP($B10,Sort_Alpha!$B$5:$B$47,Sort_Alpha!E$5:E$47,"",0)</f>
        <v>1.3894624669157391E-14</v>
      </c>
      <c r="F10" s="1">
        <f>_xlfn.XLOOKUP($B10,Sort_Alpha!$B$5:$B$47,Sort_Alpha!F$5:F$47,"",0)</f>
        <v>4.2407655921913109E-15</v>
      </c>
      <c r="G10" s="1">
        <f>_xlfn.XLOOKUP($B10,Sort_Alpha!$B$5:$B$47,Sort_Alpha!G$5:G$47,"",0)</f>
        <v>1.5735782354039873E-16</v>
      </c>
      <c r="H10" s="1">
        <f>_xlfn.XLOOKUP($B10,Sort_Alpha!$B$5:$B$47,Sort_Alpha!H$5:H$47,"",0)</f>
        <v>2.2618658465137722E-15</v>
      </c>
      <c r="I10" s="1">
        <f>_xlfn.XLOOKUP($B10,Sort_Alpha!$B$5:$B$47,Sort_Alpha!I$5:I$47,"",0)</f>
        <v>4.7740381641876717E-12</v>
      </c>
      <c r="J10" s="1">
        <f>_xlfn.XLOOKUP($B10,Sort_Alpha!$B$5:$B$47,Sort_Alpha!J$5:J$47,"",0)</f>
        <v>5.8660486782429907E-12</v>
      </c>
      <c r="K10" s="1">
        <f>_xlfn.XLOOKUP($B10,Sort_Alpha!$B$5:$B$47,Sort_Alpha!K$5:K$47,"",0)</f>
        <v>4.8982155835893348E-12</v>
      </c>
      <c r="L10" s="1">
        <f>_xlfn.XLOOKUP($B10,Sort_Alpha!$B$5:$B$47,Sort_Alpha!L$5:L$47,"",0)</f>
        <v>5.0024073165151391E-14</v>
      </c>
      <c r="M10" s="1">
        <f>_xlfn.XLOOKUP($B10,Sort_Alpha!$B$5:$B$47,Sort_Alpha!M$5:M$47,"",0)</f>
        <v>1.4032279744865861E-14</v>
      </c>
      <c r="N10" s="1">
        <f>_xlfn.XLOOKUP($B10,Sort_Alpha!$B$5:$B$47,Sort_Alpha!N$5:N$47,"",0)</f>
        <v>1.4032279744865861E-14</v>
      </c>
      <c r="O10" s="1">
        <f>_xlfn.XLOOKUP($B10,Sort_Alpha!$B$5:$B$47,Sort_Alpha!O$5:O$47,"",0)</f>
        <v>7.5197356508139331E-16</v>
      </c>
      <c r="P10" s="1">
        <f>_xlfn.XLOOKUP($B10,Sort_Alpha!$B$5:$B$47,Sort_Alpha!P$5:P$47,"",0)</f>
        <v>1.9299236504365053E-16</v>
      </c>
      <c r="Q10" s="1">
        <f>_xlfn.XLOOKUP($B10,Sort_Alpha!$B$5:$B$47,Sort_Alpha!Q$5:Q$47,"",0)</f>
        <v>9.8042575663076917E-16</v>
      </c>
      <c r="R10" s="1">
        <f>_xlfn.XLOOKUP($B10,Sort_Alpha!$B$5:$B$47,Sort_Alpha!R$5:R$47,"",0)</f>
        <v>9.8042575663076917E-16</v>
      </c>
      <c r="S10" s="1">
        <f>_xlfn.XLOOKUP($B10,Sort_Alpha!$B$5:$B$47,Sort_Alpha!S$5:S$47,"",0)</f>
        <v>2.8074740637151549E-16</v>
      </c>
      <c r="T10" s="1">
        <f>_xlfn.XLOOKUP($B10,Sort_Alpha!$B$5:$B$47,Sort_Alpha!T$5:T$47,"",0)</f>
        <v>6.9394619528152864E-16</v>
      </c>
      <c r="U10" s="1">
        <f>_xlfn.XLOOKUP($B10,Sort_Alpha!$B$5:$B$47,Sort_Alpha!U$5:U$47,"",0)</f>
        <v>6.9394619528152864E-16</v>
      </c>
      <c r="V10" s="1">
        <f>_xlfn.XLOOKUP($B10,Sort_Alpha!$B$5:$B$47,Sort_Alpha!V$5:V$47,"",0)</f>
        <v>6.9394619528152864E-16</v>
      </c>
      <c r="W10" s="1">
        <f>_xlfn.XLOOKUP($B10,Sort_Alpha!$B$5:$B$47,Sort_Alpha!W$5:W$47,"",0)</f>
        <v>6.9394619528152864E-16</v>
      </c>
      <c r="X10" s="1">
        <f>_xlfn.XLOOKUP($B10,Sort_Alpha!$B$5:$B$47,Sort_Alpha!X$5:X$47,"",0)</f>
        <v>6.9394619528152864E-16</v>
      </c>
      <c r="Y10" s="1">
        <f>_xlfn.XLOOKUP($B10,Sort_Alpha!$B$5:$B$47,Sort_Alpha!Y$5:Y$47,"",0)</f>
        <v>2.1251869064627577E-16</v>
      </c>
      <c r="Z10" s="1">
        <f>_xlfn.XLOOKUP($B10,Sort_Alpha!$B$5:$B$47,Sort_Alpha!Z$5:Z$47,"",0)</f>
        <v>9.7049609085633376E-16</v>
      </c>
      <c r="AA10" s="1">
        <f>_xlfn.XLOOKUP($B10,Sort_Alpha!$B$5:$B$47,Sort_Alpha!AA$5:AA$47,"",0)</f>
        <v>9.8579656787250051E-16</v>
      </c>
      <c r="AB10" s="1">
        <f>_xlfn.XLOOKUP($B10,Sort_Alpha!$B$5:$B$47,Sort_Alpha!AB$5:AB$47,"",0)</f>
        <v>1.6807677809918968E-14</v>
      </c>
      <c r="AC10" s="1">
        <f>_xlfn.XLOOKUP($B10,Sort_Alpha!$B$5:$B$47,Sort_Alpha!AC$5:AC$47,"",0)</f>
        <v>5.9423511671075587E-16</v>
      </c>
      <c r="AD10" s="1">
        <f>_xlfn.XLOOKUP($B10,Sort_Alpha!$B$5:$B$47,Sort_Alpha!AD$5:AD$47,"",0)</f>
        <v>1.1101401735835336E-16</v>
      </c>
      <c r="AE10" s="1">
        <f>_xlfn.XLOOKUP($B10,Sort_Alpha!$B$5:$B$47,Sort_Alpha!AE$5:AE$47,"",0)</f>
        <v>1.0756972490024203E-16</v>
      </c>
      <c r="AF10" s="1">
        <f>_xlfn.XLOOKUP($B10,Sort_Alpha!$B$5:$B$47,Sort_Alpha!AF$5:AF$47,"",0)</f>
        <v>1.0756972490024203E-16</v>
      </c>
      <c r="AG10" s="1">
        <f>_xlfn.XLOOKUP($B10,Sort_Alpha!$B$5:$B$47,Sort_Alpha!AG$5:AG$47,"",0)</f>
        <v>1.595384661757226E-15</v>
      </c>
      <c r="AH10" s="1">
        <f>_xlfn.XLOOKUP($B10,Sort_Alpha!$B$5:$B$47,Sort_Alpha!AH$5:AH$47,"",0)</f>
        <v>9.3103709882881434E-14</v>
      </c>
      <c r="AI10" s="1">
        <f>_xlfn.XLOOKUP($B10,Sort_Alpha!$B$5:$B$47,Sort_Alpha!AI$5:AI$47,"",0)</f>
        <v>1.475974608152217E-14</v>
      </c>
      <c r="AJ10" s="1">
        <f>_xlfn.XLOOKUP($B10,Sort_Alpha!$B$5:$B$47,Sort_Alpha!AJ$5:AJ$47,"",0)</f>
        <v>9.7229035396807409E-16</v>
      </c>
      <c r="AK10" s="1">
        <f>_xlfn.XLOOKUP($B10,Sort_Alpha!$B$5:$B$47,Sort_Alpha!AK$5:AK$47,"",0)</f>
        <v>3.0422994327216418E-15</v>
      </c>
      <c r="AL10" s="1">
        <f>_xlfn.XLOOKUP($B10,Sort_Alpha!$B$5:$B$47,Sort_Alpha!AL$5:AL$47,"",0)</f>
        <v>1.0090032528060481E-13</v>
      </c>
      <c r="AM10" s="1">
        <f>_xlfn.XLOOKUP($B10,Sort_Alpha!$B$5:$B$47,Sort_Alpha!AM$5:AM$47,"",0)</f>
        <v>6.4752583088004421E-16</v>
      </c>
      <c r="AN10" s="1">
        <f>_xlfn.XLOOKUP($B10,Sort_Alpha!$B$5:$B$47,Sort_Alpha!AN$5:AN$47,"",0)</f>
        <v>1.9291194878055917E-14</v>
      </c>
      <c r="AO10" s="1">
        <f>_xlfn.XLOOKUP($B10,Sort_Alpha!$B$5:$B$47,Sort_Alpha!AO$5:AO$47,"",0)</f>
        <v>1.9291194878055917E-14</v>
      </c>
      <c r="AP10" s="1">
        <f>_xlfn.XLOOKUP($B10,Sort_Alpha!$B$5:$B$47,Sort_Alpha!AP$5:AP$47,"",0)</f>
        <v>1.9291194878055917E-14</v>
      </c>
      <c r="AQ10" s="1">
        <f>_xlfn.XLOOKUP($B10,Sort_Alpha!$B$5:$B$47,Sort_Alpha!AQ$5:AQ$47,"",0)</f>
        <v>5.96792326551757E-16</v>
      </c>
      <c r="AR10" s="1">
        <f>_xlfn.XLOOKUP($B10,Sort_Alpha!$B$5:$B$47,Sort_Alpha!AR$5:AR$47,"",0)</f>
        <v>5.96792326551757E-16</v>
      </c>
      <c r="AS10" s="1">
        <f>_xlfn.XLOOKUP($B10,Sort_Alpha!$B$5:$B$47,Sort_Alpha!AS$5:AS$47,"",0)</f>
        <v>2.3370239779461615E-17</v>
      </c>
      <c r="AT10" s="1">
        <f>_xlfn.XLOOKUP($B10,Sort_Alpha!$B$5:$B$47,Sort_Alpha!AT$5:AT$47,"",0)</f>
        <v>6.0089860569326962E-16</v>
      </c>
      <c r="AU10" s="1">
        <f>_xlfn.XLOOKUP($B10,Sort_Alpha!$B$5:$B$47,Sort_Alpha!AU$5:AU$47,"",0)</f>
        <v>2.6501711762297424E-16</v>
      </c>
      <c r="AV10" s="1">
        <f>_xlfn.XLOOKUP($B10,Sort_Alpha!$B$5:$B$47,Sort_Alpha!AV$5:AV$47,"",0)</f>
        <v>0</v>
      </c>
      <c r="AW10" s="1">
        <f>_xlfn.XLOOKUP($B10,Sort_Alpha!$B$5:$B$47,Sort_Alpha!AW$5:AW$47,"",0)</f>
        <v>3.1614697368031806E-17</v>
      </c>
      <c r="AX10" s="1">
        <f>_xlfn.XLOOKUP($B10,Sort_Alpha!$B$5:$B$47,Sort_Alpha!AX$5:AX$47,"",0)</f>
        <v>2.5099816101897559E-17</v>
      </c>
      <c r="AY10" s="1">
        <f>_xlfn.XLOOKUP($B10,Sort_Alpha!$B$5:$B$47,Sort_Alpha!AY$5:AY$47,"",0)</f>
        <v>2.5099816101897559E-17</v>
      </c>
      <c r="AZ10" s="1">
        <f>_xlfn.XLOOKUP($B10,Sort_Alpha!$B$5:$B$47,Sort_Alpha!AZ$5:AZ$47,"",0)</f>
        <v>2.2802679592398484E-15</v>
      </c>
      <c r="BA10" s="1">
        <f>_xlfn.XLOOKUP($B10,Sort_Alpha!$B$5:$B$47,Sort_Alpha!BA$5:BA$47,"",0)</f>
        <v>5.8948138727728803E-14</v>
      </c>
      <c r="BB10" s="1">
        <f>_xlfn.XLOOKUP($B10,Sort_Alpha!$B$5:$B$47,Sort_Alpha!BB$5:BB$47,"",0)</f>
        <v>1.4748948624641014E-16</v>
      </c>
      <c r="BC10" s="1">
        <f>_xlfn.XLOOKUP($B10,Sort_Alpha!$B$5:$B$47,Sort_Alpha!BC$5:BC$47,"",0)</f>
        <v>1.4299910678134813E-16</v>
      </c>
      <c r="BD10" s="1">
        <f>_xlfn.XLOOKUP($B10,Sort_Alpha!$B$5:$B$47,Sort_Alpha!BD$5:BD$47,"",0)</f>
        <v>1.4299910678134813E-16</v>
      </c>
      <c r="BE10" s="1">
        <f>_xlfn.XLOOKUP($B10,Sort_Alpha!$B$5:$B$47,Sort_Alpha!BE$5:BE$47,"",0)</f>
        <v>5.7309676360494285E-16</v>
      </c>
      <c r="BF10" s="1">
        <f>_xlfn.XLOOKUP($B10,Sort_Alpha!$B$5:$B$47,Sort_Alpha!BF$5:BF$47,"",0)</f>
        <v>4.1507915522333198E-16</v>
      </c>
      <c r="BG10" s="1">
        <f>_xlfn.XLOOKUP($B10,Sort_Alpha!$B$5:$B$47,Sort_Alpha!BG$5:BG$47,"",0)</f>
        <v>2.5983210529740154E-16</v>
      </c>
      <c r="BH10" s="1">
        <f>_xlfn.XLOOKUP($B10,Sort_Alpha!$B$5:$B$47,Sort_Alpha!BH$5:BH$47,"",0)</f>
        <v>2.1581898217705207E-16</v>
      </c>
      <c r="BI10" s="1">
        <f>_xlfn.XLOOKUP($B10,Sort_Alpha!$B$5:$B$47,Sort_Alpha!BI$5:BI$47,"",0)</f>
        <v>2.1581898217705207E-16</v>
      </c>
      <c r="BJ10" s="1">
        <f>_xlfn.XLOOKUP($B10,Sort_Alpha!$B$5:$B$47,Sort_Alpha!BJ$5:BJ$47,"",0)</f>
        <v>2.1581898217705207E-16</v>
      </c>
      <c r="BK10" s="1">
        <f>_xlfn.XLOOKUP($B10,Sort_Alpha!$B$5:$B$47,Sort_Alpha!BK$5:BK$47,"",0)</f>
        <v>1.7177828907684213E-15</v>
      </c>
      <c r="BL10" s="1">
        <f>_xlfn.XLOOKUP($B10,Sort_Alpha!$B$5:$B$47,Sort_Alpha!BL$5:BL$47,"",0)</f>
        <v>1.3217154051870574E-15</v>
      </c>
      <c r="BM10" s="1">
        <f>_xlfn.XLOOKUP($B10,Sort_Alpha!$B$5:$B$47,Sort_Alpha!BM$5:BM$47,"",0)</f>
        <v>1.0570004115807719E-15</v>
      </c>
      <c r="BN10" s="1">
        <f>_xlfn.XLOOKUP($B10,Sort_Alpha!$B$5:$B$47,Sort_Alpha!BN$5:BN$47,"",0)</f>
        <v>1.0570004115807719E-15</v>
      </c>
      <c r="BO10" s="1">
        <f>_xlfn.XLOOKUP($B10,Sort_Alpha!$B$5:$B$47,Sort_Alpha!BO$5:BO$47,"",0)</f>
        <v>4.8547186108094478E-16</v>
      </c>
      <c r="BP10" s="1">
        <f>_xlfn.XLOOKUP($B10,Sort_Alpha!$B$5:$B$47,Sort_Alpha!BP$5:BP$47,"",0)</f>
        <v>4.8547186108094478E-16</v>
      </c>
      <c r="BQ10" s="1">
        <f>_xlfn.XLOOKUP($B10,Sort_Alpha!$B$5:$B$47,Sort_Alpha!BQ$5:BQ$47,"",0)</f>
        <v>0</v>
      </c>
      <c r="BR10" s="1">
        <f>_xlfn.XLOOKUP($B10,Sort_Alpha!$B$5:$B$47,Sort_Alpha!BR$5:BR$47,"",0)</f>
        <v>7.9552848570776144E-15</v>
      </c>
      <c r="BS10" s="1">
        <f>_xlfn.XLOOKUP($B10,Sort_Alpha!$B$5:$B$47,Sort_Alpha!BS$5:BS$47,"",0)</f>
        <v>2.7684059756220601E-15</v>
      </c>
      <c r="BT10" s="1">
        <f>_xlfn.XLOOKUP($B10,Sort_Alpha!$B$5:$B$47,Sort_Alpha!BT$5:BT$47,"",0)</f>
        <v>6.2822058110977255E-16</v>
      </c>
      <c r="BU10" s="1">
        <f>_xlfn.XLOOKUP($B10,Sort_Alpha!$B$5:$B$47,Sort_Alpha!BU$5:BU$47,"",0)</f>
        <v>5.0723675140698857E-16</v>
      </c>
      <c r="BV10" s="1">
        <f>_xlfn.XLOOKUP($B10,Sort_Alpha!$B$5:$B$47,Sort_Alpha!BV$5:BV$47,"",0)</f>
        <v>1.2245144344130798E-15</v>
      </c>
      <c r="BW10" s="1">
        <f>_xlfn.XLOOKUP($B10,Sort_Alpha!$B$5:$B$47,Sort_Alpha!BW$5:BW$47,"",0)</f>
        <v>7.7256760532956507E-16</v>
      </c>
      <c r="BX10" s="1">
        <f>_xlfn.XLOOKUP($B10,Sort_Alpha!$B$5:$B$47,Sort_Alpha!BX$5:BX$47,"",0)</f>
        <v>7.7256760532956507E-16</v>
      </c>
      <c r="BY10" s="1">
        <f>_xlfn.XLOOKUP($B10,Sort_Alpha!$B$5:$B$47,Sort_Alpha!BY$5:BY$47,"",0)</f>
        <v>2.1976731088859219E-16</v>
      </c>
      <c r="BZ10" s="1">
        <f>_xlfn.XLOOKUP($B10,Sort_Alpha!$B$5:$B$47,Sort_Alpha!BZ$5:BZ$47,"",0)</f>
        <v>2.6215916325624027E-17</v>
      </c>
      <c r="CA10" s="1">
        <f>_xlfn.XLOOKUP($B10,Sort_Alpha!$B$5:$B$47,Sort_Alpha!CA$5:CA$47,"",0)</f>
        <v>2.4259515603013651E-17</v>
      </c>
      <c r="CB10" s="1">
        <f>_xlfn.XLOOKUP($B10,Sort_Alpha!$B$5:$B$47,Sort_Alpha!CB$5:CB$47,"",0)</f>
        <v>2.0175746467975534E-17</v>
      </c>
      <c r="CC10" s="1">
        <f>_xlfn.XLOOKUP($B10,Sort_Alpha!$B$5:$B$47,Sort_Alpha!CC$5:CC$47,"",0)</f>
        <v>5.7148728070048644E-16</v>
      </c>
    </row>
    <row r="11" spans="2:81" x14ac:dyDescent="0.15">
      <c r="B11" t="s">
        <v>5</v>
      </c>
      <c r="C11" s="1">
        <f>_xlfn.XLOOKUP($B11,Sort_Alpha!$B$5:$B$47,Sort_Alpha!C$5:C$47,"",0)</f>
        <v>5.8705502694681625E-16</v>
      </c>
      <c r="D11" s="1">
        <f>_xlfn.XLOOKUP($B11,Sort_Alpha!$B$5:$B$47,Sort_Alpha!D$5:D$47,"",0)</f>
        <v>1.2436647988493321E-15</v>
      </c>
      <c r="E11" s="1">
        <f>_xlfn.XLOOKUP($B11,Sort_Alpha!$B$5:$B$47,Sort_Alpha!E$5:E$47,"",0)</f>
        <v>1.3794572159976154E-14</v>
      </c>
      <c r="F11" s="1">
        <f>_xlfn.XLOOKUP($B11,Sort_Alpha!$B$5:$B$47,Sort_Alpha!F$5:F$47,"",0)</f>
        <v>4.2407655921913109E-15</v>
      </c>
      <c r="G11" s="1">
        <f>_xlfn.XLOOKUP($B11,Sort_Alpha!$B$5:$B$47,Sort_Alpha!G$5:G$47,"",0)</f>
        <v>1.5735782354039873E-16</v>
      </c>
      <c r="H11" s="1">
        <f>_xlfn.XLOOKUP($B11,Sort_Alpha!$B$5:$B$47,Sort_Alpha!H$5:H$47,"",0)</f>
        <v>2.2618658465137722E-15</v>
      </c>
      <c r="I11" s="1">
        <f>_xlfn.XLOOKUP($B11,Sort_Alpha!$B$5:$B$47,Sort_Alpha!I$5:I$47,"",0)</f>
        <v>5.888104342475699E-12</v>
      </c>
      <c r="J11" s="1">
        <f>_xlfn.XLOOKUP($B11,Sort_Alpha!$B$5:$B$47,Sort_Alpha!J$5:J$47,"",0)</f>
        <v>6.2059085202168084E-12</v>
      </c>
      <c r="K11" s="1">
        <f>_xlfn.XLOOKUP($B11,Sort_Alpha!$B$5:$B$47,Sort_Alpha!K$5:K$47,"",0)</f>
        <v>4.4847021335154824E-12</v>
      </c>
      <c r="L11" s="1">
        <f>_xlfn.XLOOKUP($B11,Sort_Alpha!$B$5:$B$47,Sort_Alpha!L$5:L$47,"",0)</f>
        <v>5.0024073165151391E-14</v>
      </c>
      <c r="M11" s="1">
        <f>_xlfn.XLOOKUP($B11,Sort_Alpha!$B$5:$B$47,Sort_Alpha!M$5:M$47,"",0)</f>
        <v>1.4032279744865861E-14</v>
      </c>
      <c r="N11" s="1">
        <f>_xlfn.XLOOKUP($B11,Sort_Alpha!$B$5:$B$47,Sort_Alpha!N$5:N$47,"",0)</f>
        <v>1.4032279744865861E-14</v>
      </c>
      <c r="O11" s="1">
        <f>_xlfn.XLOOKUP($B11,Sort_Alpha!$B$5:$B$47,Sort_Alpha!O$5:O$47,"",0)</f>
        <v>7.5197356508139331E-16</v>
      </c>
      <c r="P11" s="1">
        <f>_xlfn.XLOOKUP($B11,Sort_Alpha!$B$5:$B$47,Sort_Alpha!P$5:P$47,"",0)</f>
        <v>1.9299236504365053E-16</v>
      </c>
      <c r="Q11" s="1">
        <f>_xlfn.XLOOKUP($B11,Sort_Alpha!$B$5:$B$47,Sort_Alpha!Q$5:Q$47,"",0)</f>
        <v>9.8042575663076917E-16</v>
      </c>
      <c r="R11" s="1">
        <f>_xlfn.XLOOKUP($B11,Sort_Alpha!$B$5:$B$47,Sort_Alpha!R$5:R$47,"",0)</f>
        <v>9.8042575663076917E-16</v>
      </c>
      <c r="S11" s="1">
        <f>_xlfn.XLOOKUP($B11,Sort_Alpha!$B$5:$B$47,Sort_Alpha!S$5:S$47,"",0)</f>
        <v>2.8074740637151549E-16</v>
      </c>
      <c r="T11" s="1">
        <f>_xlfn.XLOOKUP($B11,Sort_Alpha!$B$5:$B$47,Sort_Alpha!T$5:T$47,"",0)</f>
        <v>6.9394619528152864E-16</v>
      </c>
      <c r="U11" s="1">
        <f>_xlfn.XLOOKUP($B11,Sort_Alpha!$B$5:$B$47,Sort_Alpha!U$5:U$47,"",0)</f>
        <v>6.9394619528152864E-16</v>
      </c>
      <c r="V11" s="1">
        <f>_xlfn.XLOOKUP($B11,Sort_Alpha!$B$5:$B$47,Sort_Alpha!V$5:V$47,"",0)</f>
        <v>6.9394619528152864E-16</v>
      </c>
      <c r="W11" s="1">
        <f>_xlfn.XLOOKUP($B11,Sort_Alpha!$B$5:$B$47,Sort_Alpha!W$5:W$47,"",0)</f>
        <v>6.9394619528152864E-16</v>
      </c>
      <c r="X11" s="1">
        <f>_xlfn.XLOOKUP($B11,Sort_Alpha!$B$5:$B$47,Sort_Alpha!X$5:X$47,"",0)</f>
        <v>6.9394619528152864E-16</v>
      </c>
      <c r="Y11" s="1">
        <f>_xlfn.XLOOKUP($B11,Sort_Alpha!$B$5:$B$47,Sort_Alpha!Y$5:Y$47,"",0)</f>
        <v>2.1251869064627577E-16</v>
      </c>
      <c r="Z11" s="1">
        <f>_xlfn.XLOOKUP($B11,Sort_Alpha!$B$5:$B$47,Sort_Alpha!Z$5:Z$47,"",0)</f>
        <v>9.7049609085633376E-16</v>
      </c>
      <c r="AA11" s="1">
        <f>_xlfn.XLOOKUP($B11,Sort_Alpha!$B$5:$B$47,Sort_Alpha!AA$5:AA$47,"",0)</f>
        <v>9.8579656787250051E-16</v>
      </c>
      <c r="AB11" s="1">
        <f>_xlfn.XLOOKUP($B11,Sort_Alpha!$B$5:$B$47,Sort_Alpha!AB$5:AB$47,"",0)</f>
        <v>1.6807677809918968E-14</v>
      </c>
      <c r="AC11" s="1">
        <f>_xlfn.XLOOKUP($B11,Sort_Alpha!$B$5:$B$47,Sort_Alpha!AC$5:AC$47,"",0)</f>
        <v>5.9423511671075587E-16</v>
      </c>
      <c r="AD11" s="1">
        <f>_xlfn.XLOOKUP($B11,Sort_Alpha!$B$5:$B$47,Sort_Alpha!AD$5:AD$47,"",0)</f>
        <v>1.1101401735835336E-16</v>
      </c>
      <c r="AE11" s="1">
        <f>_xlfn.XLOOKUP($B11,Sort_Alpha!$B$5:$B$47,Sort_Alpha!AE$5:AE$47,"",0)</f>
        <v>1.0756972490024203E-16</v>
      </c>
      <c r="AF11" s="1">
        <f>_xlfn.XLOOKUP($B11,Sort_Alpha!$B$5:$B$47,Sort_Alpha!AF$5:AF$47,"",0)</f>
        <v>1.0756972490024203E-16</v>
      </c>
      <c r="AG11" s="1">
        <f>_xlfn.XLOOKUP($B11,Sort_Alpha!$B$5:$B$47,Sort_Alpha!AG$5:AG$47,"",0)</f>
        <v>1.595384661757226E-15</v>
      </c>
      <c r="AH11" s="1">
        <f>_xlfn.XLOOKUP($B11,Sort_Alpha!$B$5:$B$47,Sort_Alpha!AH$5:AH$47,"",0)</f>
        <v>9.2418534954947766E-14</v>
      </c>
      <c r="AI11" s="1">
        <f>_xlfn.XLOOKUP($B11,Sort_Alpha!$B$5:$B$47,Sort_Alpha!AI$5:AI$47,"",0)</f>
        <v>1.475974608152217E-14</v>
      </c>
      <c r="AJ11" s="1">
        <f>_xlfn.XLOOKUP($B11,Sort_Alpha!$B$5:$B$47,Sort_Alpha!AJ$5:AJ$47,"",0)</f>
        <v>9.7229035396807409E-16</v>
      </c>
      <c r="AK11" s="1">
        <f>_xlfn.XLOOKUP($B11,Sort_Alpha!$B$5:$B$47,Sort_Alpha!AK$5:AK$47,"",0)</f>
        <v>3.0422994327216418E-15</v>
      </c>
      <c r="AL11" s="1">
        <f>_xlfn.XLOOKUP($B11,Sort_Alpha!$B$5:$B$47,Sort_Alpha!AL$5:AL$47,"",0)</f>
        <v>1.0090032528060481E-13</v>
      </c>
      <c r="AM11" s="1">
        <f>_xlfn.XLOOKUP($B11,Sort_Alpha!$B$5:$B$47,Sort_Alpha!AM$5:AM$47,"",0)</f>
        <v>6.4752583088004421E-16</v>
      </c>
      <c r="AN11" s="1">
        <f>_xlfn.XLOOKUP($B11,Sort_Alpha!$B$5:$B$47,Sort_Alpha!AN$5:AN$47,"",0)</f>
        <v>1.9291194878055917E-14</v>
      </c>
      <c r="AO11" s="1">
        <f>_xlfn.XLOOKUP($B11,Sort_Alpha!$B$5:$B$47,Sort_Alpha!AO$5:AO$47,"",0)</f>
        <v>1.9291194878055917E-14</v>
      </c>
      <c r="AP11" s="1">
        <f>_xlfn.XLOOKUP($B11,Sort_Alpha!$B$5:$B$47,Sort_Alpha!AP$5:AP$47,"",0)</f>
        <v>1.9291194878055917E-14</v>
      </c>
      <c r="AQ11" s="1">
        <f>_xlfn.XLOOKUP($B11,Sort_Alpha!$B$5:$B$47,Sort_Alpha!AQ$5:AQ$47,"",0)</f>
        <v>5.96792326551757E-16</v>
      </c>
      <c r="AR11" s="1">
        <f>_xlfn.XLOOKUP($B11,Sort_Alpha!$B$5:$B$47,Sort_Alpha!AR$5:AR$47,"",0)</f>
        <v>5.96792326551757E-16</v>
      </c>
      <c r="AS11" s="1">
        <f>_xlfn.XLOOKUP($B11,Sort_Alpha!$B$5:$B$47,Sort_Alpha!AS$5:AS$47,"",0)</f>
        <v>2.3370239779461615E-17</v>
      </c>
      <c r="AT11" s="1">
        <f>_xlfn.XLOOKUP($B11,Sort_Alpha!$B$5:$B$47,Sort_Alpha!AT$5:AT$47,"",0)</f>
        <v>6.0089860569326962E-16</v>
      </c>
      <c r="AU11" s="1">
        <f>_xlfn.XLOOKUP($B11,Sort_Alpha!$B$5:$B$47,Sort_Alpha!AU$5:AU$47,"",0)</f>
        <v>2.6501711762297424E-16</v>
      </c>
      <c r="AV11" s="1">
        <f>_xlfn.XLOOKUP($B11,Sort_Alpha!$B$5:$B$47,Sort_Alpha!AV$5:AV$47,"",0)</f>
        <v>0</v>
      </c>
      <c r="AW11" s="1">
        <f>_xlfn.XLOOKUP($B11,Sort_Alpha!$B$5:$B$47,Sort_Alpha!AW$5:AW$47,"",0)</f>
        <v>3.1614697368031806E-17</v>
      </c>
      <c r="AX11" s="1">
        <f>_xlfn.XLOOKUP($B11,Sort_Alpha!$B$5:$B$47,Sort_Alpha!AX$5:AX$47,"",0)</f>
        <v>2.5099816101897559E-17</v>
      </c>
      <c r="AY11" s="1">
        <f>_xlfn.XLOOKUP($B11,Sort_Alpha!$B$5:$B$47,Sort_Alpha!AY$5:AY$47,"",0)</f>
        <v>2.5099816101897559E-17</v>
      </c>
      <c r="AZ11" s="1">
        <f>_xlfn.XLOOKUP($B11,Sort_Alpha!$B$5:$B$47,Sort_Alpha!AZ$5:AZ$47,"",0)</f>
        <v>2.2802679592398484E-15</v>
      </c>
      <c r="BA11" s="1">
        <f>_xlfn.XLOOKUP($B11,Sort_Alpha!$B$5:$B$47,Sort_Alpha!BA$5:BA$47,"",0)</f>
        <v>6.442602307882437E-14</v>
      </c>
      <c r="BB11" s="1">
        <f>_xlfn.XLOOKUP($B11,Sort_Alpha!$B$5:$B$47,Sort_Alpha!BB$5:BB$47,"",0)</f>
        <v>1.4748948624641014E-16</v>
      </c>
      <c r="BC11" s="1">
        <f>_xlfn.XLOOKUP($B11,Sort_Alpha!$B$5:$B$47,Sort_Alpha!BC$5:BC$47,"",0)</f>
        <v>1.4299910678134813E-16</v>
      </c>
      <c r="BD11" s="1">
        <f>_xlfn.XLOOKUP($B11,Sort_Alpha!$B$5:$B$47,Sort_Alpha!BD$5:BD$47,"",0)</f>
        <v>1.4299910678134813E-16</v>
      </c>
      <c r="BE11" s="1">
        <f>_xlfn.XLOOKUP($B11,Sort_Alpha!$B$5:$B$47,Sort_Alpha!BE$5:BE$47,"",0)</f>
        <v>5.7309676360494285E-16</v>
      </c>
      <c r="BF11" s="1">
        <f>_xlfn.XLOOKUP($B11,Sort_Alpha!$B$5:$B$47,Sort_Alpha!BF$5:BF$47,"",0)</f>
        <v>4.1507915522333198E-16</v>
      </c>
      <c r="BG11" s="1">
        <f>_xlfn.XLOOKUP($B11,Sort_Alpha!$B$5:$B$47,Sort_Alpha!BG$5:BG$47,"",0)</f>
        <v>2.5983210529740154E-16</v>
      </c>
      <c r="BH11" s="1">
        <f>_xlfn.XLOOKUP($B11,Sort_Alpha!$B$5:$B$47,Sort_Alpha!BH$5:BH$47,"",0)</f>
        <v>2.1581898217705207E-16</v>
      </c>
      <c r="BI11" s="1">
        <f>_xlfn.XLOOKUP($B11,Sort_Alpha!$B$5:$B$47,Sort_Alpha!BI$5:BI$47,"",0)</f>
        <v>2.1581898217705207E-16</v>
      </c>
      <c r="BJ11" s="1">
        <f>_xlfn.XLOOKUP($B11,Sort_Alpha!$B$5:$B$47,Sort_Alpha!BJ$5:BJ$47,"",0)</f>
        <v>2.1581898217705207E-16</v>
      </c>
      <c r="BK11" s="1">
        <f>_xlfn.XLOOKUP($B11,Sort_Alpha!$B$5:$B$47,Sort_Alpha!BK$5:BK$47,"",0)</f>
        <v>1.7177828907684213E-15</v>
      </c>
      <c r="BL11" s="1">
        <f>_xlfn.XLOOKUP($B11,Sort_Alpha!$B$5:$B$47,Sort_Alpha!BL$5:BL$47,"",0)</f>
        <v>1.3217154051870574E-15</v>
      </c>
      <c r="BM11" s="1">
        <f>_xlfn.XLOOKUP($B11,Sort_Alpha!$B$5:$B$47,Sort_Alpha!BM$5:BM$47,"",0)</f>
        <v>1.0570004115807719E-15</v>
      </c>
      <c r="BN11" s="1">
        <f>_xlfn.XLOOKUP($B11,Sort_Alpha!$B$5:$B$47,Sort_Alpha!BN$5:BN$47,"",0)</f>
        <v>1.0570004115807719E-15</v>
      </c>
      <c r="BO11" s="1">
        <f>_xlfn.XLOOKUP($B11,Sort_Alpha!$B$5:$B$47,Sort_Alpha!BO$5:BO$47,"",0)</f>
        <v>4.8547186108094478E-16</v>
      </c>
      <c r="BP11" s="1">
        <f>_xlfn.XLOOKUP($B11,Sort_Alpha!$B$5:$B$47,Sort_Alpha!BP$5:BP$47,"",0)</f>
        <v>4.8547186108094478E-16</v>
      </c>
      <c r="BQ11" s="1">
        <f>_xlfn.XLOOKUP($B11,Sort_Alpha!$B$5:$B$47,Sort_Alpha!BQ$5:BQ$47,"",0)</f>
        <v>0</v>
      </c>
      <c r="BR11" s="1">
        <f>_xlfn.XLOOKUP($B11,Sort_Alpha!$B$5:$B$47,Sort_Alpha!BR$5:BR$47,"",0)</f>
        <v>7.9552848570776144E-15</v>
      </c>
      <c r="BS11" s="1">
        <f>_xlfn.XLOOKUP($B11,Sort_Alpha!$B$5:$B$47,Sort_Alpha!BS$5:BS$47,"",0)</f>
        <v>2.7684059756220601E-15</v>
      </c>
      <c r="BT11" s="1">
        <f>_xlfn.XLOOKUP($B11,Sort_Alpha!$B$5:$B$47,Sort_Alpha!BT$5:BT$47,"",0)</f>
        <v>6.2822058110977255E-16</v>
      </c>
      <c r="BU11" s="1">
        <f>_xlfn.XLOOKUP($B11,Sort_Alpha!$B$5:$B$47,Sort_Alpha!BU$5:BU$47,"",0)</f>
        <v>5.0723675140698857E-16</v>
      </c>
      <c r="BV11" s="1">
        <f>_xlfn.XLOOKUP($B11,Sort_Alpha!$B$5:$B$47,Sort_Alpha!BV$5:BV$47,"",0)</f>
        <v>1.2245144344130798E-15</v>
      </c>
      <c r="BW11" s="1">
        <f>_xlfn.XLOOKUP($B11,Sort_Alpha!$B$5:$B$47,Sort_Alpha!BW$5:BW$47,"",0)</f>
        <v>7.7256760532956507E-16</v>
      </c>
      <c r="BX11" s="1">
        <f>_xlfn.XLOOKUP($B11,Sort_Alpha!$B$5:$B$47,Sort_Alpha!BX$5:BX$47,"",0)</f>
        <v>7.7256760532956507E-16</v>
      </c>
      <c r="BY11" s="1">
        <f>_xlfn.XLOOKUP($B11,Sort_Alpha!$B$5:$B$47,Sort_Alpha!BY$5:BY$47,"",0)</f>
        <v>2.1976731088859219E-16</v>
      </c>
      <c r="BZ11" s="1">
        <f>_xlfn.XLOOKUP($B11,Sort_Alpha!$B$5:$B$47,Sort_Alpha!BZ$5:BZ$47,"",0)</f>
        <v>2.6215916325624027E-17</v>
      </c>
      <c r="CA11" s="1">
        <f>_xlfn.XLOOKUP($B11,Sort_Alpha!$B$5:$B$47,Sort_Alpha!CA$5:CA$47,"",0)</f>
        <v>2.4259515603013651E-17</v>
      </c>
      <c r="CB11" s="1">
        <f>_xlfn.XLOOKUP($B11,Sort_Alpha!$B$5:$B$47,Sort_Alpha!CB$5:CB$47,"",0)</f>
        <v>2.0175746467975534E-17</v>
      </c>
      <c r="CC11" s="1">
        <f>_xlfn.XLOOKUP($B11,Sort_Alpha!$B$5:$B$47,Sort_Alpha!CC$5:CC$47,"",0)</f>
        <v>5.7148728070048644E-16</v>
      </c>
    </row>
    <row r="12" spans="2:81" x14ac:dyDescent="0.15">
      <c r="B12" t="s">
        <v>6</v>
      </c>
      <c r="C12" s="1">
        <f>_xlfn.XLOOKUP($B12,Sort_Alpha!$B$5:$B$47,Sort_Alpha!C$5:C$47,"",0)</f>
        <v>5.7556220261119017E-16</v>
      </c>
      <c r="D12" s="1">
        <f>_xlfn.XLOOKUP($B12,Sort_Alpha!$B$5:$B$47,Sort_Alpha!D$5:D$47,"",0)</f>
        <v>1.5804595692271874E-15</v>
      </c>
      <c r="E12" s="1">
        <f>_xlfn.XLOOKUP($B12,Sort_Alpha!$B$5:$B$47,Sort_Alpha!E$5:E$47,"",0)</f>
        <v>4.0958385377107449E-14</v>
      </c>
      <c r="F12" s="1">
        <f>_xlfn.XLOOKUP($B12,Sort_Alpha!$B$5:$B$47,Sort_Alpha!F$5:F$47,"",0)</f>
        <v>4.2407655921913109E-15</v>
      </c>
      <c r="G12" s="1">
        <f>_xlfn.XLOOKUP($B12,Sort_Alpha!$B$5:$B$47,Sort_Alpha!G$5:G$47,"",0)</f>
        <v>1.5698003655181449E-16</v>
      </c>
      <c r="H12" s="1">
        <f>_xlfn.XLOOKUP($B12,Sort_Alpha!$B$5:$B$47,Sort_Alpha!H$5:H$47,"",0)</f>
        <v>2.8639747786826143E-15</v>
      </c>
      <c r="I12" s="1">
        <f>_xlfn.XLOOKUP($B12,Sort_Alpha!$B$5:$B$47,Sort_Alpha!I$5:I$47,"",0)</f>
        <v>9.943214844315238E-15</v>
      </c>
      <c r="J12" s="1">
        <f>_xlfn.XLOOKUP($B12,Sort_Alpha!$B$5:$B$47,Sort_Alpha!J$5:J$47,"",0)</f>
        <v>9.943214844315238E-15</v>
      </c>
      <c r="K12" s="1">
        <f>_xlfn.XLOOKUP($B12,Sort_Alpha!$B$5:$B$47,Sort_Alpha!K$5:K$47,"",0)</f>
        <v>9.943214844315238E-15</v>
      </c>
      <c r="L12" s="1">
        <f>_xlfn.XLOOKUP($B12,Sort_Alpha!$B$5:$B$47,Sort_Alpha!L$5:L$47,"",0)</f>
        <v>7.1450532981663775E-13</v>
      </c>
      <c r="M12" s="1">
        <f>_xlfn.XLOOKUP($B12,Sort_Alpha!$B$5:$B$47,Sort_Alpha!M$5:M$47,"",0)</f>
        <v>7.8695231134009772E-13</v>
      </c>
      <c r="N12" s="1">
        <f>_xlfn.XLOOKUP($B12,Sort_Alpha!$B$5:$B$47,Sort_Alpha!N$5:N$47,"",0)</f>
        <v>5.9454036317936127E-13</v>
      </c>
      <c r="O12" s="1">
        <f>_xlfn.XLOOKUP($B12,Sort_Alpha!$B$5:$B$47,Sort_Alpha!O$5:O$47,"",0)</f>
        <v>7.892598971144359E-16</v>
      </c>
      <c r="P12" s="1">
        <f>_xlfn.XLOOKUP($B12,Sort_Alpha!$B$5:$B$47,Sort_Alpha!P$5:P$47,"",0)</f>
        <v>2.2825516852473176E-16</v>
      </c>
      <c r="Q12" s="1">
        <f>_xlfn.XLOOKUP($B12,Sort_Alpha!$B$5:$B$47,Sort_Alpha!Q$5:Q$47,"",0)</f>
        <v>9.320446862254822E-16</v>
      </c>
      <c r="R12" s="1">
        <f>_xlfn.XLOOKUP($B12,Sort_Alpha!$B$5:$B$47,Sort_Alpha!R$5:R$47,"",0)</f>
        <v>9.320446862254822E-16</v>
      </c>
      <c r="S12" s="1">
        <f>_xlfn.XLOOKUP($B12,Sort_Alpha!$B$5:$B$47,Sort_Alpha!S$5:S$47,"",0)</f>
        <v>3.1242022252179807E-16</v>
      </c>
      <c r="T12" s="1">
        <f>_xlfn.XLOOKUP($B12,Sort_Alpha!$B$5:$B$47,Sort_Alpha!T$5:T$47,"",0)</f>
        <v>6.2615610042067597E-16</v>
      </c>
      <c r="U12" s="1">
        <f>_xlfn.XLOOKUP($B12,Sort_Alpha!$B$5:$B$47,Sort_Alpha!U$5:U$47,"",0)</f>
        <v>6.2615610042067597E-16</v>
      </c>
      <c r="V12" s="1">
        <f>_xlfn.XLOOKUP($B12,Sort_Alpha!$B$5:$B$47,Sort_Alpha!V$5:V$47,"",0)</f>
        <v>6.2615610042067597E-16</v>
      </c>
      <c r="W12" s="1">
        <f>_xlfn.XLOOKUP($B12,Sort_Alpha!$B$5:$B$47,Sort_Alpha!W$5:W$47,"",0)</f>
        <v>6.2615610042067597E-16</v>
      </c>
      <c r="X12" s="1">
        <f>_xlfn.XLOOKUP($B12,Sort_Alpha!$B$5:$B$47,Sort_Alpha!X$5:X$47,"",0)</f>
        <v>6.2615610042067597E-16</v>
      </c>
      <c r="Y12" s="1">
        <f>_xlfn.XLOOKUP($B12,Sort_Alpha!$B$5:$B$47,Sort_Alpha!Y$5:Y$47,"",0)</f>
        <v>2.395387831782751E-16</v>
      </c>
      <c r="Z12" s="1">
        <f>_xlfn.XLOOKUP($B12,Sort_Alpha!$B$5:$B$47,Sort_Alpha!Z$5:Z$47,"",0)</f>
        <v>1.3001758199742803E-15</v>
      </c>
      <c r="AA12" s="1">
        <f>_xlfn.XLOOKUP($B12,Sort_Alpha!$B$5:$B$47,Sort_Alpha!AA$5:AA$47,"",0)</f>
        <v>1.2924261277820626E-15</v>
      </c>
      <c r="AB12" s="1">
        <f>_xlfn.XLOOKUP($B12,Sort_Alpha!$B$5:$B$47,Sort_Alpha!AB$5:AB$47,"",0)</f>
        <v>7.0768810586441159E-15</v>
      </c>
      <c r="AC12" s="1">
        <f>_xlfn.XLOOKUP($B12,Sort_Alpha!$B$5:$B$47,Sort_Alpha!AC$5:AC$47,"",0)</f>
        <v>8.0257181056412874E-16</v>
      </c>
      <c r="AD12" s="1">
        <f>_xlfn.XLOOKUP($B12,Sort_Alpha!$B$5:$B$47,Sort_Alpha!AD$5:AD$47,"",0)</f>
        <v>1.4338904901900258E-16</v>
      </c>
      <c r="AE12" s="1">
        <f>_xlfn.XLOOKUP($B12,Sort_Alpha!$B$5:$B$47,Sort_Alpha!AE$5:AE$47,"",0)</f>
        <v>1.3897802148103569E-16</v>
      </c>
      <c r="AF12" s="1">
        <f>_xlfn.XLOOKUP($B12,Sort_Alpha!$B$5:$B$47,Sort_Alpha!AF$5:AF$47,"",0)</f>
        <v>1.3897802148103569E-16</v>
      </c>
      <c r="AG12" s="1">
        <f>_xlfn.XLOOKUP($B12,Sort_Alpha!$B$5:$B$47,Sort_Alpha!AG$5:AG$47,"",0)</f>
        <v>2.4241206079538714E-15</v>
      </c>
      <c r="AH12" s="1">
        <f>_xlfn.XLOOKUP($B12,Sort_Alpha!$B$5:$B$47,Sort_Alpha!AH$5:AH$47,"",0)</f>
        <v>5.325764679781033E-14</v>
      </c>
      <c r="AI12" s="1">
        <f>_xlfn.XLOOKUP($B12,Sort_Alpha!$B$5:$B$47,Sort_Alpha!AI$5:AI$47,"",0)</f>
        <v>5.0465439039283606E-14</v>
      </c>
      <c r="AJ12" s="1">
        <f>_xlfn.XLOOKUP($B12,Sort_Alpha!$B$5:$B$47,Sort_Alpha!AJ$5:AJ$47,"",0)</f>
        <v>9.1987540951335181E-16</v>
      </c>
      <c r="AK12" s="1">
        <f>_xlfn.XLOOKUP($B12,Sort_Alpha!$B$5:$B$47,Sort_Alpha!AK$5:AK$47,"",0)</f>
        <v>1.8414907881299237E-15</v>
      </c>
      <c r="AL12" s="1">
        <f>_xlfn.XLOOKUP($B12,Sort_Alpha!$B$5:$B$47,Sort_Alpha!AL$5:AL$47,"",0)</f>
        <v>7.7871789878177353E-15</v>
      </c>
      <c r="AM12" s="1">
        <f>_xlfn.XLOOKUP($B12,Sort_Alpha!$B$5:$B$47,Sort_Alpha!AM$5:AM$47,"",0)</f>
        <v>7.0814683966708715E-16</v>
      </c>
      <c r="AN12" s="1">
        <f>_xlfn.XLOOKUP($B12,Sort_Alpha!$B$5:$B$47,Sort_Alpha!AN$5:AN$47,"",0)</f>
        <v>5.5237228613051199E-15</v>
      </c>
      <c r="AO12" s="1">
        <f>_xlfn.XLOOKUP($B12,Sort_Alpha!$B$5:$B$47,Sort_Alpha!AO$5:AO$47,"",0)</f>
        <v>5.5237228613051199E-15</v>
      </c>
      <c r="AP12" s="1">
        <f>_xlfn.XLOOKUP($B12,Sort_Alpha!$B$5:$B$47,Sort_Alpha!AP$5:AP$47,"",0)</f>
        <v>5.5237228613051199E-15</v>
      </c>
      <c r="AQ12" s="1">
        <f>_xlfn.XLOOKUP($B12,Sort_Alpha!$B$5:$B$47,Sort_Alpha!AQ$5:AQ$47,"",0)</f>
        <v>5.927473152782844E-16</v>
      </c>
      <c r="AR12" s="1">
        <f>_xlfn.XLOOKUP($B12,Sort_Alpha!$B$5:$B$47,Sort_Alpha!AR$5:AR$47,"",0)</f>
        <v>5.927473152782844E-16</v>
      </c>
      <c r="AS12" s="1">
        <f>_xlfn.XLOOKUP($B12,Sort_Alpha!$B$5:$B$47,Sort_Alpha!AS$5:AS$47,"",0)</f>
        <v>2.9768314427503977E-17</v>
      </c>
      <c r="AT12" s="1">
        <f>_xlfn.XLOOKUP($B12,Sort_Alpha!$B$5:$B$47,Sort_Alpha!AT$5:AT$47,"",0)</f>
        <v>7.7186303386596268E-16</v>
      </c>
      <c r="AU12" s="1">
        <f>_xlfn.XLOOKUP($B12,Sort_Alpha!$B$5:$B$47,Sort_Alpha!AU$5:AU$47,"",0)</f>
        <v>2.5099543131167987E-16</v>
      </c>
      <c r="AV12" s="1">
        <f>_xlfn.XLOOKUP($B12,Sort_Alpha!$B$5:$B$47,Sort_Alpha!AV$5:AV$47,"",0)</f>
        <v>0</v>
      </c>
      <c r="AW12" s="1">
        <f>_xlfn.XLOOKUP($B12,Sort_Alpha!$B$5:$B$47,Sort_Alpha!AW$5:AW$47,"",0)</f>
        <v>3.8221031662557731E-17</v>
      </c>
      <c r="AX12" s="1">
        <f>_xlfn.XLOOKUP($B12,Sort_Alpha!$B$5:$B$47,Sort_Alpha!AX$5:AX$47,"",0)</f>
        <v>3.2740298219088129E-17</v>
      </c>
      <c r="AY12" s="1">
        <f>_xlfn.XLOOKUP($B12,Sort_Alpha!$B$5:$B$47,Sort_Alpha!AY$5:AY$47,"",0)</f>
        <v>3.2740298219088129E-17</v>
      </c>
      <c r="AZ12" s="1">
        <f>_xlfn.XLOOKUP($B12,Sort_Alpha!$B$5:$B$47,Sort_Alpha!AZ$5:AZ$47,"",0)</f>
        <v>2.0526467281508833E-15</v>
      </c>
      <c r="BA12" s="1">
        <f>_xlfn.XLOOKUP($B12,Sort_Alpha!$B$5:$B$47,Sort_Alpha!BA$5:BA$47,"",0)</f>
        <v>4.9330717938715491E-14</v>
      </c>
      <c r="BB12" s="1">
        <f>_xlfn.XLOOKUP($B12,Sort_Alpha!$B$5:$B$47,Sort_Alpha!BB$5:BB$47,"",0)</f>
        <v>1.7569178155954929E-16</v>
      </c>
      <c r="BC12" s="1">
        <f>_xlfn.XLOOKUP($B12,Sort_Alpha!$B$5:$B$47,Sort_Alpha!BC$5:BC$47,"",0)</f>
        <v>1.7772242427306131E-16</v>
      </c>
      <c r="BD12" s="1">
        <f>_xlfn.XLOOKUP($B12,Sort_Alpha!$B$5:$B$47,Sort_Alpha!BD$5:BD$47,"",0)</f>
        <v>1.7772242427306131E-16</v>
      </c>
      <c r="BE12" s="1">
        <f>_xlfn.XLOOKUP($B12,Sort_Alpha!$B$5:$B$47,Sort_Alpha!BE$5:BE$47,"",0)</f>
        <v>5.7020843688742706E-16</v>
      </c>
      <c r="BF12" s="1">
        <f>_xlfn.XLOOKUP($B12,Sort_Alpha!$B$5:$B$47,Sort_Alpha!BF$5:BF$47,"",0)</f>
        <v>4.6031867528594235E-16</v>
      </c>
      <c r="BG12" s="1">
        <f>_xlfn.XLOOKUP($B12,Sort_Alpha!$B$5:$B$47,Sort_Alpha!BG$5:BG$47,"",0)</f>
        <v>3.3617487371520976E-16</v>
      </c>
      <c r="BH12" s="1">
        <f>_xlfn.XLOOKUP($B12,Sort_Alpha!$B$5:$B$47,Sort_Alpha!BH$5:BH$47,"",0)</f>
        <v>2.733887203168604E-16</v>
      </c>
      <c r="BI12" s="1">
        <f>_xlfn.XLOOKUP($B12,Sort_Alpha!$B$5:$B$47,Sort_Alpha!BI$5:BI$47,"",0)</f>
        <v>2.733887203168604E-16</v>
      </c>
      <c r="BJ12" s="1">
        <f>_xlfn.XLOOKUP($B12,Sort_Alpha!$B$5:$B$47,Sort_Alpha!BJ$5:BJ$47,"",0)</f>
        <v>2.733887203168604E-16</v>
      </c>
      <c r="BK12" s="1">
        <f>_xlfn.XLOOKUP($B12,Sort_Alpha!$B$5:$B$47,Sort_Alpha!BK$5:BK$47,"",0)</f>
        <v>2.8099114922911436E-15</v>
      </c>
      <c r="BL12" s="1">
        <f>_xlfn.XLOOKUP($B12,Sort_Alpha!$B$5:$B$47,Sort_Alpha!BL$5:BL$47,"",0)</f>
        <v>1.953525426052772E-15</v>
      </c>
      <c r="BM12" s="1">
        <f>_xlfn.XLOOKUP($B12,Sort_Alpha!$B$5:$B$47,Sort_Alpha!BM$5:BM$47,"",0)</f>
        <v>1.6368127496160864E-15</v>
      </c>
      <c r="BN12" s="1">
        <f>_xlfn.XLOOKUP($B12,Sort_Alpha!$B$5:$B$47,Sort_Alpha!BN$5:BN$47,"",0)</f>
        <v>1.6368127496160864E-15</v>
      </c>
      <c r="BO12" s="1">
        <f>_xlfn.XLOOKUP($B12,Sort_Alpha!$B$5:$B$47,Sort_Alpha!BO$5:BO$47,"",0)</f>
        <v>5.1081143554568304E-16</v>
      </c>
      <c r="BP12" s="1">
        <f>_xlfn.XLOOKUP($B12,Sort_Alpha!$B$5:$B$47,Sort_Alpha!BP$5:BP$47,"",0)</f>
        <v>5.1081143554568304E-16</v>
      </c>
      <c r="BQ12" s="1">
        <f>_xlfn.XLOOKUP($B12,Sort_Alpha!$B$5:$B$47,Sort_Alpha!BQ$5:BQ$47,"",0)</f>
        <v>0</v>
      </c>
      <c r="BR12" s="1">
        <f>_xlfn.XLOOKUP($B12,Sort_Alpha!$B$5:$B$47,Sort_Alpha!BR$5:BR$47,"",0)</f>
        <v>5.7168600016208847E-15</v>
      </c>
      <c r="BS12" s="1">
        <f>_xlfn.XLOOKUP($B12,Sort_Alpha!$B$5:$B$47,Sort_Alpha!BS$5:BS$47,"",0)</f>
        <v>2.5456544503318393E-15</v>
      </c>
      <c r="BT12" s="1">
        <f>_xlfn.XLOOKUP($B12,Sort_Alpha!$B$5:$B$47,Sort_Alpha!BT$5:BT$47,"",0)</f>
        <v>6.1125125837183615E-16</v>
      </c>
      <c r="BU12" s="1">
        <f>_xlfn.XLOOKUP($B12,Sort_Alpha!$B$5:$B$47,Sort_Alpha!BU$5:BU$47,"",0)</f>
        <v>4.9521009242398881E-16</v>
      </c>
      <c r="BV12" s="1">
        <f>_xlfn.XLOOKUP($B12,Sort_Alpha!$B$5:$B$47,Sort_Alpha!BV$5:BV$47,"",0)</f>
        <v>1.1334117052163866E-15</v>
      </c>
      <c r="BW12" s="1">
        <f>_xlfn.XLOOKUP($B12,Sort_Alpha!$B$5:$B$47,Sort_Alpha!BW$5:BW$47,"",0)</f>
        <v>7.3607436003276973E-16</v>
      </c>
      <c r="BX12" s="1">
        <f>_xlfn.XLOOKUP($B12,Sort_Alpha!$B$5:$B$47,Sort_Alpha!BX$5:BX$47,"",0)</f>
        <v>7.3607436003276973E-16</v>
      </c>
      <c r="BY12" s="1">
        <f>_xlfn.XLOOKUP($B12,Sort_Alpha!$B$5:$B$47,Sort_Alpha!BY$5:BY$47,"",0)</f>
        <v>2.6531846668627456E-16</v>
      </c>
      <c r="BZ12" s="1">
        <f>_xlfn.XLOOKUP($B12,Sort_Alpha!$B$5:$B$47,Sort_Alpha!BZ$5:BZ$47,"",0)</f>
        <v>3.1197615603598097E-17</v>
      </c>
      <c r="CA12" s="1">
        <f>_xlfn.XLOOKUP($B12,Sort_Alpha!$B$5:$B$47,Sort_Alpha!CA$5:CA$47,"",0)</f>
        <v>2.850963537528214E-17</v>
      </c>
      <c r="CB12" s="1">
        <f>_xlfn.XLOOKUP($B12,Sort_Alpha!$B$5:$B$47,Sort_Alpha!CB$5:CB$47,"",0)</f>
        <v>2.9408901925417414E-17</v>
      </c>
      <c r="CC12" s="1">
        <f>_xlfn.XLOOKUP($B12,Sort_Alpha!$B$5:$B$47,Sort_Alpha!CC$5:CC$47,"",0)</f>
        <v>5.4261559093825423E-16</v>
      </c>
    </row>
    <row r="13" spans="2:81" x14ac:dyDescent="0.15">
      <c r="C13" s="1" t="str">
        <f>_xlfn.XLOOKUP($B13,Sort_Alpha!$B$5:$B$47,Sort_Alpha!C$5:C$47,"",0)</f>
        <v/>
      </c>
      <c r="D13" s="1" t="str">
        <f>_xlfn.XLOOKUP($B13,Sort_Alpha!$B$5:$B$47,Sort_Alpha!D$5:D$47,"",0)</f>
        <v/>
      </c>
      <c r="E13" s="1" t="str">
        <f>_xlfn.XLOOKUP($B13,Sort_Alpha!$B$5:$B$47,Sort_Alpha!E$5:E$47,"",0)</f>
        <v/>
      </c>
      <c r="F13" s="1" t="str">
        <f>_xlfn.XLOOKUP($B13,Sort_Alpha!$B$5:$B$47,Sort_Alpha!F$5:F$47,"",0)</f>
        <v/>
      </c>
      <c r="G13" s="1" t="str">
        <f>_xlfn.XLOOKUP($B13,Sort_Alpha!$B$5:$B$47,Sort_Alpha!G$5:G$47,"",0)</f>
        <v/>
      </c>
      <c r="H13" s="1" t="str">
        <f>_xlfn.XLOOKUP($B13,Sort_Alpha!$B$5:$B$47,Sort_Alpha!H$5:H$47,"",0)</f>
        <v/>
      </c>
      <c r="I13" s="1" t="str">
        <f>_xlfn.XLOOKUP($B13,Sort_Alpha!$B$5:$B$47,Sort_Alpha!I$5:I$47,"",0)</f>
        <v/>
      </c>
      <c r="J13" s="1" t="str">
        <f>_xlfn.XLOOKUP($B13,Sort_Alpha!$B$5:$B$47,Sort_Alpha!J$5:J$47,"",0)</f>
        <v/>
      </c>
      <c r="K13" s="1" t="str">
        <f>_xlfn.XLOOKUP($B13,Sort_Alpha!$B$5:$B$47,Sort_Alpha!K$5:K$47,"",0)</f>
        <v/>
      </c>
      <c r="L13" s="1" t="str">
        <f>_xlfn.XLOOKUP($B13,Sort_Alpha!$B$5:$B$47,Sort_Alpha!L$5:L$47,"",0)</f>
        <v/>
      </c>
      <c r="M13" s="1" t="str">
        <f>_xlfn.XLOOKUP($B13,Sort_Alpha!$B$5:$B$47,Sort_Alpha!M$5:M$47,"",0)</f>
        <v/>
      </c>
      <c r="N13" s="1" t="str">
        <f>_xlfn.XLOOKUP($B13,Sort_Alpha!$B$5:$B$47,Sort_Alpha!N$5:N$47,"",0)</f>
        <v/>
      </c>
      <c r="O13" s="1" t="str">
        <f>_xlfn.XLOOKUP($B13,Sort_Alpha!$B$5:$B$47,Sort_Alpha!O$5:O$47,"",0)</f>
        <v/>
      </c>
      <c r="P13" s="1" t="str">
        <f>_xlfn.XLOOKUP($B13,Sort_Alpha!$B$5:$B$47,Sort_Alpha!P$5:P$47,"",0)</f>
        <v/>
      </c>
      <c r="Q13" s="1" t="str">
        <f>_xlfn.XLOOKUP($B13,Sort_Alpha!$B$5:$B$47,Sort_Alpha!Q$5:Q$47,"",0)</f>
        <v/>
      </c>
      <c r="R13" s="1" t="str">
        <f>_xlfn.XLOOKUP($B13,Sort_Alpha!$B$5:$B$47,Sort_Alpha!R$5:R$47,"",0)</f>
        <v/>
      </c>
      <c r="S13" s="1" t="str">
        <f>_xlfn.XLOOKUP($B13,Sort_Alpha!$B$5:$B$47,Sort_Alpha!S$5:S$47,"",0)</f>
        <v/>
      </c>
      <c r="T13" s="1" t="str">
        <f>_xlfn.XLOOKUP($B13,Sort_Alpha!$B$5:$B$47,Sort_Alpha!T$5:T$47,"",0)</f>
        <v/>
      </c>
      <c r="U13" s="1" t="str">
        <f>_xlfn.XLOOKUP($B13,Sort_Alpha!$B$5:$B$47,Sort_Alpha!U$5:U$47,"",0)</f>
        <v/>
      </c>
      <c r="V13" s="1" t="str">
        <f>_xlfn.XLOOKUP($B13,Sort_Alpha!$B$5:$B$47,Sort_Alpha!V$5:V$47,"",0)</f>
        <v/>
      </c>
      <c r="W13" s="1" t="str">
        <f>_xlfn.XLOOKUP($B13,Sort_Alpha!$B$5:$B$47,Sort_Alpha!W$5:W$47,"",0)</f>
        <v/>
      </c>
      <c r="X13" s="1" t="str">
        <f>_xlfn.XLOOKUP($B13,Sort_Alpha!$B$5:$B$47,Sort_Alpha!X$5:X$47,"",0)</f>
        <v/>
      </c>
      <c r="Y13" s="1" t="str">
        <f>_xlfn.XLOOKUP($B13,Sort_Alpha!$B$5:$B$47,Sort_Alpha!Y$5:Y$47,"",0)</f>
        <v/>
      </c>
      <c r="Z13" s="1" t="str">
        <f>_xlfn.XLOOKUP($B13,Sort_Alpha!$B$5:$B$47,Sort_Alpha!Z$5:Z$47,"",0)</f>
        <v/>
      </c>
      <c r="AA13" s="1" t="str">
        <f>_xlfn.XLOOKUP($B13,Sort_Alpha!$B$5:$B$47,Sort_Alpha!AA$5:AA$47,"",0)</f>
        <v/>
      </c>
      <c r="AB13" s="1" t="str">
        <f>_xlfn.XLOOKUP($B13,Sort_Alpha!$B$5:$B$47,Sort_Alpha!AB$5:AB$47,"",0)</f>
        <v/>
      </c>
      <c r="AC13" s="1" t="str">
        <f>_xlfn.XLOOKUP($B13,Sort_Alpha!$B$5:$B$47,Sort_Alpha!AC$5:AC$47,"",0)</f>
        <v/>
      </c>
      <c r="AD13" s="1" t="str">
        <f>_xlfn.XLOOKUP($B13,Sort_Alpha!$B$5:$B$47,Sort_Alpha!AD$5:AD$47,"",0)</f>
        <v/>
      </c>
      <c r="AE13" s="1" t="str">
        <f>_xlfn.XLOOKUP($B13,Sort_Alpha!$B$5:$B$47,Sort_Alpha!AE$5:AE$47,"",0)</f>
        <v/>
      </c>
      <c r="AF13" s="1" t="str">
        <f>_xlfn.XLOOKUP($B13,Sort_Alpha!$B$5:$B$47,Sort_Alpha!AF$5:AF$47,"",0)</f>
        <v/>
      </c>
      <c r="AG13" s="1" t="str">
        <f>_xlfn.XLOOKUP($B13,Sort_Alpha!$B$5:$B$47,Sort_Alpha!AG$5:AG$47,"",0)</f>
        <v/>
      </c>
      <c r="AH13" s="1" t="str">
        <f>_xlfn.XLOOKUP($B13,Sort_Alpha!$B$5:$B$47,Sort_Alpha!AH$5:AH$47,"",0)</f>
        <v/>
      </c>
      <c r="AI13" s="1" t="str">
        <f>_xlfn.XLOOKUP($B13,Sort_Alpha!$B$5:$B$47,Sort_Alpha!AI$5:AI$47,"",0)</f>
        <v/>
      </c>
      <c r="AJ13" s="1" t="str">
        <f>_xlfn.XLOOKUP($B13,Sort_Alpha!$B$5:$B$47,Sort_Alpha!AJ$5:AJ$47,"",0)</f>
        <v/>
      </c>
      <c r="AK13" s="1" t="str">
        <f>_xlfn.XLOOKUP($B13,Sort_Alpha!$B$5:$B$47,Sort_Alpha!AK$5:AK$47,"",0)</f>
        <v/>
      </c>
      <c r="AL13" s="1" t="str">
        <f>_xlfn.XLOOKUP($B13,Sort_Alpha!$B$5:$B$47,Sort_Alpha!AL$5:AL$47,"",0)</f>
        <v/>
      </c>
      <c r="AM13" s="1" t="str">
        <f>_xlfn.XLOOKUP($B13,Sort_Alpha!$B$5:$B$47,Sort_Alpha!AM$5:AM$47,"",0)</f>
        <v/>
      </c>
      <c r="AN13" s="1" t="str">
        <f>_xlfn.XLOOKUP($B13,Sort_Alpha!$B$5:$B$47,Sort_Alpha!AN$5:AN$47,"",0)</f>
        <v/>
      </c>
      <c r="AO13" s="1" t="str">
        <f>_xlfn.XLOOKUP($B13,Sort_Alpha!$B$5:$B$47,Sort_Alpha!AO$5:AO$47,"",0)</f>
        <v/>
      </c>
      <c r="AP13" s="1" t="str">
        <f>_xlfn.XLOOKUP($B13,Sort_Alpha!$B$5:$B$47,Sort_Alpha!AP$5:AP$47,"",0)</f>
        <v/>
      </c>
      <c r="AQ13" s="1" t="str">
        <f>_xlfn.XLOOKUP($B13,Sort_Alpha!$B$5:$B$47,Sort_Alpha!AQ$5:AQ$47,"",0)</f>
        <v/>
      </c>
      <c r="AR13" s="1" t="str">
        <f>_xlfn.XLOOKUP($B13,Sort_Alpha!$B$5:$B$47,Sort_Alpha!AR$5:AR$47,"",0)</f>
        <v/>
      </c>
      <c r="AS13" s="1" t="str">
        <f>_xlfn.XLOOKUP($B13,Sort_Alpha!$B$5:$B$47,Sort_Alpha!AS$5:AS$47,"",0)</f>
        <v/>
      </c>
      <c r="AT13" s="1" t="str">
        <f>_xlfn.XLOOKUP($B13,Sort_Alpha!$B$5:$B$47,Sort_Alpha!AT$5:AT$47,"",0)</f>
        <v/>
      </c>
      <c r="AU13" s="1" t="str">
        <f>_xlfn.XLOOKUP($B13,Sort_Alpha!$B$5:$B$47,Sort_Alpha!AU$5:AU$47,"",0)</f>
        <v/>
      </c>
      <c r="AV13" s="1" t="str">
        <f>_xlfn.XLOOKUP($B13,Sort_Alpha!$B$5:$B$47,Sort_Alpha!AV$5:AV$47,"",0)</f>
        <v/>
      </c>
      <c r="AW13" s="1" t="str">
        <f>_xlfn.XLOOKUP($B13,Sort_Alpha!$B$5:$B$47,Sort_Alpha!AW$5:AW$47,"",0)</f>
        <v/>
      </c>
      <c r="AX13" s="1" t="str">
        <f>_xlfn.XLOOKUP($B13,Sort_Alpha!$B$5:$B$47,Sort_Alpha!AX$5:AX$47,"",0)</f>
        <v/>
      </c>
      <c r="AY13" s="1" t="str">
        <f>_xlfn.XLOOKUP($B13,Sort_Alpha!$B$5:$B$47,Sort_Alpha!AY$5:AY$47,"",0)</f>
        <v/>
      </c>
      <c r="AZ13" s="1" t="str">
        <f>_xlfn.XLOOKUP($B13,Sort_Alpha!$B$5:$B$47,Sort_Alpha!AZ$5:AZ$47,"",0)</f>
        <v/>
      </c>
      <c r="BA13" s="1" t="str">
        <f>_xlfn.XLOOKUP($B13,Sort_Alpha!$B$5:$B$47,Sort_Alpha!BA$5:BA$47,"",0)</f>
        <v/>
      </c>
      <c r="BB13" s="1" t="str">
        <f>_xlfn.XLOOKUP($B13,Sort_Alpha!$B$5:$B$47,Sort_Alpha!BB$5:BB$47,"",0)</f>
        <v/>
      </c>
      <c r="BC13" s="1" t="str">
        <f>_xlfn.XLOOKUP($B13,Sort_Alpha!$B$5:$B$47,Sort_Alpha!BC$5:BC$47,"",0)</f>
        <v/>
      </c>
      <c r="BD13" s="1" t="str">
        <f>_xlfn.XLOOKUP($B13,Sort_Alpha!$B$5:$B$47,Sort_Alpha!BD$5:BD$47,"",0)</f>
        <v/>
      </c>
      <c r="BE13" s="1" t="str">
        <f>_xlfn.XLOOKUP($B13,Sort_Alpha!$B$5:$B$47,Sort_Alpha!BE$5:BE$47,"",0)</f>
        <v/>
      </c>
      <c r="BF13" s="1" t="str">
        <f>_xlfn.XLOOKUP($B13,Sort_Alpha!$B$5:$B$47,Sort_Alpha!BF$5:BF$47,"",0)</f>
        <v/>
      </c>
      <c r="BG13" s="1" t="str">
        <f>_xlfn.XLOOKUP($B13,Sort_Alpha!$B$5:$B$47,Sort_Alpha!BG$5:BG$47,"",0)</f>
        <v/>
      </c>
      <c r="BH13" s="1" t="str">
        <f>_xlfn.XLOOKUP($B13,Sort_Alpha!$B$5:$B$47,Sort_Alpha!BH$5:BH$47,"",0)</f>
        <v/>
      </c>
      <c r="BI13" s="1" t="str">
        <f>_xlfn.XLOOKUP($B13,Sort_Alpha!$B$5:$B$47,Sort_Alpha!BI$5:BI$47,"",0)</f>
        <v/>
      </c>
      <c r="BJ13" s="1" t="str">
        <f>_xlfn.XLOOKUP($B13,Sort_Alpha!$B$5:$B$47,Sort_Alpha!BJ$5:BJ$47,"",0)</f>
        <v/>
      </c>
      <c r="BK13" s="1" t="str">
        <f>_xlfn.XLOOKUP($B13,Sort_Alpha!$B$5:$B$47,Sort_Alpha!BK$5:BK$47,"",0)</f>
        <v/>
      </c>
      <c r="BL13" s="1" t="str">
        <f>_xlfn.XLOOKUP($B13,Sort_Alpha!$B$5:$B$47,Sort_Alpha!BL$5:BL$47,"",0)</f>
        <v/>
      </c>
      <c r="BM13" s="1" t="str">
        <f>_xlfn.XLOOKUP($B13,Sort_Alpha!$B$5:$B$47,Sort_Alpha!BM$5:BM$47,"",0)</f>
        <v/>
      </c>
      <c r="BN13" s="1" t="str">
        <f>_xlfn.XLOOKUP($B13,Sort_Alpha!$B$5:$B$47,Sort_Alpha!BN$5:BN$47,"",0)</f>
        <v/>
      </c>
      <c r="BO13" s="1" t="str">
        <f>_xlfn.XLOOKUP($B13,Sort_Alpha!$B$5:$B$47,Sort_Alpha!BO$5:BO$47,"",0)</f>
        <v/>
      </c>
      <c r="BP13" s="1" t="str">
        <f>_xlfn.XLOOKUP($B13,Sort_Alpha!$B$5:$B$47,Sort_Alpha!BP$5:BP$47,"",0)</f>
        <v/>
      </c>
      <c r="BQ13" s="1" t="str">
        <f>_xlfn.XLOOKUP($B13,Sort_Alpha!$B$5:$B$47,Sort_Alpha!BQ$5:BQ$47,"",0)</f>
        <v/>
      </c>
      <c r="BR13" s="1" t="str">
        <f>_xlfn.XLOOKUP($B13,Sort_Alpha!$B$5:$B$47,Sort_Alpha!BR$5:BR$47,"",0)</f>
        <v/>
      </c>
      <c r="BS13" s="1" t="str">
        <f>_xlfn.XLOOKUP($B13,Sort_Alpha!$B$5:$B$47,Sort_Alpha!BS$5:BS$47,"",0)</f>
        <v/>
      </c>
      <c r="BT13" s="1" t="str">
        <f>_xlfn.XLOOKUP($B13,Sort_Alpha!$B$5:$B$47,Sort_Alpha!BT$5:BT$47,"",0)</f>
        <v/>
      </c>
      <c r="BU13" s="1" t="str">
        <f>_xlfn.XLOOKUP($B13,Sort_Alpha!$B$5:$B$47,Sort_Alpha!BU$5:BU$47,"",0)</f>
        <v/>
      </c>
      <c r="BV13" s="1" t="str">
        <f>_xlfn.XLOOKUP($B13,Sort_Alpha!$B$5:$B$47,Sort_Alpha!BV$5:BV$47,"",0)</f>
        <v/>
      </c>
      <c r="BW13" s="1" t="str">
        <f>_xlfn.XLOOKUP($B13,Sort_Alpha!$B$5:$B$47,Sort_Alpha!BW$5:BW$47,"",0)</f>
        <v/>
      </c>
      <c r="BX13" s="1" t="str">
        <f>_xlfn.XLOOKUP($B13,Sort_Alpha!$B$5:$B$47,Sort_Alpha!BX$5:BX$47,"",0)</f>
        <v/>
      </c>
      <c r="BY13" s="1" t="str">
        <f>_xlfn.XLOOKUP($B13,Sort_Alpha!$B$5:$B$47,Sort_Alpha!BY$5:BY$47,"",0)</f>
        <v/>
      </c>
      <c r="BZ13" s="1" t="str">
        <f>_xlfn.XLOOKUP($B13,Sort_Alpha!$B$5:$B$47,Sort_Alpha!BZ$5:BZ$47,"",0)</f>
        <v/>
      </c>
      <c r="CA13" s="1" t="str">
        <f>_xlfn.XLOOKUP($B13,Sort_Alpha!$B$5:$B$47,Sort_Alpha!CA$5:CA$47,"",0)</f>
        <v/>
      </c>
      <c r="CB13" s="1" t="str">
        <f>_xlfn.XLOOKUP($B13,Sort_Alpha!$B$5:$B$47,Sort_Alpha!CB$5:CB$47,"",0)</f>
        <v/>
      </c>
      <c r="CC13" s="1" t="str">
        <f>_xlfn.XLOOKUP($B13,Sort_Alpha!$B$5:$B$47,Sort_Alpha!CC$5:CC$47,"",0)</f>
        <v/>
      </c>
    </row>
    <row r="14" spans="2:81" x14ac:dyDescent="0.15">
      <c r="B14" t="s">
        <v>7</v>
      </c>
      <c r="C14" s="1">
        <f>_xlfn.XLOOKUP($B14,Sort_Alpha!$B$5:$B$47,Sort_Alpha!C$5:C$47,"",0)</f>
        <v>5.7219533999558165E-16</v>
      </c>
      <c r="D14" s="1">
        <f>_xlfn.XLOOKUP($B14,Sort_Alpha!$B$5:$B$47,Sort_Alpha!D$5:D$47,"",0)</f>
        <v>1.0821732179141622E-15</v>
      </c>
      <c r="E14" s="1">
        <f>_xlfn.XLOOKUP($B14,Sort_Alpha!$B$5:$B$47,Sort_Alpha!E$5:E$47,"",0)</f>
        <v>7.8762516320231135E-16</v>
      </c>
      <c r="F14" s="1">
        <f>_xlfn.XLOOKUP($B14,Sort_Alpha!$B$5:$B$47,Sort_Alpha!F$5:F$47,"",0)</f>
        <v>2.5352451863521269E-15</v>
      </c>
      <c r="G14" s="1">
        <f>_xlfn.XLOOKUP($B14,Sort_Alpha!$B$5:$B$47,Sort_Alpha!G$5:G$47,"",0)</f>
        <v>1.6640121702031912E-15</v>
      </c>
      <c r="H14" s="1">
        <f>_xlfn.XLOOKUP($B14,Sort_Alpha!$B$5:$B$47,Sort_Alpha!H$5:H$47,"",0)</f>
        <v>3.5707897445027879E-16</v>
      </c>
      <c r="I14" s="1">
        <f>_xlfn.XLOOKUP($B14,Sort_Alpha!$B$5:$B$47,Sort_Alpha!I$5:I$47,"",0)</f>
        <v>9.1925630392987621E-16</v>
      </c>
      <c r="J14" s="1">
        <f>_xlfn.XLOOKUP($B14,Sort_Alpha!$B$5:$B$47,Sort_Alpha!J$5:J$47,"",0)</f>
        <v>9.1925630392987621E-16</v>
      </c>
      <c r="K14" s="1">
        <f>_xlfn.XLOOKUP($B14,Sort_Alpha!$B$5:$B$47,Sort_Alpha!K$5:K$47,"",0)</f>
        <v>9.1925630392987621E-16</v>
      </c>
      <c r="L14" s="1">
        <f>_xlfn.XLOOKUP($B14,Sort_Alpha!$B$5:$B$47,Sort_Alpha!L$5:L$47,"",0)</f>
        <v>7.8762516320231135E-16</v>
      </c>
      <c r="M14" s="1">
        <f>_xlfn.XLOOKUP($B14,Sort_Alpha!$B$5:$B$47,Sort_Alpha!M$5:M$47,"",0)</f>
        <v>7.8762516320231135E-16</v>
      </c>
      <c r="N14" s="1">
        <f>_xlfn.XLOOKUP($B14,Sort_Alpha!$B$5:$B$47,Sort_Alpha!N$5:N$47,"",0)</f>
        <v>7.8762516320231135E-16</v>
      </c>
      <c r="O14" s="1">
        <f>_xlfn.XLOOKUP($B14,Sort_Alpha!$B$5:$B$47,Sort_Alpha!O$5:O$47,"",0)</f>
        <v>5.0489128800100253E-15</v>
      </c>
      <c r="P14" s="1">
        <f>_xlfn.XLOOKUP($B14,Sort_Alpha!$B$5:$B$47,Sort_Alpha!P$5:P$47,"",0)</f>
        <v>1.0678008896189243E-15</v>
      </c>
      <c r="Q14" s="1">
        <f>_xlfn.XLOOKUP($B14,Sort_Alpha!$B$5:$B$47,Sort_Alpha!Q$5:Q$47,"",0)</f>
        <v>4.0992772938130613E-15</v>
      </c>
      <c r="R14" s="1">
        <f>_xlfn.XLOOKUP($B14,Sort_Alpha!$B$5:$B$47,Sort_Alpha!R$5:R$47,"",0)</f>
        <v>2.1560469465116687E-15</v>
      </c>
      <c r="S14" s="1">
        <f>_xlfn.XLOOKUP($B14,Sort_Alpha!$B$5:$B$47,Sort_Alpha!S$5:S$47,"",0)</f>
        <v>8.5999776587316734E-16</v>
      </c>
      <c r="T14" s="1">
        <f>_xlfn.XLOOKUP($B14,Sort_Alpha!$B$5:$B$47,Sort_Alpha!T$5:T$47,"",0)</f>
        <v>1.5167325800523526E-15</v>
      </c>
      <c r="U14" s="1">
        <f>_xlfn.XLOOKUP($B14,Sort_Alpha!$B$5:$B$47,Sort_Alpha!U$5:U$47,"",0)</f>
        <v>1.5167325800523526E-15</v>
      </c>
      <c r="V14" s="1">
        <f>_xlfn.XLOOKUP($B14,Sort_Alpha!$B$5:$B$47,Sort_Alpha!V$5:V$47,"",0)</f>
        <v>1.5167325800523526E-15</v>
      </c>
      <c r="W14" s="1">
        <f>_xlfn.XLOOKUP($B14,Sort_Alpha!$B$5:$B$47,Sort_Alpha!W$5:W$47,"",0)</f>
        <v>1.5167325800523526E-15</v>
      </c>
      <c r="X14" s="1">
        <f>_xlfn.XLOOKUP($B14,Sort_Alpha!$B$5:$B$47,Sort_Alpha!X$5:X$47,"",0)</f>
        <v>1.5167325800523526E-15</v>
      </c>
      <c r="Y14" s="1">
        <f>_xlfn.XLOOKUP($B14,Sort_Alpha!$B$5:$B$47,Sort_Alpha!Y$5:Y$47,"",0)</f>
        <v>8.911824991475827E-16</v>
      </c>
      <c r="Z14" s="1">
        <f>_xlfn.XLOOKUP($B14,Sort_Alpha!$B$5:$B$47,Sort_Alpha!Z$5:Z$47,"",0)</f>
        <v>7.9164297628581906E-16</v>
      </c>
      <c r="AA14" s="1">
        <f>_xlfn.XLOOKUP($B14,Sort_Alpha!$B$5:$B$47,Sort_Alpha!AA$5:AA$47,"",0)</f>
        <v>7.8822563977182039E-16</v>
      </c>
      <c r="AB14" s="1">
        <f>_xlfn.XLOOKUP($B14,Sort_Alpha!$B$5:$B$47,Sort_Alpha!AB$5:AB$47,"",0)</f>
        <v>6.8507221802322482E-16</v>
      </c>
      <c r="AC14" s="1">
        <f>_xlfn.XLOOKUP($B14,Sort_Alpha!$B$5:$B$47,Sort_Alpha!AC$5:AC$47,"",0)</f>
        <v>6.8467801766996814E-16</v>
      </c>
      <c r="AD14" s="1">
        <f>_xlfn.XLOOKUP($B14,Sort_Alpha!$B$5:$B$47,Sort_Alpha!AD$5:AD$47,"",0)</f>
        <v>6.9946336851509035E-16</v>
      </c>
      <c r="AE14" s="1">
        <f>_xlfn.XLOOKUP($B14,Sort_Alpha!$B$5:$B$47,Sort_Alpha!AE$5:AE$47,"",0)</f>
        <v>7.2120273202289492E-16</v>
      </c>
      <c r="AF14" s="1">
        <f>_xlfn.XLOOKUP($B14,Sort_Alpha!$B$5:$B$47,Sort_Alpha!AF$5:AF$47,"",0)</f>
        <v>7.2120273202289492E-16</v>
      </c>
      <c r="AG14" s="1">
        <f>_xlfn.XLOOKUP($B14,Sort_Alpha!$B$5:$B$47,Sort_Alpha!AG$5:AG$47,"",0)</f>
        <v>5.9368725682926588E-16</v>
      </c>
      <c r="AH14" s="1">
        <f>_xlfn.XLOOKUP($B14,Sort_Alpha!$B$5:$B$47,Sort_Alpha!AH$5:AH$47,"",0)</f>
        <v>7.9205580076589802E-16</v>
      </c>
      <c r="AI14" s="1">
        <f>_xlfn.XLOOKUP($B14,Sort_Alpha!$B$5:$B$47,Sort_Alpha!AI$5:AI$47,"",0)</f>
        <v>7.8222066304606756E-16</v>
      </c>
      <c r="AJ14" s="1">
        <f>_xlfn.XLOOKUP($B14,Sort_Alpha!$B$5:$B$47,Sort_Alpha!AJ$5:AJ$47,"",0)</f>
        <v>1.0263632401773018E-15</v>
      </c>
      <c r="AK14" s="1">
        <f>_xlfn.XLOOKUP($B14,Sort_Alpha!$B$5:$B$47,Sort_Alpha!AK$5:AK$47,"",0)</f>
        <v>8.5950160855169E-16</v>
      </c>
      <c r="AL14" s="1">
        <f>_xlfn.XLOOKUP($B14,Sort_Alpha!$B$5:$B$47,Sort_Alpha!AL$5:AL$47,"",0)</f>
        <v>9.2183586363521242E-16</v>
      </c>
      <c r="AM14" s="1">
        <f>_xlfn.XLOOKUP($B14,Sort_Alpha!$B$5:$B$47,Sort_Alpha!AM$5:AM$47,"",0)</f>
        <v>7.6123160173497123E-16</v>
      </c>
      <c r="AN14" s="1">
        <f>_xlfn.XLOOKUP($B14,Sort_Alpha!$B$5:$B$47,Sort_Alpha!AN$5:AN$47,"",0)</f>
        <v>1.1785136498006965E-15</v>
      </c>
      <c r="AO14" s="1">
        <f>_xlfn.XLOOKUP($B14,Sort_Alpha!$B$5:$B$47,Sort_Alpha!AO$5:AO$47,"",0)</f>
        <v>1.1785136498006965E-15</v>
      </c>
      <c r="AP14" s="1">
        <f>_xlfn.XLOOKUP($B14,Sort_Alpha!$B$5:$B$47,Sort_Alpha!AP$5:AP$47,"",0)</f>
        <v>1.1785136498006965E-15</v>
      </c>
      <c r="AQ14" s="1">
        <f>_xlfn.XLOOKUP($B14,Sort_Alpha!$B$5:$B$47,Sort_Alpha!AQ$5:AQ$47,"",0)</f>
        <v>1.2253948970252086E-15</v>
      </c>
      <c r="AR14" s="1">
        <f>_xlfn.XLOOKUP($B14,Sort_Alpha!$B$5:$B$47,Sort_Alpha!AR$5:AR$47,"",0)</f>
        <v>1.2253948970252086E-15</v>
      </c>
      <c r="AS14" s="1">
        <f>_xlfn.XLOOKUP($B14,Sort_Alpha!$B$5:$B$47,Sort_Alpha!AS$5:AS$47,"",0)</f>
        <v>1.1839099038957949E-15</v>
      </c>
      <c r="AT14" s="1">
        <f>_xlfn.XLOOKUP($B14,Sort_Alpha!$B$5:$B$47,Sort_Alpha!AT$5:AT$47,"",0)</f>
        <v>6.3509855233559219E-16</v>
      </c>
      <c r="AU14" s="1">
        <f>_xlfn.XLOOKUP($B14,Sort_Alpha!$B$5:$B$47,Sort_Alpha!AU$5:AU$47,"",0)</f>
        <v>2.2858539234534717E-15</v>
      </c>
      <c r="AV14" s="1">
        <f>_xlfn.XLOOKUP($B14,Sort_Alpha!$B$5:$B$47,Sort_Alpha!AV$5:AV$47,"",0)</f>
        <v>0</v>
      </c>
      <c r="AW14" s="1">
        <f>_xlfn.XLOOKUP($B14,Sort_Alpha!$B$5:$B$47,Sort_Alpha!AW$5:AW$47,"",0)</f>
        <v>1.070983544007741E-15</v>
      </c>
      <c r="AX14" s="1">
        <f>_xlfn.XLOOKUP($B14,Sort_Alpha!$B$5:$B$47,Sort_Alpha!AX$5:AX$47,"",0)</f>
        <v>1.0236495015302962E-15</v>
      </c>
      <c r="AY14" s="1">
        <f>_xlfn.XLOOKUP($B14,Sort_Alpha!$B$5:$B$47,Sort_Alpha!AY$5:AY$47,"",0)</f>
        <v>1.0236495015302962E-15</v>
      </c>
      <c r="AZ14" s="1">
        <f>_xlfn.XLOOKUP($B14,Sort_Alpha!$B$5:$B$47,Sort_Alpha!AZ$5:AZ$47,"",0)</f>
        <v>9.3393393999379136E-15</v>
      </c>
      <c r="BA14" s="1">
        <f>_xlfn.XLOOKUP($B14,Sort_Alpha!$B$5:$B$47,Sort_Alpha!BA$5:BA$47,"",0)</f>
        <v>7.9489936540353645E-16</v>
      </c>
      <c r="BB14" s="1">
        <f>_xlfn.XLOOKUP($B14,Sort_Alpha!$B$5:$B$47,Sort_Alpha!BB$5:BB$47,"",0)</f>
        <v>6.9372262252121354E-16</v>
      </c>
      <c r="BC14" s="1">
        <f>_xlfn.XLOOKUP($B14,Sort_Alpha!$B$5:$B$47,Sort_Alpha!BC$5:BC$47,"",0)</f>
        <v>6.9959831889527256E-16</v>
      </c>
      <c r="BD14" s="1">
        <f>_xlfn.XLOOKUP($B14,Sort_Alpha!$B$5:$B$47,Sort_Alpha!BD$5:BD$47,"",0)</f>
        <v>6.9959831889527256E-16</v>
      </c>
      <c r="BE14" s="1">
        <f>_xlfn.XLOOKUP($B14,Sort_Alpha!$B$5:$B$47,Sort_Alpha!BE$5:BE$47,"",0)</f>
        <v>1.1542930141092647E-15</v>
      </c>
      <c r="BF14" s="1">
        <f>_xlfn.XLOOKUP($B14,Sort_Alpha!$B$5:$B$47,Sort_Alpha!BF$5:BF$47,"",0)</f>
        <v>4.6108630270639346E-16</v>
      </c>
      <c r="BG14" s="1">
        <f>_xlfn.XLOOKUP($B14,Sort_Alpha!$B$5:$B$47,Sort_Alpha!BG$5:BG$47,"",0)</f>
        <v>7.7618768858598923E-16</v>
      </c>
      <c r="BH14" s="1">
        <f>_xlfn.XLOOKUP($B14,Sort_Alpha!$B$5:$B$47,Sort_Alpha!BH$5:BH$47,"",0)</f>
        <v>8.9397901234002844E-16</v>
      </c>
      <c r="BI14" s="1">
        <f>_xlfn.XLOOKUP($B14,Sort_Alpha!$B$5:$B$47,Sort_Alpha!BI$5:BI$47,"",0)</f>
        <v>8.9397901234002844E-16</v>
      </c>
      <c r="BJ14" s="1">
        <f>_xlfn.XLOOKUP($B14,Sort_Alpha!$B$5:$B$47,Sort_Alpha!BJ$5:BJ$47,"",0)</f>
        <v>8.9397901234002844E-16</v>
      </c>
      <c r="BK14" s="1">
        <f>_xlfn.XLOOKUP($B14,Sort_Alpha!$B$5:$B$47,Sort_Alpha!BK$5:BK$47,"",0)</f>
        <v>6.1530784431435427E-16</v>
      </c>
      <c r="BL14" s="1">
        <f>_xlfn.XLOOKUP($B14,Sort_Alpha!$B$5:$B$47,Sort_Alpha!BL$5:BL$47,"",0)</f>
        <v>4.7670912171681305E-16</v>
      </c>
      <c r="BM14" s="1">
        <f>_xlfn.XLOOKUP($B14,Sort_Alpha!$B$5:$B$47,Sort_Alpha!BM$5:BM$47,"",0)</f>
        <v>4.7038984567293214E-16</v>
      </c>
      <c r="BN14" s="1">
        <f>_xlfn.XLOOKUP($B14,Sort_Alpha!$B$5:$B$47,Sort_Alpha!BN$5:BN$47,"",0)</f>
        <v>4.7038984567293214E-16</v>
      </c>
      <c r="BO14" s="1">
        <f>_xlfn.XLOOKUP($B14,Sort_Alpha!$B$5:$B$47,Sort_Alpha!BO$5:BO$47,"",0)</f>
        <v>1.2319952801259246E-15</v>
      </c>
      <c r="BP14" s="1">
        <f>_xlfn.XLOOKUP($B14,Sort_Alpha!$B$5:$B$47,Sort_Alpha!BP$5:BP$47,"",0)</f>
        <v>1.2319952801259246E-15</v>
      </c>
      <c r="BQ14" s="1">
        <f>_xlfn.XLOOKUP($B14,Sort_Alpha!$B$5:$B$47,Sort_Alpha!BQ$5:BQ$47,"",0)</f>
        <v>0</v>
      </c>
      <c r="BR14" s="1">
        <f>_xlfn.XLOOKUP($B14,Sort_Alpha!$B$5:$B$47,Sort_Alpha!BR$5:BR$47,"",0)</f>
        <v>1.0308046681518271E-15</v>
      </c>
      <c r="BS14" s="1">
        <f>_xlfn.XLOOKUP($B14,Sort_Alpha!$B$5:$B$47,Sort_Alpha!BS$5:BS$47,"",0)</f>
        <v>8.648286915931493E-16</v>
      </c>
      <c r="BT14" s="1">
        <f>_xlfn.XLOOKUP($B14,Sort_Alpha!$B$5:$B$47,Sort_Alpha!BT$5:BT$47,"",0)</f>
        <v>1.1889072410109575E-15</v>
      </c>
      <c r="BU14" s="1">
        <f>_xlfn.XLOOKUP($B14,Sort_Alpha!$B$5:$B$47,Sort_Alpha!BU$5:BU$47,"",0)</f>
        <v>1.3378998588532157E-15</v>
      </c>
      <c r="BV14" s="1">
        <f>_xlfn.XLOOKUP($B14,Sort_Alpha!$B$5:$B$47,Sort_Alpha!BV$5:BV$47,"",0)</f>
        <v>1.1847825235315176E-14</v>
      </c>
      <c r="BW14" s="1">
        <f>_xlfn.XLOOKUP($B14,Sort_Alpha!$B$5:$B$47,Sort_Alpha!BW$5:BW$47,"",0)</f>
        <v>4.6401513202597708E-14</v>
      </c>
      <c r="BX14" s="1">
        <f>_xlfn.XLOOKUP($B14,Sort_Alpha!$B$5:$B$47,Sort_Alpha!BX$5:BX$47,"",0)</f>
        <v>1.7017238956776675E-14</v>
      </c>
      <c r="BY14" s="1">
        <f>_xlfn.XLOOKUP($B14,Sort_Alpha!$B$5:$B$47,Sort_Alpha!BY$5:BY$47,"",0)</f>
        <v>1.4993303140421028E-15</v>
      </c>
      <c r="BZ14" s="1">
        <f>_xlfn.XLOOKUP($B14,Sort_Alpha!$B$5:$B$47,Sort_Alpha!BZ$5:BZ$47,"",0)</f>
        <v>9.4835557607539047E-16</v>
      </c>
      <c r="CA14" s="1">
        <f>_xlfn.XLOOKUP($B14,Sort_Alpha!$B$5:$B$47,Sort_Alpha!CA$5:CA$47,"",0)</f>
        <v>1.0637116665826697E-15</v>
      </c>
      <c r="CB14" s="1">
        <f>_xlfn.XLOOKUP($B14,Sort_Alpha!$B$5:$B$47,Sort_Alpha!CB$5:CB$47,"",0)</f>
        <v>1.0846557406323573E-15</v>
      </c>
      <c r="CC14" s="1">
        <f>_xlfn.XLOOKUP($B14,Sort_Alpha!$B$5:$B$47,Sort_Alpha!CC$5:CC$47,"",0)</f>
        <v>9.0453707483067167E-15</v>
      </c>
    </row>
    <row r="15" spans="2:81" x14ac:dyDescent="0.15">
      <c r="C15" s="1" t="str">
        <f>_xlfn.XLOOKUP($B15,Sort_Alpha!$B$5:$B$47,Sort_Alpha!C$5:C$47,"",0)</f>
        <v/>
      </c>
      <c r="D15" s="1" t="str">
        <f>_xlfn.XLOOKUP($B15,Sort_Alpha!$B$5:$B$47,Sort_Alpha!D$5:D$47,"",0)</f>
        <v/>
      </c>
      <c r="E15" s="1" t="str">
        <f>_xlfn.XLOOKUP($B15,Sort_Alpha!$B$5:$B$47,Sort_Alpha!E$5:E$47,"",0)</f>
        <v/>
      </c>
      <c r="F15" s="1" t="str">
        <f>_xlfn.XLOOKUP($B15,Sort_Alpha!$B$5:$B$47,Sort_Alpha!F$5:F$47,"",0)</f>
        <v/>
      </c>
      <c r="G15" s="1" t="str">
        <f>_xlfn.XLOOKUP($B15,Sort_Alpha!$B$5:$B$47,Sort_Alpha!G$5:G$47,"",0)</f>
        <v/>
      </c>
      <c r="H15" s="1" t="str">
        <f>_xlfn.XLOOKUP($B15,Sort_Alpha!$B$5:$B$47,Sort_Alpha!H$5:H$47,"",0)</f>
        <v/>
      </c>
      <c r="I15" s="1" t="str">
        <f>_xlfn.XLOOKUP($B15,Sort_Alpha!$B$5:$B$47,Sort_Alpha!I$5:I$47,"",0)</f>
        <v/>
      </c>
      <c r="J15" s="1" t="str">
        <f>_xlfn.XLOOKUP($B15,Sort_Alpha!$B$5:$B$47,Sort_Alpha!J$5:J$47,"",0)</f>
        <v/>
      </c>
      <c r="K15" s="1" t="str">
        <f>_xlfn.XLOOKUP($B15,Sort_Alpha!$B$5:$B$47,Sort_Alpha!K$5:K$47,"",0)</f>
        <v/>
      </c>
      <c r="L15" s="1" t="str">
        <f>_xlfn.XLOOKUP($B15,Sort_Alpha!$B$5:$B$47,Sort_Alpha!L$5:L$47,"",0)</f>
        <v/>
      </c>
      <c r="M15" s="1" t="str">
        <f>_xlfn.XLOOKUP($B15,Sort_Alpha!$B$5:$B$47,Sort_Alpha!M$5:M$47,"",0)</f>
        <v/>
      </c>
      <c r="N15" s="1" t="str">
        <f>_xlfn.XLOOKUP($B15,Sort_Alpha!$B$5:$B$47,Sort_Alpha!N$5:N$47,"",0)</f>
        <v/>
      </c>
      <c r="O15" s="1" t="str">
        <f>_xlfn.XLOOKUP($B15,Sort_Alpha!$B$5:$B$47,Sort_Alpha!O$5:O$47,"",0)</f>
        <v/>
      </c>
      <c r="P15" s="1" t="str">
        <f>_xlfn.XLOOKUP($B15,Sort_Alpha!$B$5:$B$47,Sort_Alpha!P$5:P$47,"",0)</f>
        <v/>
      </c>
      <c r="Q15" s="1" t="str">
        <f>_xlfn.XLOOKUP($B15,Sort_Alpha!$B$5:$B$47,Sort_Alpha!Q$5:Q$47,"",0)</f>
        <v/>
      </c>
      <c r="R15" s="1" t="str">
        <f>_xlfn.XLOOKUP($B15,Sort_Alpha!$B$5:$B$47,Sort_Alpha!R$5:R$47,"",0)</f>
        <v/>
      </c>
      <c r="S15" s="1" t="str">
        <f>_xlfn.XLOOKUP($B15,Sort_Alpha!$B$5:$B$47,Sort_Alpha!S$5:S$47,"",0)</f>
        <v/>
      </c>
      <c r="T15" s="1" t="str">
        <f>_xlfn.XLOOKUP($B15,Sort_Alpha!$B$5:$B$47,Sort_Alpha!T$5:T$47,"",0)</f>
        <v/>
      </c>
      <c r="U15" s="1" t="str">
        <f>_xlfn.XLOOKUP($B15,Sort_Alpha!$B$5:$B$47,Sort_Alpha!U$5:U$47,"",0)</f>
        <v/>
      </c>
      <c r="V15" s="1" t="str">
        <f>_xlfn.XLOOKUP($B15,Sort_Alpha!$B$5:$B$47,Sort_Alpha!V$5:V$47,"",0)</f>
        <v/>
      </c>
      <c r="W15" s="1" t="str">
        <f>_xlfn.XLOOKUP($B15,Sort_Alpha!$B$5:$B$47,Sort_Alpha!W$5:W$47,"",0)</f>
        <v/>
      </c>
      <c r="X15" s="1" t="str">
        <f>_xlfn.XLOOKUP($B15,Sort_Alpha!$B$5:$B$47,Sort_Alpha!X$5:X$47,"",0)</f>
        <v/>
      </c>
      <c r="Y15" s="1" t="str">
        <f>_xlfn.XLOOKUP($B15,Sort_Alpha!$B$5:$B$47,Sort_Alpha!Y$5:Y$47,"",0)</f>
        <v/>
      </c>
      <c r="Z15" s="1" t="str">
        <f>_xlfn.XLOOKUP($B15,Sort_Alpha!$B$5:$B$47,Sort_Alpha!Z$5:Z$47,"",0)</f>
        <v/>
      </c>
      <c r="AA15" s="1" t="str">
        <f>_xlfn.XLOOKUP($B15,Sort_Alpha!$B$5:$B$47,Sort_Alpha!AA$5:AA$47,"",0)</f>
        <v/>
      </c>
      <c r="AB15" s="1" t="str">
        <f>_xlfn.XLOOKUP($B15,Sort_Alpha!$B$5:$B$47,Sort_Alpha!AB$5:AB$47,"",0)</f>
        <v/>
      </c>
      <c r="AC15" s="1" t="str">
        <f>_xlfn.XLOOKUP($B15,Sort_Alpha!$B$5:$B$47,Sort_Alpha!AC$5:AC$47,"",0)</f>
        <v/>
      </c>
      <c r="AD15" s="1" t="str">
        <f>_xlfn.XLOOKUP($B15,Sort_Alpha!$B$5:$B$47,Sort_Alpha!AD$5:AD$47,"",0)</f>
        <v/>
      </c>
      <c r="AE15" s="1" t="str">
        <f>_xlfn.XLOOKUP($B15,Sort_Alpha!$B$5:$B$47,Sort_Alpha!AE$5:AE$47,"",0)</f>
        <v/>
      </c>
      <c r="AF15" s="1" t="str">
        <f>_xlfn.XLOOKUP($B15,Sort_Alpha!$B$5:$B$47,Sort_Alpha!AF$5:AF$47,"",0)</f>
        <v/>
      </c>
      <c r="AG15" s="1" t="str">
        <f>_xlfn.XLOOKUP($B15,Sort_Alpha!$B$5:$B$47,Sort_Alpha!AG$5:AG$47,"",0)</f>
        <v/>
      </c>
      <c r="AH15" s="1" t="str">
        <f>_xlfn.XLOOKUP($B15,Sort_Alpha!$B$5:$B$47,Sort_Alpha!AH$5:AH$47,"",0)</f>
        <v/>
      </c>
      <c r="AI15" s="1" t="str">
        <f>_xlfn.XLOOKUP($B15,Sort_Alpha!$B$5:$B$47,Sort_Alpha!AI$5:AI$47,"",0)</f>
        <v/>
      </c>
      <c r="AJ15" s="1" t="str">
        <f>_xlfn.XLOOKUP($B15,Sort_Alpha!$B$5:$B$47,Sort_Alpha!AJ$5:AJ$47,"",0)</f>
        <v/>
      </c>
      <c r="AK15" s="1" t="str">
        <f>_xlfn.XLOOKUP($B15,Sort_Alpha!$B$5:$B$47,Sort_Alpha!AK$5:AK$47,"",0)</f>
        <v/>
      </c>
      <c r="AL15" s="1" t="str">
        <f>_xlfn.XLOOKUP($B15,Sort_Alpha!$B$5:$B$47,Sort_Alpha!AL$5:AL$47,"",0)</f>
        <v/>
      </c>
      <c r="AM15" s="1" t="str">
        <f>_xlfn.XLOOKUP($B15,Sort_Alpha!$B$5:$B$47,Sort_Alpha!AM$5:AM$47,"",0)</f>
        <v/>
      </c>
      <c r="AN15" s="1" t="str">
        <f>_xlfn.XLOOKUP($B15,Sort_Alpha!$B$5:$B$47,Sort_Alpha!AN$5:AN$47,"",0)</f>
        <v/>
      </c>
      <c r="AO15" s="1" t="str">
        <f>_xlfn.XLOOKUP($B15,Sort_Alpha!$B$5:$B$47,Sort_Alpha!AO$5:AO$47,"",0)</f>
        <v/>
      </c>
      <c r="AP15" s="1" t="str">
        <f>_xlfn.XLOOKUP($B15,Sort_Alpha!$B$5:$B$47,Sort_Alpha!AP$5:AP$47,"",0)</f>
        <v/>
      </c>
      <c r="AQ15" s="1" t="str">
        <f>_xlfn.XLOOKUP($B15,Sort_Alpha!$B$5:$B$47,Sort_Alpha!AQ$5:AQ$47,"",0)</f>
        <v/>
      </c>
      <c r="AR15" s="1" t="str">
        <f>_xlfn.XLOOKUP($B15,Sort_Alpha!$B$5:$B$47,Sort_Alpha!AR$5:AR$47,"",0)</f>
        <v/>
      </c>
      <c r="AS15" s="1" t="str">
        <f>_xlfn.XLOOKUP($B15,Sort_Alpha!$B$5:$B$47,Sort_Alpha!AS$5:AS$47,"",0)</f>
        <v/>
      </c>
      <c r="AT15" s="1" t="str">
        <f>_xlfn.XLOOKUP($B15,Sort_Alpha!$B$5:$B$47,Sort_Alpha!AT$5:AT$47,"",0)</f>
        <v/>
      </c>
      <c r="AU15" s="1" t="str">
        <f>_xlfn.XLOOKUP($B15,Sort_Alpha!$B$5:$B$47,Sort_Alpha!AU$5:AU$47,"",0)</f>
        <v/>
      </c>
      <c r="AV15" s="1" t="str">
        <f>_xlfn.XLOOKUP($B15,Sort_Alpha!$B$5:$B$47,Sort_Alpha!AV$5:AV$47,"",0)</f>
        <v/>
      </c>
      <c r="AW15" s="1" t="str">
        <f>_xlfn.XLOOKUP($B15,Sort_Alpha!$B$5:$B$47,Sort_Alpha!AW$5:AW$47,"",0)</f>
        <v/>
      </c>
      <c r="AX15" s="1" t="str">
        <f>_xlfn.XLOOKUP($B15,Sort_Alpha!$B$5:$B$47,Sort_Alpha!AX$5:AX$47,"",0)</f>
        <v/>
      </c>
      <c r="AY15" s="1" t="str">
        <f>_xlfn.XLOOKUP($B15,Sort_Alpha!$B$5:$B$47,Sort_Alpha!AY$5:AY$47,"",0)</f>
        <v/>
      </c>
      <c r="AZ15" s="1" t="str">
        <f>_xlfn.XLOOKUP($B15,Sort_Alpha!$B$5:$B$47,Sort_Alpha!AZ$5:AZ$47,"",0)</f>
        <v/>
      </c>
      <c r="BA15" s="1" t="str">
        <f>_xlfn.XLOOKUP($B15,Sort_Alpha!$B$5:$B$47,Sort_Alpha!BA$5:BA$47,"",0)</f>
        <v/>
      </c>
      <c r="BB15" s="1" t="str">
        <f>_xlfn.XLOOKUP($B15,Sort_Alpha!$B$5:$B$47,Sort_Alpha!BB$5:BB$47,"",0)</f>
        <v/>
      </c>
      <c r="BC15" s="1" t="str">
        <f>_xlfn.XLOOKUP($B15,Sort_Alpha!$B$5:$B$47,Sort_Alpha!BC$5:BC$47,"",0)</f>
        <v/>
      </c>
      <c r="BD15" s="1" t="str">
        <f>_xlfn.XLOOKUP($B15,Sort_Alpha!$B$5:$B$47,Sort_Alpha!BD$5:BD$47,"",0)</f>
        <v/>
      </c>
      <c r="BE15" s="1" t="str">
        <f>_xlfn.XLOOKUP($B15,Sort_Alpha!$B$5:$B$47,Sort_Alpha!BE$5:BE$47,"",0)</f>
        <v/>
      </c>
      <c r="BF15" s="1" t="str">
        <f>_xlfn.XLOOKUP($B15,Sort_Alpha!$B$5:$B$47,Sort_Alpha!BF$5:BF$47,"",0)</f>
        <v/>
      </c>
      <c r="BG15" s="1" t="str">
        <f>_xlfn.XLOOKUP($B15,Sort_Alpha!$B$5:$B$47,Sort_Alpha!BG$5:BG$47,"",0)</f>
        <v/>
      </c>
      <c r="BH15" s="1" t="str">
        <f>_xlfn.XLOOKUP($B15,Sort_Alpha!$B$5:$B$47,Sort_Alpha!BH$5:BH$47,"",0)</f>
        <v/>
      </c>
      <c r="BI15" s="1" t="str">
        <f>_xlfn.XLOOKUP($B15,Sort_Alpha!$B$5:$B$47,Sort_Alpha!BI$5:BI$47,"",0)</f>
        <v/>
      </c>
      <c r="BJ15" s="1" t="str">
        <f>_xlfn.XLOOKUP($B15,Sort_Alpha!$B$5:$B$47,Sort_Alpha!BJ$5:BJ$47,"",0)</f>
        <v/>
      </c>
      <c r="BK15" s="1" t="str">
        <f>_xlfn.XLOOKUP($B15,Sort_Alpha!$B$5:$B$47,Sort_Alpha!BK$5:BK$47,"",0)</f>
        <v/>
      </c>
      <c r="BL15" s="1" t="str">
        <f>_xlfn.XLOOKUP($B15,Sort_Alpha!$B$5:$B$47,Sort_Alpha!BL$5:BL$47,"",0)</f>
        <v/>
      </c>
      <c r="BM15" s="1" t="str">
        <f>_xlfn.XLOOKUP($B15,Sort_Alpha!$B$5:$B$47,Sort_Alpha!BM$5:BM$47,"",0)</f>
        <v/>
      </c>
      <c r="BN15" s="1" t="str">
        <f>_xlfn.XLOOKUP($B15,Sort_Alpha!$B$5:$B$47,Sort_Alpha!BN$5:BN$47,"",0)</f>
        <v/>
      </c>
      <c r="BO15" s="1" t="str">
        <f>_xlfn.XLOOKUP($B15,Sort_Alpha!$B$5:$B$47,Sort_Alpha!BO$5:BO$47,"",0)</f>
        <v/>
      </c>
      <c r="BP15" s="1" t="str">
        <f>_xlfn.XLOOKUP($B15,Sort_Alpha!$B$5:$B$47,Sort_Alpha!BP$5:BP$47,"",0)</f>
        <v/>
      </c>
      <c r="BQ15" s="1" t="str">
        <f>_xlfn.XLOOKUP($B15,Sort_Alpha!$B$5:$B$47,Sort_Alpha!BQ$5:BQ$47,"",0)</f>
        <v/>
      </c>
      <c r="BR15" s="1" t="str">
        <f>_xlfn.XLOOKUP($B15,Sort_Alpha!$B$5:$B$47,Sort_Alpha!BR$5:BR$47,"",0)</f>
        <v/>
      </c>
      <c r="BS15" s="1" t="str">
        <f>_xlfn.XLOOKUP($B15,Sort_Alpha!$B$5:$B$47,Sort_Alpha!BS$5:BS$47,"",0)</f>
        <v/>
      </c>
      <c r="BT15" s="1" t="str">
        <f>_xlfn.XLOOKUP($B15,Sort_Alpha!$B$5:$B$47,Sort_Alpha!BT$5:BT$47,"",0)</f>
        <v/>
      </c>
      <c r="BU15" s="1" t="str">
        <f>_xlfn.XLOOKUP($B15,Sort_Alpha!$B$5:$B$47,Sort_Alpha!BU$5:BU$47,"",0)</f>
        <v/>
      </c>
      <c r="BV15" s="1" t="str">
        <f>_xlfn.XLOOKUP($B15,Sort_Alpha!$B$5:$B$47,Sort_Alpha!BV$5:BV$47,"",0)</f>
        <v/>
      </c>
      <c r="BW15" s="1" t="str">
        <f>_xlfn.XLOOKUP($B15,Sort_Alpha!$B$5:$B$47,Sort_Alpha!BW$5:BW$47,"",0)</f>
        <v/>
      </c>
      <c r="BX15" s="1" t="str">
        <f>_xlfn.XLOOKUP($B15,Sort_Alpha!$B$5:$B$47,Sort_Alpha!BX$5:BX$47,"",0)</f>
        <v/>
      </c>
      <c r="BY15" s="1" t="str">
        <f>_xlfn.XLOOKUP($B15,Sort_Alpha!$B$5:$B$47,Sort_Alpha!BY$5:BY$47,"",0)</f>
        <v/>
      </c>
      <c r="BZ15" s="1" t="str">
        <f>_xlfn.XLOOKUP($B15,Sort_Alpha!$B$5:$B$47,Sort_Alpha!BZ$5:BZ$47,"",0)</f>
        <v/>
      </c>
      <c r="CA15" s="1" t="str">
        <f>_xlfn.XLOOKUP($B15,Sort_Alpha!$B$5:$B$47,Sort_Alpha!CA$5:CA$47,"",0)</f>
        <v/>
      </c>
      <c r="CB15" s="1" t="str">
        <f>_xlfn.XLOOKUP($B15,Sort_Alpha!$B$5:$B$47,Sort_Alpha!CB$5:CB$47,"",0)</f>
        <v/>
      </c>
      <c r="CC15" s="1" t="str">
        <f>_xlfn.XLOOKUP($B15,Sort_Alpha!$B$5:$B$47,Sort_Alpha!CC$5:CC$47,"",0)</f>
        <v/>
      </c>
    </row>
    <row r="16" spans="2:81" x14ac:dyDescent="0.15">
      <c r="B16" t="s">
        <v>8</v>
      </c>
      <c r="C16" s="1">
        <f>_xlfn.XLOOKUP($B16,Sort_Alpha!$B$5:$B$47,Sort_Alpha!C$5:C$47,"",0)</f>
        <v>7.5847218221163099E-16</v>
      </c>
      <c r="D16" s="1">
        <f>_xlfn.XLOOKUP($B16,Sort_Alpha!$B$5:$B$47,Sort_Alpha!D$5:D$47,"",0)</f>
        <v>6.4651729723747194E-17</v>
      </c>
      <c r="E16" s="1">
        <f>_xlfn.XLOOKUP($B16,Sort_Alpha!$B$5:$B$47,Sort_Alpha!E$5:E$47,"",0)</f>
        <v>3.4120015658087846E-16</v>
      </c>
      <c r="F16" s="1">
        <f>_xlfn.XLOOKUP($B16,Sort_Alpha!$B$5:$B$47,Sort_Alpha!F$5:F$47,"",0)</f>
        <v>3.7625236356631282E-16</v>
      </c>
      <c r="G16" s="1">
        <f>_xlfn.XLOOKUP($B16,Sort_Alpha!$B$5:$B$47,Sort_Alpha!G$5:G$47,"",0)</f>
        <v>2.9494187122428135E-15</v>
      </c>
      <c r="H16" s="1">
        <f>_xlfn.XLOOKUP($B16,Sort_Alpha!$B$5:$B$47,Sort_Alpha!H$5:H$47,"",0)</f>
        <v>6.1476127322275882E-16</v>
      </c>
      <c r="I16" s="1">
        <f>_xlfn.XLOOKUP($B16,Sort_Alpha!$B$5:$B$47,Sort_Alpha!I$5:I$47,"",0)</f>
        <v>5.8695765483211305E-16</v>
      </c>
      <c r="J16" s="1">
        <f>_xlfn.XLOOKUP($B16,Sort_Alpha!$B$5:$B$47,Sort_Alpha!J$5:J$47,"",0)</f>
        <v>5.8695765483211305E-16</v>
      </c>
      <c r="K16" s="1">
        <f>_xlfn.XLOOKUP($B16,Sort_Alpha!$B$5:$B$47,Sort_Alpha!K$5:K$47,"",0)</f>
        <v>5.8695765483211305E-16</v>
      </c>
      <c r="L16" s="1">
        <f>_xlfn.XLOOKUP($B16,Sort_Alpha!$B$5:$B$47,Sort_Alpha!L$5:L$47,"",0)</f>
        <v>3.4120015658087846E-16</v>
      </c>
      <c r="M16" s="1">
        <f>_xlfn.XLOOKUP($B16,Sort_Alpha!$B$5:$B$47,Sort_Alpha!M$5:M$47,"",0)</f>
        <v>3.4120015658087846E-16</v>
      </c>
      <c r="N16" s="1">
        <f>_xlfn.XLOOKUP($B16,Sort_Alpha!$B$5:$B$47,Sort_Alpha!N$5:N$47,"",0)</f>
        <v>3.4120015658087846E-16</v>
      </c>
      <c r="O16" s="1">
        <f>_xlfn.XLOOKUP($B16,Sort_Alpha!$B$5:$B$47,Sort_Alpha!O$5:O$47,"",0)</f>
        <v>6.5487185882182006E-16</v>
      </c>
      <c r="P16" s="1">
        <f>_xlfn.XLOOKUP($B16,Sort_Alpha!$B$5:$B$47,Sort_Alpha!P$5:P$47,"",0)</f>
        <v>2.7550649171614651E-17</v>
      </c>
      <c r="Q16" s="1">
        <f>_xlfn.XLOOKUP($B16,Sort_Alpha!$B$5:$B$47,Sort_Alpha!Q$5:Q$47,"",0)</f>
        <v>1.5705698183155136E-15</v>
      </c>
      <c r="R16" s="1">
        <f>_xlfn.XLOOKUP($B16,Sort_Alpha!$B$5:$B$47,Sort_Alpha!R$5:R$47,"",0)</f>
        <v>1.5705698183155136E-15</v>
      </c>
      <c r="S16" s="1">
        <f>_xlfn.XLOOKUP($B16,Sort_Alpha!$B$5:$B$47,Sort_Alpha!S$5:S$47,"",0)</f>
        <v>7.7072069823293856E-11</v>
      </c>
      <c r="T16" s="1">
        <f>_xlfn.XLOOKUP($B16,Sort_Alpha!$B$5:$B$47,Sort_Alpha!T$5:T$47,"",0)</f>
        <v>3.9773671106541436E-12</v>
      </c>
      <c r="U16" s="1">
        <f>_xlfn.XLOOKUP($B16,Sort_Alpha!$B$5:$B$47,Sort_Alpha!U$5:U$47,"",0)</f>
        <v>1.1172014727374896E-14</v>
      </c>
      <c r="V16" s="1">
        <f>_xlfn.XLOOKUP($B16,Sort_Alpha!$B$5:$B$47,Sort_Alpha!V$5:V$47,"",0)</f>
        <v>1.1172014727374896E-14</v>
      </c>
      <c r="W16" s="1">
        <f>_xlfn.XLOOKUP($B16,Sort_Alpha!$B$5:$B$47,Sort_Alpha!W$5:W$47,"",0)</f>
        <v>1.1172014727374896E-14</v>
      </c>
      <c r="X16" s="1">
        <f>_xlfn.XLOOKUP($B16,Sort_Alpha!$B$5:$B$47,Sort_Alpha!X$5:X$47,"",0)</f>
        <v>1.1172014727374896E-14</v>
      </c>
      <c r="Y16" s="1">
        <f>_xlfn.XLOOKUP($B16,Sort_Alpha!$B$5:$B$47,Sort_Alpha!Y$5:Y$47,"",0)</f>
        <v>2.617545148789546E-14</v>
      </c>
      <c r="Z16" s="1">
        <f>_xlfn.XLOOKUP($B16,Sort_Alpha!$B$5:$B$47,Sort_Alpha!Z$5:Z$47,"",0)</f>
        <v>8.9391299104131268E-17</v>
      </c>
      <c r="AA16" s="1">
        <f>_xlfn.XLOOKUP($B16,Sort_Alpha!$B$5:$B$47,Sort_Alpha!AA$5:AA$47,"",0)</f>
        <v>1.013995714428317E-16</v>
      </c>
      <c r="AB16" s="1">
        <f>_xlfn.XLOOKUP($B16,Sort_Alpha!$B$5:$B$47,Sort_Alpha!AB$5:AB$47,"",0)</f>
        <v>2.9190930395866596E-16</v>
      </c>
      <c r="AC16" s="1">
        <f>_xlfn.XLOOKUP($B16,Sort_Alpha!$B$5:$B$47,Sort_Alpha!AC$5:AC$47,"",0)</f>
        <v>4.8559846346852494E-17</v>
      </c>
      <c r="AD16" s="1">
        <f>_xlfn.XLOOKUP($B16,Sort_Alpha!$B$5:$B$47,Sort_Alpha!AD$5:AD$47,"",0)</f>
        <v>1.6593288188153605E-17</v>
      </c>
      <c r="AE16" s="1">
        <f>_xlfn.XLOOKUP($B16,Sort_Alpha!$B$5:$B$47,Sort_Alpha!AE$5:AE$47,"",0)</f>
        <v>2.040526774039493E-17</v>
      </c>
      <c r="AF16" s="1">
        <f>_xlfn.XLOOKUP($B16,Sort_Alpha!$B$5:$B$47,Sort_Alpha!AF$5:AF$47,"",0)</f>
        <v>2.040526774039493E-17</v>
      </c>
      <c r="AG16" s="1">
        <f>_xlfn.XLOOKUP($B16,Sort_Alpha!$B$5:$B$47,Sort_Alpha!AG$5:AG$47,"",0)</f>
        <v>1.1358918543779075E-16</v>
      </c>
      <c r="AH16" s="1">
        <f>_xlfn.XLOOKUP($B16,Sort_Alpha!$B$5:$B$47,Sort_Alpha!AH$5:AH$47,"",0)</f>
        <v>3.4942179352861189E-16</v>
      </c>
      <c r="AI16" s="1">
        <f>_xlfn.XLOOKUP($B16,Sort_Alpha!$B$5:$B$47,Sort_Alpha!AI$5:AI$47,"",0)</f>
        <v>3.0796086217738022E-16</v>
      </c>
      <c r="AJ16" s="1">
        <f>_xlfn.XLOOKUP($B16,Sort_Alpha!$B$5:$B$47,Sort_Alpha!AJ$5:AJ$47,"",0)</f>
        <v>3.9094887274607023E-15</v>
      </c>
      <c r="AK16" s="1">
        <f>_xlfn.XLOOKUP($B16,Sort_Alpha!$B$5:$B$47,Sort_Alpha!AK$5:AK$47,"",0)</f>
        <v>2.4597459792391156E-16</v>
      </c>
      <c r="AL16" s="1">
        <f>_xlfn.XLOOKUP($B16,Sort_Alpha!$B$5:$B$47,Sort_Alpha!AL$5:AL$47,"",0)</f>
        <v>6.6227990027411231E-16</v>
      </c>
      <c r="AM16" s="1">
        <f>_xlfn.XLOOKUP($B16,Sort_Alpha!$B$5:$B$47,Sort_Alpha!AM$5:AM$47,"",0)</f>
        <v>2.1495673175131686E-16</v>
      </c>
      <c r="AN16" s="1">
        <f>_xlfn.XLOOKUP($B16,Sort_Alpha!$B$5:$B$47,Sort_Alpha!AN$5:AN$47,"",0)</f>
        <v>5.8140093675885795E-16</v>
      </c>
      <c r="AO16" s="1">
        <f>_xlfn.XLOOKUP($B16,Sort_Alpha!$B$5:$B$47,Sort_Alpha!AO$5:AO$47,"",0)</f>
        <v>5.8140093675885795E-16</v>
      </c>
      <c r="AP16" s="1">
        <f>_xlfn.XLOOKUP($B16,Sort_Alpha!$B$5:$B$47,Sort_Alpha!AP$5:AP$47,"",0)</f>
        <v>5.8140093675885795E-16</v>
      </c>
      <c r="AQ16" s="1">
        <f>_xlfn.XLOOKUP($B16,Sort_Alpha!$B$5:$B$47,Sort_Alpha!AQ$5:AQ$47,"",0)</f>
        <v>1.6673593409157507E-14</v>
      </c>
      <c r="AR16" s="1">
        <f>_xlfn.XLOOKUP($B16,Sort_Alpha!$B$5:$B$47,Sort_Alpha!AR$5:AR$47,"",0)</f>
        <v>1.6673593409157507E-14</v>
      </c>
      <c r="AS16" s="1">
        <f>_xlfn.XLOOKUP($B16,Sort_Alpha!$B$5:$B$47,Sort_Alpha!AS$5:AS$47,"",0)</f>
        <v>2.5466582151331951E-18</v>
      </c>
      <c r="AT16" s="1">
        <f>_xlfn.XLOOKUP($B16,Sort_Alpha!$B$5:$B$47,Sort_Alpha!AT$5:AT$47,"",0)</f>
        <v>6.2412810954625035E-17</v>
      </c>
      <c r="AU16" s="1">
        <f>_xlfn.XLOOKUP($B16,Sort_Alpha!$B$5:$B$47,Sort_Alpha!AU$5:AU$47,"",0)</f>
        <v>4.8982148886685466E-15</v>
      </c>
      <c r="AV16" s="1">
        <f>_xlfn.XLOOKUP($B16,Sort_Alpha!$B$5:$B$47,Sort_Alpha!AV$5:AV$47,"",0)</f>
        <v>0</v>
      </c>
      <c r="AW16" s="1">
        <f>_xlfn.XLOOKUP($B16,Sort_Alpha!$B$5:$B$47,Sort_Alpha!AW$5:AW$47,"",0)</f>
        <v>2.2107191323506562E-18</v>
      </c>
      <c r="AX16" s="1">
        <f>_xlfn.XLOOKUP($B16,Sort_Alpha!$B$5:$B$47,Sort_Alpha!AX$5:AX$47,"",0)</f>
        <v>4.2948164553259766E-18</v>
      </c>
      <c r="AY16" s="1">
        <f>_xlfn.XLOOKUP($B16,Sort_Alpha!$B$5:$B$47,Sort_Alpha!AY$5:AY$47,"",0)</f>
        <v>4.2948164553259766E-18</v>
      </c>
      <c r="AZ16" s="1">
        <f>_xlfn.XLOOKUP($B16,Sort_Alpha!$B$5:$B$47,Sort_Alpha!AZ$5:AZ$47,"",0)</f>
        <v>6.1762799036519005E-16</v>
      </c>
      <c r="BA16" s="1">
        <f>_xlfn.XLOOKUP($B16,Sort_Alpha!$B$5:$B$47,Sort_Alpha!BA$5:BA$47,"",0)</f>
        <v>4.3801089940563312E-16</v>
      </c>
      <c r="BB16" s="1">
        <f>_xlfn.XLOOKUP($B16,Sort_Alpha!$B$5:$B$47,Sort_Alpha!BB$5:BB$47,"",0)</f>
        <v>2.1047164843968647E-17</v>
      </c>
      <c r="BC16" s="1">
        <f>_xlfn.XLOOKUP($B16,Sort_Alpha!$B$5:$B$47,Sort_Alpha!BC$5:BC$47,"",0)</f>
        <v>2.177726001742806E-17</v>
      </c>
      <c r="BD16" s="1">
        <f>_xlfn.XLOOKUP($B16,Sort_Alpha!$B$5:$B$47,Sort_Alpha!BD$5:BD$47,"",0)</f>
        <v>2.177726001742806E-17</v>
      </c>
      <c r="BE16" s="1">
        <f>_xlfn.XLOOKUP($B16,Sort_Alpha!$B$5:$B$47,Sort_Alpha!BE$5:BE$47,"",0)</f>
        <v>3.550976480815155E-15</v>
      </c>
      <c r="BF16" s="1">
        <f>_xlfn.XLOOKUP($B16,Sort_Alpha!$B$5:$B$47,Sort_Alpha!BF$5:BF$47,"",0)</f>
        <v>5.4793856729980608E-16</v>
      </c>
      <c r="BG16" s="1">
        <f>_xlfn.XLOOKUP($B16,Sort_Alpha!$B$5:$B$47,Sort_Alpha!BG$5:BG$47,"",0)</f>
        <v>2.3361890908627448E-17</v>
      </c>
      <c r="BH16" s="1">
        <f>_xlfn.XLOOKUP($B16,Sort_Alpha!$B$5:$B$47,Sort_Alpha!BH$5:BH$47,"",0)</f>
        <v>2.4475897523660861E-17</v>
      </c>
      <c r="BI16" s="1">
        <f>_xlfn.XLOOKUP($B16,Sort_Alpha!$B$5:$B$47,Sort_Alpha!BI$5:BI$47,"",0)</f>
        <v>2.4475897523660861E-17</v>
      </c>
      <c r="BJ16" s="1">
        <f>_xlfn.XLOOKUP($B16,Sort_Alpha!$B$5:$B$47,Sort_Alpha!BJ$5:BJ$47,"",0)</f>
        <v>2.4475897523660861E-17</v>
      </c>
      <c r="BK16" s="1">
        <f>_xlfn.XLOOKUP($B16,Sort_Alpha!$B$5:$B$47,Sort_Alpha!BK$5:BK$47,"",0)</f>
        <v>8.8737763713794264E-17</v>
      </c>
      <c r="BL16" s="1">
        <f>_xlfn.XLOOKUP($B16,Sort_Alpha!$B$5:$B$47,Sort_Alpha!BL$5:BL$47,"",0)</f>
        <v>9.9804183555223908E-17</v>
      </c>
      <c r="BM16" s="1">
        <f>_xlfn.XLOOKUP($B16,Sort_Alpha!$B$5:$B$47,Sort_Alpha!BM$5:BM$47,"",0)</f>
        <v>9.3966559321537447E-17</v>
      </c>
      <c r="BN16" s="1">
        <f>_xlfn.XLOOKUP($B16,Sort_Alpha!$B$5:$B$47,Sort_Alpha!BN$5:BN$47,"",0)</f>
        <v>9.3966559321537447E-17</v>
      </c>
      <c r="BO16" s="1">
        <f>_xlfn.XLOOKUP($B16,Sort_Alpha!$B$5:$B$47,Sort_Alpha!BO$5:BO$47,"",0)</f>
        <v>2.2520058969748027E-14</v>
      </c>
      <c r="BP16" s="1">
        <f>_xlfn.XLOOKUP($B16,Sort_Alpha!$B$5:$B$47,Sort_Alpha!BP$5:BP$47,"",0)</f>
        <v>2.2520058969748027E-14</v>
      </c>
      <c r="BQ16" s="1">
        <f>_xlfn.XLOOKUP($B16,Sort_Alpha!$B$5:$B$47,Sort_Alpha!BQ$5:BQ$47,"",0)</f>
        <v>0</v>
      </c>
      <c r="BR16" s="1">
        <f>_xlfn.XLOOKUP($B16,Sort_Alpha!$B$5:$B$47,Sort_Alpha!BR$5:BR$47,"",0)</f>
        <v>7.1331135808459721E-16</v>
      </c>
      <c r="BS16" s="1">
        <f>_xlfn.XLOOKUP($B16,Sort_Alpha!$B$5:$B$47,Sort_Alpha!BS$5:BS$47,"",0)</f>
        <v>1.1410257304626177E-15</v>
      </c>
      <c r="BT16" s="1">
        <f>_xlfn.XLOOKUP($B16,Sort_Alpha!$B$5:$B$47,Sort_Alpha!BT$5:BT$47,"",0)</f>
        <v>1.2367412577431997E-14</v>
      </c>
      <c r="BU16" s="1">
        <f>_xlfn.XLOOKUP($B16,Sort_Alpha!$B$5:$B$47,Sort_Alpha!BU$5:BU$47,"",0)</f>
        <v>8.590976081865005E-15</v>
      </c>
      <c r="BV16" s="1">
        <f>_xlfn.XLOOKUP($B16,Sort_Alpha!$B$5:$B$47,Sort_Alpha!BV$5:BV$47,"",0)</f>
        <v>4.7673174402268026E-16</v>
      </c>
      <c r="BW16" s="1">
        <f>_xlfn.XLOOKUP($B16,Sort_Alpha!$B$5:$B$47,Sort_Alpha!BW$5:BW$47,"",0)</f>
        <v>1.1296751283593101E-15</v>
      </c>
      <c r="BX16" s="1">
        <f>_xlfn.XLOOKUP($B16,Sort_Alpha!$B$5:$B$47,Sort_Alpha!BX$5:BX$47,"",0)</f>
        <v>1.1296751283593101E-15</v>
      </c>
      <c r="BY16" s="1">
        <f>_xlfn.XLOOKUP($B16,Sort_Alpha!$B$5:$B$47,Sort_Alpha!BY$5:BY$47,"",0)</f>
        <v>1.6291924739480927E-17</v>
      </c>
      <c r="BZ16" s="1">
        <f>_xlfn.XLOOKUP($B16,Sort_Alpha!$B$5:$B$47,Sort_Alpha!BZ$5:BZ$47,"",0)</f>
        <v>7.3796870889544358E-18</v>
      </c>
      <c r="CA16" s="1">
        <f>_xlfn.XLOOKUP($B16,Sort_Alpha!$B$5:$B$47,Sort_Alpha!CA$5:CA$47,"",0)</f>
        <v>7.6534916305693855E-18</v>
      </c>
      <c r="CB16" s="1">
        <f>_xlfn.XLOOKUP($B16,Sort_Alpha!$B$5:$B$47,Sort_Alpha!CB$5:CB$47,"",0)</f>
        <v>4.9632082175229302E-18</v>
      </c>
      <c r="CC16" s="1">
        <f>_xlfn.XLOOKUP($B16,Sort_Alpha!$B$5:$B$47,Sort_Alpha!CC$5:CC$47,"",0)</f>
        <v>3.91205173141121E-16</v>
      </c>
    </row>
    <row r="17" spans="2:81" x14ac:dyDescent="0.15">
      <c r="B17" t="s">
        <v>9</v>
      </c>
      <c r="C17" s="1">
        <f>_xlfn.XLOOKUP($B17,Sort_Alpha!$B$5:$B$47,Sort_Alpha!C$5:C$47,"",0)</f>
        <v>6.459765031761478E-16</v>
      </c>
      <c r="D17" s="1">
        <f>_xlfn.XLOOKUP($B17,Sort_Alpha!$B$5:$B$47,Sort_Alpha!D$5:D$47,"",0)</f>
        <v>9.3293519790587742E-17</v>
      </c>
      <c r="E17" s="1">
        <f>_xlfn.XLOOKUP($B17,Sort_Alpha!$B$5:$B$47,Sort_Alpha!E$5:E$47,"",0)</f>
        <v>6.1800054883931856E-16</v>
      </c>
      <c r="F17" s="1">
        <f>_xlfn.XLOOKUP($B17,Sort_Alpha!$B$5:$B$47,Sort_Alpha!F$5:F$47,"",0)</f>
        <v>4.5570088906504514E-16</v>
      </c>
      <c r="G17" s="1">
        <f>_xlfn.XLOOKUP($B17,Sort_Alpha!$B$5:$B$47,Sort_Alpha!G$5:G$47,"",0)</f>
        <v>4.4746244471946703E-15</v>
      </c>
      <c r="H17" s="1">
        <f>_xlfn.XLOOKUP($B17,Sort_Alpha!$B$5:$B$47,Sort_Alpha!H$5:H$47,"",0)</f>
        <v>5.7757260639795664E-16</v>
      </c>
      <c r="I17" s="1">
        <f>_xlfn.XLOOKUP($B17,Sort_Alpha!$B$5:$B$47,Sort_Alpha!I$5:I$47,"",0)</f>
        <v>6.7066218197742065E-15</v>
      </c>
      <c r="J17" s="1">
        <f>_xlfn.XLOOKUP($B17,Sort_Alpha!$B$5:$B$47,Sort_Alpha!J$5:J$47,"",0)</f>
        <v>6.7066218197742065E-15</v>
      </c>
      <c r="K17" s="1">
        <f>_xlfn.XLOOKUP($B17,Sort_Alpha!$B$5:$B$47,Sort_Alpha!K$5:K$47,"",0)</f>
        <v>6.7066218197742065E-15</v>
      </c>
      <c r="L17" s="1">
        <f>_xlfn.XLOOKUP($B17,Sort_Alpha!$B$5:$B$47,Sort_Alpha!L$5:L$47,"",0)</f>
        <v>6.1800054883931856E-16</v>
      </c>
      <c r="M17" s="1">
        <f>_xlfn.XLOOKUP($B17,Sort_Alpha!$B$5:$B$47,Sort_Alpha!M$5:M$47,"",0)</f>
        <v>6.1800054883931856E-16</v>
      </c>
      <c r="N17" s="1">
        <f>_xlfn.XLOOKUP($B17,Sort_Alpha!$B$5:$B$47,Sort_Alpha!N$5:N$47,"",0)</f>
        <v>6.1800054883931856E-16</v>
      </c>
      <c r="O17" s="1">
        <f>_xlfn.XLOOKUP($B17,Sort_Alpha!$B$5:$B$47,Sort_Alpha!O$5:O$47,"",0)</f>
        <v>3.7498048454939384E-15</v>
      </c>
      <c r="P17" s="1">
        <f>_xlfn.XLOOKUP($B17,Sort_Alpha!$B$5:$B$47,Sort_Alpha!P$5:P$47,"",0)</f>
        <v>3.4856212675467279E-17</v>
      </c>
      <c r="Q17" s="1">
        <f>_xlfn.XLOOKUP($B17,Sort_Alpha!$B$5:$B$47,Sort_Alpha!Q$5:Q$47,"",0)</f>
        <v>1.8466909176060792E-15</v>
      </c>
      <c r="R17" s="1">
        <f>_xlfn.XLOOKUP($B17,Sort_Alpha!$B$5:$B$47,Sort_Alpha!R$5:R$47,"",0)</f>
        <v>1.8466909176060792E-15</v>
      </c>
      <c r="S17" s="1">
        <f>_xlfn.XLOOKUP($B17,Sort_Alpha!$B$5:$B$47,Sort_Alpha!S$5:S$47,"",0)</f>
        <v>1.1094322976384778E-14</v>
      </c>
      <c r="T17" s="1">
        <f>_xlfn.XLOOKUP($B17,Sort_Alpha!$B$5:$B$47,Sort_Alpha!T$5:T$47,"",0)</f>
        <v>1.1172014727374896E-14</v>
      </c>
      <c r="U17" s="1">
        <f>_xlfn.XLOOKUP($B17,Sort_Alpha!$B$5:$B$47,Sort_Alpha!U$5:U$47,"",0)</f>
        <v>3.9856032815863503E-12</v>
      </c>
      <c r="V17" s="1">
        <f>_xlfn.XLOOKUP($B17,Sort_Alpha!$B$5:$B$47,Sort_Alpha!V$5:V$47,"",0)</f>
        <v>3.6584418742034442E-12</v>
      </c>
      <c r="W17" s="1">
        <f>_xlfn.XLOOKUP($B17,Sort_Alpha!$B$5:$B$47,Sort_Alpha!W$5:W$47,"",0)</f>
        <v>2.5484270107470082E-12</v>
      </c>
      <c r="X17" s="1">
        <f>_xlfn.XLOOKUP($B17,Sort_Alpha!$B$5:$B$47,Sort_Alpha!X$5:X$47,"",0)</f>
        <v>3.9773671106541436E-12</v>
      </c>
      <c r="Y17" s="1">
        <f>_xlfn.XLOOKUP($B17,Sort_Alpha!$B$5:$B$47,Sort_Alpha!Y$5:Y$47,"",0)</f>
        <v>6.1992479003157111E-15</v>
      </c>
      <c r="Z17" s="1">
        <f>_xlfn.XLOOKUP($B17,Sort_Alpha!$B$5:$B$47,Sort_Alpha!Z$5:Z$47,"",0)</f>
        <v>9.4823172783943569E-17</v>
      </c>
      <c r="AA17" s="1">
        <f>_xlfn.XLOOKUP($B17,Sort_Alpha!$B$5:$B$47,Sort_Alpha!AA$5:AA$47,"",0)</f>
        <v>8.8087300435997664E-17</v>
      </c>
      <c r="AB17" s="1">
        <f>_xlfn.XLOOKUP($B17,Sort_Alpha!$B$5:$B$47,Sort_Alpha!AB$5:AB$47,"",0)</f>
        <v>4.6135285258375324E-16</v>
      </c>
      <c r="AC17" s="1">
        <f>_xlfn.XLOOKUP($B17,Sort_Alpha!$B$5:$B$47,Sort_Alpha!AC$5:AC$47,"",0)</f>
        <v>5.4913786926567163E-17</v>
      </c>
      <c r="AD17" s="1">
        <f>_xlfn.XLOOKUP($B17,Sort_Alpha!$B$5:$B$47,Sort_Alpha!AD$5:AD$47,"",0)</f>
        <v>1.2277554759409484E-17</v>
      </c>
      <c r="AE17" s="1">
        <f>_xlfn.XLOOKUP($B17,Sort_Alpha!$B$5:$B$47,Sort_Alpha!AE$5:AE$47,"",0)</f>
        <v>1.3289689854641745E-17</v>
      </c>
      <c r="AF17" s="1">
        <f>_xlfn.XLOOKUP($B17,Sort_Alpha!$B$5:$B$47,Sort_Alpha!AF$5:AF$47,"",0)</f>
        <v>1.3289689854641745E-17</v>
      </c>
      <c r="AG17" s="1">
        <f>_xlfn.XLOOKUP($B17,Sort_Alpha!$B$5:$B$47,Sort_Alpha!AG$5:AG$47,"",0)</f>
        <v>1.3929469019578646E-16</v>
      </c>
      <c r="AH17" s="1">
        <f>_xlfn.XLOOKUP($B17,Sort_Alpha!$B$5:$B$47,Sort_Alpha!AH$5:AH$47,"",0)</f>
        <v>8.2093333731291848E-16</v>
      </c>
      <c r="AI17" s="1">
        <f>_xlfn.XLOOKUP($B17,Sort_Alpha!$B$5:$B$47,Sort_Alpha!AI$5:AI$47,"",0)</f>
        <v>6.196061398938728E-16</v>
      </c>
      <c r="AJ17" s="1">
        <f>_xlfn.XLOOKUP($B17,Sort_Alpha!$B$5:$B$47,Sort_Alpha!AJ$5:AJ$47,"",0)</f>
        <v>7.5416560650203136E-14</v>
      </c>
      <c r="AK17" s="1">
        <f>_xlfn.XLOOKUP($B17,Sort_Alpha!$B$5:$B$47,Sort_Alpha!AK$5:AK$47,"",0)</f>
        <v>8.7917593397740559E-16</v>
      </c>
      <c r="AL17" s="1">
        <f>_xlfn.XLOOKUP($B17,Sort_Alpha!$B$5:$B$47,Sort_Alpha!AL$5:AL$47,"",0)</f>
        <v>9.1086904387487459E-15</v>
      </c>
      <c r="AM17" s="1">
        <f>_xlfn.XLOOKUP($B17,Sort_Alpha!$B$5:$B$47,Sort_Alpha!AM$5:AM$47,"",0)</f>
        <v>6.0642236127861196E-16</v>
      </c>
      <c r="AN17" s="1">
        <f>_xlfn.XLOOKUP($B17,Sort_Alpha!$B$5:$B$47,Sort_Alpha!AN$5:AN$47,"",0)</f>
        <v>6.792200893412382E-15</v>
      </c>
      <c r="AO17" s="1">
        <f>_xlfn.XLOOKUP($B17,Sort_Alpha!$B$5:$B$47,Sort_Alpha!AO$5:AO$47,"",0)</f>
        <v>6.792200893412382E-15</v>
      </c>
      <c r="AP17" s="1">
        <f>_xlfn.XLOOKUP($B17,Sort_Alpha!$B$5:$B$47,Sort_Alpha!AP$5:AP$47,"",0)</f>
        <v>6.792200893412382E-15</v>
      </c>
      <c r="AQ17" s="1">
        <f>_xlfn.XLOOKUP($B17,Sort_Alpha!$B$5:$B$47,Sort_Alpha!AQ$5:AQ$47,"",0)</f>
        <v>3.6906066060883375E-14</v>
      </c>
      <c r="AR17" s="1">
        <f>_xlfn.XLOOKUP($B17,Sort_Alpha!$B$5:$B$47,Sort_Alpha!AR$5:AR$47,"",0)</f>
        <v>3.6906066060883375E-14</v>
      </c>
      <c r="AS17" s="1">
        <f>_xlfn.XLOOKUP($B17,Sort_Alpha!$B$5:$B$47,Sort_Alpha!AS$5:AS$47,"",0)</f>
        <v>2.5585374282049248E-18</v>
      </c>
      <c r="AT17" s="1">
        <f>_xlfn.XLOOKUP($B17,Sort_Alpha!$B$5:$B$47,Sort_Alpha!AT$5:AT$47,"",0)</f>
        <v>6.2698777449076809E-17</v>
      </c>
      <c r="AU17" s="1">
        <f>_xlfn.XLOOKUP($B17,Sort_Alpha!$B$5:$B$47,Sort_Alpha!AU$5:AU$47,"",0)</f>
        <v>2.0114669624382918E-14</v>
      </c>
      <c r="AV17" s="1">
        <f>_xlfn.XLOOKUP($B17,Sort_Alpha!$B$5:$B$47,Sort_Alpha!AV$5:AV$47,"",0)</f>
        <v>0</v>
      </c>
      <c r="AW17" s="1">
        <f>_xlfn.XLOOKUP($B17,Sort_Alpha!$B$5:$B$47,Sort_Alpha!AW$5:AW$47,"",0)</f>
        <v>2.6480819765932383E-18</v>
      </c>
      <c r="AX17" s="1">
        <f>_xlfn.XLOOKUP($B17,Sort_Alpha!$B$5:$B$47,Sort_Alpha!AX$5:AX$47,"",0)</f>
        <v>2.7509796222800157E-18</v>
      </c>
      <c r="AY17" s="1">
        <f>_xlfn.XLOOKUP($B17,Sort_Alpha!$B$5:$B$47,Sort_Alpha!AY$5:AY$47,"",0)</f>
        <v>2.7509796222800157E-18</v>
      </c>
      <c r="AZ17" s="1">
        <f>_xlfn.XLOOKUP($B17,Sort_Alpha!$B$5:$B$47,Sort_Alpha!AZ$5:AZ$47,"",0)</f>
        <v>1.7006628247595195E-15</v>
      </c>
      <c r="BA17" s="1">
        <f>_xlfn.XLOOKUP($B17,Sort_Alpha!$B$5:$B$47,Sort_Alpha!BA$5:BA$47,"",0)</f>
        <v>2.6569015390769552E-14</v>
      </c>
      <c r="BB17" s="1">
        <f>_xlfn.XLOOKUP($B17,Sort_Alpha!$B$5:$B$47,Sort_Alpha!BB$5:BB$47,"",0)</f>
        <v>2.1351490058285559E-17</v>
      </c>
      <c r="BC17" s="1">
        <f>_xlfn.XLOOKUP($B17,Sort_Alpha!$B$5:$B$47,Sort_Alpha!BC$5:BC$47,"",0)</f>
        <v>1.8071126494254528E-17</v>
      </c>
      <c r="BD17" s="1">
        <f>_xlfn.XLOOKUP($B17,Sort_Alpha!$B$5:$B$47,Sort_Alpha!BD$5:BD$47,"",0)</f>
        <v>1.8071126494254528E-17</v>
      </c>
      <c r="BE17" s="1">
        <f>_xlfn.XLOOKUP($B17,Sort_Alpha!$B$5:$B$47,Sort_Alpha!BE$5:BE$47,"",0)</f>
        <v>1.7019906520298695E-14</v>
      </c>
      <c r="BF17" s="1">
        <f>_xlfn.XLOOKUP($B17,Sort_Alpha!$B$5:$B$47,Sort_Alpha!BF$5:BF$47,"",0)</f>
        <v>3.992502168302558E-16</v>
      </c>
      <c r="BG17" s="1">
        <f>_xlfn.XLOOKUP($B17,Sort_Alpha!$B$5:$B$47,Sort_Alpha!BG$5:BG$47,"",0)</f>
        <v>2.5129516445485352E-17</v>
      </c>
      <c r="BH17" s="1">
        <f>_xlfn.XLOOKUP($B17,Sort_Alpha!$B$5:$B$47,Sort_Alpha!BH$5:BH$47,"",0)</f>
        <v>2.5185693672593499E-17</v>
      </c>
      <c r="BI17" s="1">
        <f>_xlfn.XLOOKUP($B17,Sort_Alpha!$B$5:$B$47,Sort_Alpha!BI$5:BI$47,"",0)</f>
        <v>2.5185693672593499E-17</v>
      </c>
      <c r="BJ17" s="1">
        <f>_xlfn.XLOOKUP($B17,Sort_Alpha!$B$5:$B$47,Sort_Alpha!BJ$5:BJ$47,"",0)</f>
        <v>2.5185693672593499E-17</v>
      </c>
      <c r="BK17" s="1">
        <f>_xlfn.XLOOKUP($B17,Sort_Alpha!$B$5:$B$47,Sort_Alpha!BK$5:BK$47,"",0)</f>
        <v>1.3892666511781692E-16</v>
      </c>
      <c r="BL17" s="1">
        <f>_xlfn.XLOOKUP($B17,Sort_Alpha!$B$5:$B$47,Sort_Alpha!BL$5:BL$47,"",0)</f>
        <v>1.0358191354754433E-16</v>
      </c>
      <c r="BM17" s="1">
        <f>_xlfn.XLOOKUP($B17,Sort_Alpha!$B$5:$B$47,Sort_Alpha!BM$5:BM$47,"",0)</f>
        <v>9.063542042898069E-17</v>
      </c>
      <c r="BN17" s="1">
        <f>_xlfn.XLOOKUP($B17,Sort_Alpha!$B$5:$B$47,Sort_Alpha!BN$5:BN$47,"",0)</f>
        <v>9.063542042898069E-17</v>
      </c>
      <c r="BO17" s="1">
        <f>_xlfn.XLOOKUP($B17,Sort_Alpha!$B$5:$B$47,Sort_Alpha!BO$5:BO$47,"",0)</f>
        <v>1.3990513116704566E-14</v>
      </c>
      <c r="BP17" s="1">
        <f>_xlfn.XLOOKUP($B17,Sort_Alpha!$B$5:$B$47,Sort_Alpha!BP$5:BP$47,"",0)</f>
        <v>1.3990513116704566E-14</v>
      </c>
      <c r="BQ17" s="1">
        <f>_xlfn.XLOOKUP($B17,Sort_Alpha!$B$5:$B$47,Sort_Alpha!BQ$5:BQ$47,"",0)</f>
        <v>0</v>
      </c>
      <c r="BR17" s="1">
        <f>_xlfn.XLOOKUP($B17,Sort_Alpha!$B$5:$B$47,Sort_Alpha!BR$5:BR$47,"",0)</f>
        <v>1.915097929491895E-15</v>
      </c>
      <c r="BS17" s="1">
        <f>_xlfn.XLOOKUP($B17,Sort_Alpha!$B$5:$B$47,Sort_Alpha!BS$5:BS$47,"",0)</f>
        <v>7.471845234909857E-15</v>
      </c>
      <c r="BT17" s="1">
        <f>_xlfn.XLOOKUP($B17,Sort_Alpha!$B$5:$B$47,Sort_Alpha!BT$5:BT$47,"",0)</f>
        <v>3.873463856984193E-14</v>
      </c>
      <c r="BU17" s="1">
        <f>_xlfn.XLOOKUP($B17,Sort_Alpha!$B$5:$B$47,Sort_Alpha!BU$5:BU$47,"",0)</f>
        <v>4.4383349476424591E-14</v>
      </c>
      <c r="BV17" s="1">
        <f>_xlfn.XLOOKUP($B17,Sort_Alpha!$B$5:$B$47,Sort_Alpha!BV$5:BV$47,"",0)</f>
        <v>1.1420893407929219E-15</v>
      </c>
      <c r="BW17" s="1">
        <f>_xlfn.XLOOKUP($B17,Sort_Alpha!$B$5:$B$47,Sort_Alpha!BW$5:BW$47,"",0)</f>
        <v>1.8380465479442472E-15</v>
      </c>
      <c r="BX17" s="1">
        <f>_xlfn.XLOOKUP($B17,Sort_Alpha!$B$5:$B$47,Sort_Alpha!BX$5:BX$47,"",0)</f>
        <v>1.8380465479442472E-15</v>
      </c>
      <c r="BY17" s="1">
        <f>_xlfn.XLOOKUP($B17,Sort_Alpha!$B$5:$B$47,Sort_Alpha!BY$5:BY$47,"",0)</f>
        <v>1.9678687521066221E-17</v>
      </c>
      <c r="BZ17" s="1">
        <f>_xlfn.XLOOKUP($B17,Sort_Alpha!$B$5:$B$47,Sort_Alpha!BZ$5:BZ$47,"",0)</f>
        <v>3.5314142081325463E-18</v>
      </c>
      <c r="CA17" s="1">
        <f>_xlfn.XLOOKUP($B17,Sort_Alpha!$B$5:$B$47,Sort_Alpha!CA$5:CA$47,"",0)</f>
        <v>3.5410990918288475E-18</v>
      </c>
      <c r="CB17" s="1">
        <f>_xlfn.XLOOKUP($B17,Sort_Alpha!$B$5:$B$47,Sort_Alpha!CB$5:CB$47,"",0)</f>
        <v>3.0776385730378731E-18</v>
      </c>
      <c r="CC17" s="1">
        <f>_xlfn.XLOOKUP($B17,Sort_Alpha!$B$5:$B$47,Sort_Alpha!CC$5:CC$47,"",0)</f>
        <v>6.7780608162812635E-16</v>
      </c>
    </row>
    <row r="18" spans="2:81" x14ac:dyDescent="0.15">
      <c r="B18" t="s">
        <v>10</v>
      </c>
      <c r="C18" s="1">
        <f>_xlfn.XLOOKUP($B18,Sort_Alpha!$B$5:$B$47,Sort_Alpha!C$5:C$47,"",0)</f>
        <v>4.1113023008752914E-16</v>
      </c>
      <c r="D18" s="1">
        <f>_xlfn.XLOOKUP($B18,Sort_Alpha!$B$5:$B$47,Sort_Alpha!D$5:D$47,"",0)</f>
        <v>6.5066555583818016E-17</v>
      </c>
      <c r="E18" s="1">
        <f>_xlfn.XLOOKUP($B18,Sort_Alpha!$B$5:$B$47,Sort_Alpha!E$5:E$47,"",0)</f>
        <v>2.3076935043968239E-16</v>
      </c>
      <c r="F18" s="1">
        <f>_xlfn.XLOOKUP($B18,Sort_Alpha!$B$5:$B$47,Sort_Alpha!F$5:F$47,"",0)</f>
        <v>3.3028193162956561E-16</v>
      </c>
      <c r="G18" s="1">
        <f>_xlfn.XLOOKUP($B18,Sort_Alpha!$B$5:$B$47,Sort_Alpha!G$5:G$47,"",0)</f>
        <v>3.6508907179806797E-15</v>
      </c>
      <c r="H18" s="1">
        <f>_xlfn.XLOOKUP($B18,Sort_Alpha!$B$5:$B$47,Sort_Alpha!H$5:H$47,"",0)</f>
        <v>4.6153797995210615E-16</v>
      </c>
      <c r="I18" s="1">
        <f>_xlfn.XLOOKUP($B18,Sort_Alpha!$B$5:$B$47,Sort_Alpha!I$5:I$47,"",0)</f>
        <v>3.7424575086787883E-16</v>
      </c>
      <c r="J18" s="1">
        <f>_xlfn.XLOOKUP($B18,Sort_Alpha!$B$5:$B$47,Sort_Alpha!J$5:J$47,"",0)</f>
        <v>3.7424575086787883E-16</v>
      </c>
      <c r="K18" s="1">
        <f>_xlfn.XLOOKUP($B18,Sort_Alpha!$B$5:$B$47,Sort_Alpha!K$5:K$47,"",0)</f>
        <v>3.7424575086787883E-16</v>
      </c>
      <c r="L18" s="1">
        <f>_xlfn.XLOOKUP($B18,Sort_Alpha!$B$5:$B$47,Sort_Alpha!L$5:L$47,"",0)</f>
        <v>2.3076935043968239E-16</v>
      </c>
      <c r="M18" s="1">
        <f>_xlfn.XLOOKUP($B18,Sort_Alpha!$B$5:$B$47,Sort_Alpha!M$5:M$47,"",0)</f>
        <v>2.3076935043968239E-16</v>
      </c>
      <c r="N18" s="1">
        <f>_xlfn.XLOOKUP($B18,Sort_Alpha!$B$5:$B$47,Sort_Alpha!N$5:N$47,"",0)</f>
        <v>2.3076935043968239E-16</v>
      </c>
      <c r="O18" s="1">
        <f>_xlfn.XLOOKUP($B18,Sort_Alpha!$B$5:$B$47,Sort_Alpha!O$5:O$47,"",0)</f>
        <v>4.4341487131900852E-16</v>
      </c>
      <c r="P18" s="1">
        <f>_xlfn.XLOOKUP($B18,Sort_Alpha!$B$5:$B$47,Sort_Alpha!P$5:P$47,"",0)</f>
        <v>3.649764887926321E-17</v>
      </c>
      <c r="Q18" s="1">
        <f>_xlfn.XLOOKUP($B18,Sort_Alpha!$B$5:$B$47,Sort_Alpha!Q$5:Q$47,"",0)</f>
        <v>1.099726404741145E-15</v>
      </c>
      <c r="R18" s="1">
        <f>_xlfn.XLOOKUP($B18,Sort_Alpha!$B$5:$B$47,Sort_Alpha!R$5:R$47,"",0)</f>
        <v>1.099726404741145E-15</v>
      </c>
      <c r="S18" s="1">
        <f>_xlfn.XLOOKUP($B18,Sort_Alpha!$B$5:$B$47,Sort_Alpha!S$5:S$47,"",0)</f>
        <v>2.6567011874799216E-14</v>
      </c>
      <c r="T18" s="1">
        <f>_xlfn.XLOOKUP($B18,Sort_Alpha!$B$5:$B$47,Sort_Alpha!T$5:T$47,"",0)</f>
        <v>6.0432782363737297E-15</v>
      </c>
      <c r="U18" s="1">
        <f>_xlfn.XLOOKUP($B18,Sort_Alpha!$B$5:$B$47,Sort_Alpha!U$5:U$47,"",0)</f>
        <v>6.0432782363737297E-15</v>
      </c>
      <c r="V18" s="1">
        <f>_xlfn.XLOOKUP($B18,Sort_Alpha!$B$5:$B$47,Sort_Alpha!V$5:V$47,"",0)</f>
        <v>6.0432782363737297E-15</v>
      </c>
      <c r="W18" s="1">
        <f>_xlfn.XLOOKUP($B18,Sort_Alpha!$B$5:$B$47,Sort_Alpha!W$5:W$47,"",0)</f>
        <v>6.0432782363737297E-15</v>
      </c>
      <c r="X18" s="1">
        <f>_xlfn.XLOOKUP($B18,Sort_Alpha!$B$5:$B$47,Sort_Alpha!X$5:X$47,"",0)</f>
        <v>6.0432782363737297E-15</v>
      </c>
      <c r="Y18" s="1">
        <f>_xlfn.XLOOKUP($B18,Sort_Alpha!$B$5:$B$47,Sort_Alpha!Y$5:Y$47,"",0)</f>
        <v>8.4853265480785238E-11</v>
      </c>
      <c r="Z18" s="1">
        <f>_xlfn.XLOOKUP($B18,Sort_Alpha!$B$5:$B$47,Sort_Alpha!Z$5:Z$47,"",0)</f>
        <v>3.8431089874045856E-17</v>
      </c>
      <c r="AA18" s="1">
        <f>_xlfn.XLOOKUP($B18,Sort_Alpha!$B$5:$B$47,Sort_Alpha!AA$5:AA$47,"",0)</f>
        <v>5.9085490000433393E-17</v>
      </c>
      <c r="AB18" s="1">
        <f>_xlfn.XLOOKUP($B18,Sort_Alpha!$B$5:$B$47,Sort_Alpha!AB$5:AB$47,"",0)</f>
        <v>2.3356923015900996E-16</v>
      </c>
      <c r="AC18" s="1">
        <f>_xlfn.XLOOKUP($B18,Sort_Alpha!$B$5:$B$47,Sort_Alpha!AC$5:AC$47,"",0)</f>
        <v>4.3779398813991161E-17</v>
      </c>
      <c r="AD18" s="1">
        <f>_xlfn.XLOOKUP($B18,Sort_Alpha!$B$5:$B$47,Sort_Alpha!AD$5:AD$47,"",0)</f>
        <v>6.1477662507595895E-18</v>
      </c>
      <c r="AE18" s="1">
        <f>_xlfn.XLOOKUP($B18,Sort_Alpha!$B$5:$B$47,Sort_Alpha!AE$5:AE$47,"",0)</f>
        <v>2.593053366363266E-17</v>
      </c>
      <c r="AF18" s="1">
        <f>_xlfn.XLOOKUP($B18,Sort_Alpha!$B$5:$B$47,Sort_Alpha!AF$5:AF$47,"",0)</f>
        <v>1.7175212991035341E-17</v>
      </c>
      <c r="AG18" s="1">
        <f>_xlfn.XLOOKUP($B18,Sort_Alpha!$B$5:$B$47,Sort_Alpha!AG$5:AG$47,"",0)</f>
        <v>9.0158864983837351E-17</v>
      </c>
      <c r="AH18" s="1">
        <f>_xlfn.XLOOKUP($B18,Sort_Alpha!$B$5:$B$47,Sort_Alpha!AH$5:AH$47,"",0)</f>
        <v>2.354816753263113E-16</v>
      </c>
      <c r="AI18" s="1">
        <f>_xlfn.XLOOKUP($B18,Sort_Alpha!$B$5:$B$47,Sort_Alpha!AI$5:AI$47,"",0)</f>
        <v>2.395387831782751E-16</v>
      </c>
      <c r="AJ18" s="1">
        <f>_xlfn.XLOOKUP($B18,Sort_Alpha!$B$5:$B$47,Sort_Alpha!AJ$5:AJ$47,"",0)</f>
        <v>2.3506345163122268E-15</v>
      </c>
      <c r="AK18" s="1">
        <f>_xlfn.XLOOKUP($B18,Sort_Alpha!$B$5:$B$47,Sort_Alpha!AK$5:AK$47,"",0)</f>
        <v>1.8742143388446665E-16</v>
      </c>
      <c r="AL18" s="1">
        <f>_xlfn.XLOOKUP($B18,Sort_Alpha!$B$5:$B$47,Sort_Alpha!AL$5:AL$47,"",0)</f>
        <v>3.8781561009208517E-16</v>
      </c>
      <c r="AM18" s="1">
        <f>_xlfn.XLOOKUP($B18,Sort_Alpha!$B$5:$B$47,Sort_Alpha!AM$5:AM$47,"",0)</f>
        <v>1.9728908850557656E-16</v>
      </c>
      <c r="AN18" s="1">
        <f>_xlfn.XLOOKUP($B18,Sort_Alpha!$B$5:$B$47,Sort_Alpha!AN$5:AN$47,"",0)</f>
        <v>3.3286824155722991E-16</v>
      </c>
      <c r="AO18" s="1">
        <f>_xlfn.XLOOKUP($B18,Sort_Alpha!$B$5:$B$47,Sort_Alpha!AO$5:AO$47,"",0)</f>
        <v>3.3286824155722991E-16</v>
      </c>
      <c r="AP18" s="1">
        <f>_xlfn.XLOOKUP($B18,Sort_Alpha!$B$5:$B$47,Sort_Alpha!AP$5:AP$47,"",0)</f>
        <v>3.3291429578026112E-16</v>
      </c>
      <c r="AQ18" s="1">
        <f>_xlfn.XLOOKUP($B18,Sort_Alpha!$B$5:$B$47,Sort_Alpha!AQ$5:AQ$47,"",0)</f>
        <v>6.7307655451537911E-15</v>
      </c>
      <c r="AR18" s="1">
        <f>_xlfn.XLOOKUP($B18,Sort_Alpha!$B$5:$B$47,Sort_Alpha!AR$5:AR$47,"",0)</f>
        <v>6.7300507762565004E-15</v>
      </c>
      <c r="AS18" s="1">
        <f>_xlfn.XLOOKUP($B18,Sort_Alpha!$B$5:$B$47,Sort_Alpha!AS$5:AS$47,"",0)</f>
        <v>3.7401896718941518E-18</v>
      </c>
      <c r="AT18" s="1">
        <f>_xlfn.XLOOKUP($B18,Sort_Alpha!$B$5:$B$47,Sort_Alpha!AT$5:AT$47,"",0)</f>
        <v>6.0312548019244183E-17</v>
      </c>
      <c r="AU18" s="1">
        <f>_xlfn.XLOOKUP($B18,Sort_Alpha!$B$5:$B$47,Sort_Alpha!AU$5:AU$47,"",0)</f>
        <v>4.819897808490594E-15</v>
      </c>
      <c r="AV18" s="1">
        <f>_xlfn.XLOOKUP($B18,Sort_Alpha!$B$5:$B$47,Sort_Alpha!AV$5:AV$47,"",0)</f>
        <v>0</v>
      </c>
      <c r="AW18" s="1">
        <f>_xlfn.XLOOKUP($B18,Sort_Alpha!$B$5:$B$47,Sort_Alpha!AW$5:AW$47,"",0)</f>
        <v>0</v>
      </c>
      <c r="AX18" s="1">
        <f>_xlfn.XLOOKUP($B18,Sort_Alpha!$B$5:$B$47,Sort_Alpha!AX$5:AX$47,"",0)</f>
        <v>0</v>
      </c>
      <c r="AY18" s="1">
        <f>_xlfn.XLOOKUP($B18,Sort_Alpha!$B$5:$B$47,Sort_Alpha!AY$5:AY$47,"",0)</f>
        <v>4.3639524559666688E-18</v>
      </c>
      <c r="AZ18" s="1">
        <f>_xlfn.XLOOKUP($B18,Sort_Alpha!$B$5:$B$47,Sort_Alpha!AZ$5:AZ$47,"",0)</f>
        <v>6.5739869637428083E-16</v>
      </c>
      <c r="BA18" s="1">
        <f>_xlfn.XLOOKUP($B18,Sort_Alpha!$B$5:$B$47,Sort_Alpha!BA$5:BA$47,"",0)</f>
        <v>2.8291795378091511E-16</v>
      </c>
      <c r="BB18" s="1">
        <f>_xlfn.XLOOKUP($B18,Sort_Alpha!$B$5:$B$47,Sort_Alpha!BB$5:BB$47,"",0)</f>
        <v>3.3862328920305101E-17</v>
      </c>
      <c r="BC18" s="1">
        <f>_xlfn.XLOOKUP($B18,Sort_Alpha!$B$5:$B$47,Sort_Alpha!BC$5:BC$47,"",0)</f>
        <v>1.6039240295419925E-17</v>
      </c>
      <c r="BD18" s="1">
        <f>_xlfn.XLOOKUP($B18,Sort_Alpha!$B$5:$B$47,Sort_Alpha!BD$5:BD$47,"",0)</f>
        <v>1.6039240295419925E-17</v>
      </c>
      <c r="BE18" s="1">
        <f>_xlfn.XLOOKUP($B18,Sort_Alpha!$B$5:$B$47,Sort_Alpha!BE$5:BE$47,"",0)</f>
        <v>3.0741243267744357E-15</v>
      </c>
      <c r="BF18" s="1">
        <f>_xlfn.XLOOKUP($B18,Sort_Alpha!$B$5:$B$47,Sort_Alpha!BF$5:BF$47,"",0)</f>
        <v>5.7641734506175616E-16</v>
      </c>
      <c r="BG18" s="1">
        <f>_xlfn.XLOOKUP($B18,Sort_Alpha!$B$5:$B$47,Sort_Alpha!BG$5:BG$47,"",0)</f>
        <v>1.717824345795126E-17</v>
      </c>
      <c r="BH18" s="1">
        <f>_xlfn.XLOOKUP($B18,Sort_Alpha!$B$5:$B$47,Sort_Alpha!BH$5:BH$47,"",0)</f>
        <v>3.2873079562827842E-17</v>
      </c>
      <c r="BI18" s="1">
        <f>_xlfn.XLOOKUP($B18,Sort_Alpha!$B$5:$B$47,Sort_Alpha!BI$5:BI$47,"",0)</f>
        <v>3.2873079562827842E-17</v>
      </c>
      <c r="BJ18" s="1">
        <f>_xlfn.XLOOKUP($B18,Sort_Alpha!$B$5:$B$47,Sort_Alpha!BJ$5:BJ$47,"",0)</f>
        <v>3.2873079562827842E-17</v>
      </c>
      <c r="BK18" s="1">
        <f>_xlfn.XLOOKUP($B18,Sort_Alpha!$B$5:$B$47,Sort_Alpha!BK$5:BK$47,"",0)</f>
        <v>7.7487922617153186E-17</v>
      </c>
      <c r="BL18" s="1">
        <f>_xlfn.XLOOKUP($B18,Sort_Alpha!$B$5:$B$47,Sort_Alpha!BL$5:BL$47,"",0)</f>
        <v>6.7069417950254692E-17</v>
      </c>
      <c r="BM18" s="1">
        <f>_xlfn.XLOOKUP($B18,Sort_Alpha!$B$5:$B$47,Sort_Alpha!BM$5:BM$47,"",0)</f>
        <v>4.553666119552961E-17</v>
      </c>
      <c r="BN18" s="1">
        <f>_xlfn.XLOOKUP($B18,Sort_Alpha!$B$5:$B$47,Sort_Alpha!BN$5:BN$47,"",0)</f>
        <v>8.0495309188427982E-17</v>
      </c>
      <c r="BO18" s="1">
        <f>_xlfn.XLOOKUP($B18,Sort_Alpha!$B$5:$B$47,Sort_Alpha!BO$5:BO$47,"",0)</f>
        <v>7.8036910596779209E-15</v>
      </c>
      <c r="BP18" s="1">
        <f>_xlfn.XLOOKUP($B18,Sort_Alpha!$B$5:$B$47,Sort_Alpha!BP$5:BP$47,"",0)</f>
        <v>7.8036910596779209E-15</v>
      </c>
      <c r="BQ18" s="1">
        <f>_xlfn.XLOOKUP($B18,Sort_Alpha!$B$5:$B$47,Sort_Alpha!BQ$5:BQ$47,"",0)</f>
        <v>0</v>
      </c>
      <c r="BR18" s="1">
        <f>_xlfn.XLOOKUP($B18,Sort_Alpha!$B$5:$B$47,Sort_Alpha!BR$5:BR$47,"",0)</f>
        <v>4.5392985221469276E-16</v>
      </c>
      <c r="BS18" s="1">
        <f>_xlfn.XLOOKUP($B18,Sort_Alpha!$B$5:$B$47,Sort_Alpha!BS$5:BS$47,"",0)</f>
        <v>7.8032495339459748E-16</v>
      </c>
      <c r="BT18" s="1">
        <f>_xlfn.XLOOKUP($B18,Sort_Alpha!$B$5:$B$47,Sort_Alpha!BT$5:BT$47,"",0)</f>
        <v>5.4585742265814838E-15</v>
      </c>
      <c r="BU18" s="1">
        <f>_xlfn.XLOOKUP($B18,Sort_Alpha!$B$5:$B$47,Sort_Alpha!BU$5:BU$47,"",0)</f>
        <v>5.5485039420658384E-15</v>
      </c>
      <c r="BV18" s="1">
        <f>_xlfn.XLOOKUP($B18,Sort_Alpha!$B$5:$B$47,Sort_Alpha!BV$5:BV$47,"",0)</f>
        <v>4.4938266463562133E-16</v>
      </c>
      <c r="BW18" s="1">
        <f>_xlfn.XLOOKUP($B18,Sort_Alpha!$B$5:$B$47,Sort_Alpha!BW$5:BW$47,"",0)</f>
        <v>1.2361653585991092E-15</v>
      </c>
      <c r="BX18" s="1">
        <f>_xlfn.XLOOKUP($B18,Sort_Alpha!$B$5:$B$47,Sort_Alpha!BX$5:BX$47,"",0)</f>
        <v>1.2361653585991092E-15</v>
      </c>
      <c r="BY18" s="1">
        <f>_xlfn.XLOOKUP($B18,Sort_Alpha!$B$5:$B$47,Sort_Alpha!BY$5:BY$47,"",0)</f>
        <v>2.3569593522567345E-17</v>
      </c>
      <c r="BZ18" s="1">
        <f>_xlfn.XLOOKUP($B18,Sort_Alpha!$B$5:$B$47,Sort_Alpha!BZ$5:BZ$47,"",0)</f>
        <v>0</v>
      </c>
      <c r="CA18" s="1">
        <f>_xlfn.XLOOKUP($B18,Sort_Alpha!$B$5:$B$47,Sort_Alpha!CA$5:CA$47,"",0)</f>
        <v>5.3933303024171785E-18</v>
      </c>
      <c r="CB18" s="1">
        <f>_xlfn.XLOOKUP($B18,Sort_Alpha!$B$5:$B$47,Sort_Alpha!CB$5:CB$47,"",0)</f>
        <v>3.7642653084757973E-18</v>
      </c>
      <c r="CC18" s="1">
        <f>_xlfn.XLOOKUP($B18,Sort_Alpha!$B$5:$B$47,Sort_Alpha!CC$5:CC$47,"",0)</f>
        <v>3.6516638069862743E-16</v>
      </c>
    </row>
    <row r="19" spans="2:81" x14ac:dyDescent="0.15">
      <c r="B19" t="s">
        <v>11</v>
      </c>
      <c r="C19" s="1">
        <f>_xlfn.XLOOKUP($B19,Sort_Alpha!$B$5:$B$47,Sort_Alpha!C$5:C$47,"",0)</f>
        <v>5.702386065161686E-16</v>
      </c>
      <c r="D19" s="1">
        <f>_xlfn.XLOOKUP($B19,Sort_Alpha!$B$5:$B$47,Sort_Alpha!D$5:D$47,"",0)</f>
        <v>2.2880245726794569E-14</v>
      </c>
      <c r="E19" s="1">
        <f>_xlfn.XLOOKUP($B19,Sort_Alpha!$B$5:$B$47,Sort_Alpha!E$5:E$47,"",0)</f>
        <v>1.2952553671883107E-15</v>
      </c>
      <c r="F19" s="1">
        <f>_xlfn.XLOOKUP($B19,Sort_Alpha!$B$5:$B$47,Sort_Alpha!F$5:F$47,"",0)</f>
        <v>8.1941248560859247E-16</v>
      </c>
      <c r="G19" s="1">
        <f>_xlfn.XLOOKUP($B19,Sort_Alpha!$B$5:$B$47,Sort_Alpha!G$5:G$47,"",0)</f>
        <v>2.7528930318185092E-17</v>
      </c>
      <c r="H19" s="1">
        <f>_xlfn.XLOOKUP($B19,Sort_Alpha!$B$5:$B$47,Sort_Alpha!H$5:H$47,"",0)</f>
        <v>9.7372705176283067E-16</v>
      </c>
      <c r="I19" s="1">
        <f>_xlfn.XLOOKUP($B19,Sort_Alpha!$B$5:$B$47,Sort_Alpha!I$5:I$47,"",0)</f>
        <v>6.9519320368208615E-16</v>
      </c>
      <c r="J19" s="1">
        <f>_xlfn.XLOOKUP($B19,Sort_Alpha!$B$5:$B$47,Sort_Alpha!J$5:J$47,"",0)</f>
        <v>6.9519320368208615E-16</v>
      </c>
      <c r="K19" s="1">
        <f>_xlfn.XLOOKUP($B19,Sort_Alpha!$B$5:$B$47,Sort_Alpha!K$5:K$47,"",0)</f>
        <v>6.9519320368208615E-16</v>
      </c>
      <c r="L19" s="1">
        <f>_xlfn.XLOOKUP($B19,Sort_Alpha!$B$5:$B$47,Sort_Alpha!L$5:L$47,"",0)</f>
        <v>1.2952553671883107E-15</v>
      </c>
      <c r="M19" s="1">
        <f>_xlfn.XLOOKUP($B19,Sort_Alpha!$B$5:$B$47,Sort_Alpha!M$5:M$47,"",0)</f>
        <v>1.2952553671883107E-15</v>
      </c>
      <c r="N19" s="1">
        <f>_xlfn.XLOOKUP($B19,Sort_Alpha!$B$5:$B$47,Sort_Alpha!N$5:N$47,"",0)</f>
        <v>1.2952553671883107E-15</v>
      </c>
      <c r="O19" s="1">
        <f>_xlfn.XLOOKUP($B19,Sort_Alpha!$B$5:$B$47,Sort_Alpha!O$5:O$47,"",0)</f>
        <v>1.2919889299697179E-15</v>
      </c>
      <c r="P19" s="1">
        <f>_xlfn.XLOOKUP($B19,Sort_Alpha!$B$5:$B$47,Sort_Alpha!P$5:P$47,"",0)</f>
        <v>1.1115215940569519E-16</v>
      </c>
      <c r="Q19" s="1">
        <f>_xlfn.XLOOKUP($B19,Sort_Alpha!$B$5:$B$47,Sort_Alpha!Q$5:Q$47,"",0)</f>
        <v>7.819096997630731E-16</v>
      </c>
      <c r="R19" s="1">
        <f>_xlfn.XLOOKUP($B19,Sort_Alpha!$B$5:$B$47,Sort_Alpha!R$5:R$47,"",0)</f>
        <v>7.819096997630731E-16</v>
      </c>
      <c r="S19" s="1">
        <f>_xlfn.XLOOKUP($B19,Sort_Alpha!$B$5:$B$47,Sort_Alpha!S$5:S$47,"",0)</f>
        <v>1.0607780889162029E-16</v>
      </c>
      <c r="T19" s="1">
        <f>_xlfn.XLOOKUP($B19,Sort_Alpha!$B$5:$B$47,Sort_Alpha!T$5:T$47,"",0)</f>
        <v>8.7425959577190311E-17</v>
      </c>
      <c r="U19" s="1">
        <f>_xlfn.XLOOKUP($B19,Sort_Alpha!$B$5:$B$47,Sort_Alpha!U$5:U$47,"",0)</f>
        <v>8.7425959577190311E-17</v>
      </c>
      <c r="V19" s="1">
        <f>_xlfn.XLOOKUP($B19,Sort_Alpha!$B$5:$B$47,Sort_Alpha!V$5:V$47,"",0)</f>
        <v>8.7425959577190311E-17</v>
      </c>
      <c r="W19" s="1">
        <f>_xlfn.XLOOKUP($B19,Sort_Alpha!$B$5:$B$47,Sort_Alpha!W$5:W$47,"",0)</f>
        <v>8.7425959577190311E-17</v>
      </c>
      <c r="X19" s="1">
        <f>_xlfn.XLOOKUP($B19,Sort_Alpha!$B$5:$B$47,Sort_Alpha!X$5:X$47,"",0)</f>
        <v>8.7425959577190311E-17</v>
      </c>
      <c r="Y19" s="1">
        <f>_xlfn.XLOOKUP($B19,Sort_Alpha!$B$5:$B$47,Sort_Alpha!Y$5:Y$47,"",0)</f>
        <v>7.5991418422853436E-17</v>
      </c>
      <c r="Z19" s="1">
        <f>_xlfn.XLOOKUP($B19,Sort_Alpha!$B$5:$B$47,Sort_Alpha!Z$5:Z$47,"",0)</f>
        <v>1.7385449255275419E-13</v>
      </c>
      <c r="AA19" s="1">
        <f>_xlfn.XLOOKUP($B19,Sort_Alpha!$B$5:$B$47,Sort_Alpha!AA$5:AA$47,"",0)</f>
        <v>3.910718027674368E-12</v>
      </c>
      <c r="AB19" s="1">
        <f>_xlfn.XLOOKUP($B19,Sort_Alpha!$B$5:$B$47,Sort_Alpha!AB$5:AB$47,"",0)</f>
        <v>1.7938402920210675E-15</v>
      </c>
      <c r="AC19" s="1">
        <f>_xlfn.XLOOKUP($B19,Sort_Alpha!$B$5:$B$47,Sort_Alpha!AC$5:AC$47,"",0)</f>
        <v>8.5043936684747416E-15</v>
      </c>
      <c r="AD19" s="1">
        <f>_xlfn.XLOOKUP($B19,Sort_Alpha!$B$5:$B$47,Sort_Alpha!AD$5:AD$47,"",0)</f>
        <v>9.1195368336030773E-16</v>
      </c>
      <c r="AE19" s="1">
        <f>_xlfn.XLOOKUP($B19,Sort_Alpha!$B$5:$B$47,Sort_Alpha!AE$5:AE$47,"",0)</f>
        <v>8.7048267541109012E-16</v>
      </c>
      <c r="AF19" s="1">
        <f>_xlfn.XLOOKUP($B19,Sort_Alpha!$B$5:$B$47,Sort_Alpha!AF$5:AF$47,"",0)</f>
        <v>8.7048267541109012E-16</v>
      </c>
      <c r="AG19" s="1">
        <f>_xlfn.XLOOKUP($B19,Sort_Alpha!$B$5:$B$47,Sort_Alpha!AG$5:AG$47,"",0)</f>
        <v>1.4810763060670747E-14</v>
      </c>
      <c r="AH19" s="1">
        <f>_xlfn.XLOOKUP($B19,Sort_Alpha!$B$5:$B$47,Sort_Alpha!AH$5:AH$47,"",0)</f>
        <v>1.2752959313503618E-15</v>
      </c>
      <c r="AI19" s="1">
        <f>_xlfn.XLOOKUP($B19,Sort_Alpha!$B$5:$B$47,Sort_Alpha!AI$5:AI$47,"",0)</f>
        <v>1.2836791953428286E-15</v>
      </c>
      <c r="AJ19" s="1">
        <f>_xlfn.XLOOKUP($B19,Sort_Alpha!$B$5:$B$47,Sort_Alpha!AJ$5:AJ$47,"",0)</f>
        <v>1.4014716126283651E-16</v>
      </c>
      <c r="AK19" s="1">
        <f>_xlfn.XLOOKUP($B19,Sort_Alpha!$B$5:$B$47,Sort_Alpha!AK$5:AK$47,"",0)</f>
        <v>4.265311234286598E-15</v>
      </c>
      <c r="AL19" s="1">
        <f>_xlfn.XLOOKUP($B19,Sort_Alpha!$B$5:$B$47,Sort_Alpha!AL$5:AL$47,"",0)</f>
        <v>6.1299756523728467E-16</v>
      </c>
      <c r="AM19" s="1">
        <f>_xlfn.XLOOKUP($B19,Sort_Alpha!$B$5:$B$47,Sort_Alpha!AM$5:AM$47,"",0)</f>
        <v>5.6024462538032775E-16</v>
      </c>
      <c r="AN19" s="1">
        <f>_xlfn.XLOOKUP($B19,Sort_Alpha!$B$5:$B$47,Sort_Alpha!AN$5:AN$47,"",0)</f>
        <v>1.6347835789609801E-15</v>
      </c>
      <c r="AO19" s="1">
        <f>_xlfn.XLOOKUP($B19,Sort_Alpha!$B$5:$B$47,Sort_Alpha!AO$5:AO$47,"",0)</f>
        <v>1.6347835789609801E-15</v>
      </c>
      <c r="AP19" s="1">
        <f>_xlfn.XLOOKUP($B19,Sort_Alpha!$B$5:$B$47,Sort_Alpha!AP$5:AP$47,"",0)</f>
        <v>1.6347835789609801E-15</v>
      </c>
      <c r="AQ19" s="1">
        <f>_xlfn.XLOOKUP($B19,Sort_Alpha!$B$5:$B$47,Sort_Alpha!AQ$5:AQ$47,"",0)</f>
        <v>1.2193460446061261E-16</v>
      </c>
      <c r="AR19" s="1">
        <f>_xlfn.XLOOKUP($B19,Sort_Alpha!$B$5:$B$47,Sort_Alpha!AR$5:AR$47,"",0)</f>
        <v>1.2194033320084528E-16</v>
      </c>
      <c r="AS19" s="1">
        <f>_xlfn.XLOOKUP($B19,Sort_Alpha!$B$5:$B$47,Sort_Alpha!AS$5:AS$47,"",0)</f>
        <v>1.6660983005984244E-16</v>
      </c>
      <c r="AT19" s="1">
        <f>_xlfn.XLOOKUP($B19,Sort_Alpha!$B$5:$B$47,Sort_Alpha!AT$5:AT$47,"",0)</f>
        <v>1.8630428233940621E-14</v>
      </c>
      <c r="AU19" s="1">
        <f>_xlfn.XLOOKUP($B19,Sort_Alpha!$B$5:$B$47,Sort_Alpha!AU$5:AU$47,"",0)</f>
        <v>4.6929350355444046E-17</v>
      </c>
      <c r="AV19" s="1">
        <f>_xlfn.XLOOKUP($B19,Sort_Alpha!$B$5:$B$47,Sort_Alpha!AV$5:AV$47,"",0)</f>
        <v>0</v>
      </c>
      <c r="AW19" s="1">
        <f>_xlfn.XLOOKUP($B19,Sort_Alpha!$B$5:$B$47,Sort_Alpha!AW$5:AW$47,"",0)</f>
        <v>2.02525270252026E-16</v>
      </c>
      <c r="AX19" s="1">
        <f>_xlfn.XLOOKUP($B19,Sort_Alpha!$B$5:$B$47,Sort_Alpha!AX$5:AX$47,"",0)</f>
        <v>1.7202810302130658E-16</v>
      </c>
      <c r="AY19" s="1">
        <f>_xlfn.XLOOKUP($B19,Sort_Alpha!$B$5:$B$47,Sort_Alpha!AY$5:AY$47,"",0)</f>
        <v>1.7203541689323994E-16</v>
      </c>
      <c r="AZ19" s="1">
        <f>_xlfn.XLOOKUP($B19,Sort_Alpha!$B$5:$B$47,Sort_Alpha!AZ$5:AZ$47,"",0)</f>
        <v>2.122110413496099E-15</v>
      </c>
      <c r="BA19" s="1">
        <f>_xlfn.XLOOKUP($B19,Sort_Alpha!$B$5:$B$47,Sort_Alpha!BA$5:BA$47,"",0)</f>
        <v>1.2778316969236588E-15</v>
      </c>
      <c r="BB19" s="1">
        <f>_xlfn.XLOOKUP($B19,Sort_Alpha!$B$5:$B$47,Sort_Alpha!BB$5:BB$47,"",0)</f>
        <v>1.7062835673934244E-15</v>
      </c>
      <c r="BC19" s="1">
        <f>_xlfn.XLOOKUP($B19,Sort_Alpha!$B$5:$B$47,Sort_Alpha!BC$5:BC$47,"",0)</f>
        <v>1.7580963912815201E-15</v>
      </c>
      <c r="BD19" s="1">
        <f>_xlfn.XLOOKUP($B19,Sort_Alpha!$B$5:$B$47,Sort_Alpha!BD$5:BD$47,"",0)</f>
        <v>1.7580963912815201E-15</v>
      </c>
      <c r="BE19" s="1">
        <f>_xlfn.XLOOKUP($B19,Sort_Alpha!$B$5:$B$47,Sort_Alpha!BE$5:BE$47,"",0)</f>
        <v>9.4088242868891648E-17</v>
      </c>
      <c r="BF19" s="1">
        <f>_xlfn.XLOOKUP($B19,Sort_Alpha!$B$5:$B$47,Sort_Alpha!BF$5:BF$47,"",0)</f>
        <v>3.4917882726319249E-16</v>
      </c>
      <c r="BG19" s="1">
        <f>_xlfn.XLOOKUP($B19,Sort_Alpha!$B$5:$B$47,Sort_Alpha!BG$5:BG$47,"",0)</f>
        <v>4.0891944288216348E-15</v>
      </c>
      <c r="BH19" s="1">
        <f>_xlfn.XLOOKUP($B19,Sort_Alpha!$B$5:$B$47,Sort_Alpha!BH$5:BH$47,"",0)</f>
        <v>3.7132536320552062E-15</v>
      </c>
      <c r="BI19" s="1">
        <f>_xlfn.XLOOKUP($B19,Sort_Alpha!$B$5:$B$47,Sort_Alpha!BI$5:BI$47,"",0)</f>
        <v>3.7132536320552062E-15</v>
      </c>
      <c r="BJ19" s="1">
        <f>_xlfn.XLOOKUP($B19,Sort_Alpha!$B$5:$B$47,Sort_Alpha!BJ$5:BJ$47,"",0)</f>
        <v>3.7132536320552062E-15</v>
      </c>
      <c r="BK19" s="1">
        <f>_xlfn.XLOOKUP($B19,Sort_Alpha!$B$5:$B$47,Sort_Alpha!BK$5:BK$47,"",0)</f>
        <v>2.4660995023768226E-15</v>
      </c>
      <c r="BL19" s="1">
        <f>_xlfn.XLOOKUP($B19,Sort_Alpha!$B$5:$B$47,Sort_Alpha!BL$5:BL$47,"",0)</f>
        <v>4.7797448842937973E-15</v>
      </c>
      <c r="BM19" s="1">
        <f>_xlfn.XLOOKUP($B19,Sort_Alpha!$B$5:$B$47,Sort_Alpha!BM$5:BM$47,"",0)</f>
        <v>6.4431391506974203E-15</v>
      </c>
      <c r="BN19" s="1">
        <f>_xlfn.XLOOKUP($B19,Sort_Alpha!$B$5:$B$47,Sort_Alpha!BN$5:BN$47,"",0)</f>
        <v>6.4431391506974203E-15</v>
      </c>
      <c r="BO19" s="1">
        <f>_xlfn.XLOOKUP($B19,Sort_Alpha!$B$5:$B$47,Sort_Alpha!BO$5:BO$47,"",0)</f>
        <v>1.2778731332756044E-16</v>
      </c>
      <c r="BP19" s="1">
        <f>_xlfn.XLOOKUP($B19,Sort_Alpha!$B$5:$B$47,Sort_Alpha!BP$5:BP$47,"",0)</f>
        <v>1.2778731332756044E-16</v>
      </c>
      <c r="BQ19" s="1">
        <f>_xlfn.XLOOKUP($B19,Sort_Alpha!$B$5:$B$47,Sort_Alpha!BQ$5:BQ$47,"",0)</f>
        <v>0</v>
      </c>
      <c r="BR19" s="1">
        <f>_xlfn.XLOOKUP($B19,Sort_Alpha!$B$5:$B$47,Sort_Alpha!BR$5:BR$47,"",0)</f>
        <v>4.8468207017279894E-16</v>
      </c>
      <c r="BS19" s="1">
        <f>_xlfn.XLOOKUP($B19,Sort_Alpha!$B$5:$B$47,Sort_Alpha!BS$5:BS$47,"",0)</f>
        <v>2.3485579620797615E-16</v>
      </c>
      <c r="BT19" s="1">
        <f>_xlfn.XLOOKUP($B19,Sort_Alpha!$B$5:$B$47,Sort_Alpha!BT$5:BT$47,"",0)</f>
        <v>1.2008969479601369E-16</v>
      </c>
      <c r="BU19" s="1">
        <f>_xlfn.XLOOKUP($B19,Sort_Alpha!$B$5:$B$47,Sort_Alpha!BU$5:BU$47,"",0)</f>
        <v>9.3718948164276154E-17</v>
      </c>
      <c r="BV19" s="1">
        <f>_xlfn.XLOOKUP($B19,Sort_Alpha!$B$5:$B$47,Sort_Alpha!BV$5:BV$47,"",0)</f>
        <v>1.1437151069759207E-15</v>
      </c>
      <c r="BW19" s="1">
        <f>_xlfn.XLOOKUP($B19,Sort_Alpha!$B$5:$B$47,Sort_Alpha!BW$5:BW$47,"",0)</f>
        <v>9.9210075257409647E-16</v>
      </c>
      <c r="BX19" s="1">
        <f>_xlfn.XLOOKUP($B19,Sort_Alpha!$B$5:$B$47,Sort_Alpha!BX$5:BX$47,"",0)</f>
        <v>9.9210075257409647E-16</v>
      </c>
      <c r="BY19" s="1">
        <f>_xlfn.XLOOKUP($B19,Sort_Alpha!$B$5:$B$47,Sort_Alpha!BY$5:BY$47,"",0)</f>
        <v>5.1543881409085517E-15</v>
      </c>
      <c r="BZ19" s="1">
        <f>_xlfn.XLOOKUP($B19,Sort_Alpha!$B$5:$B$47,Sort_Alpha!BZ$5:BZ$47,"",0)</f>
        <v>1.7730890643306875E-16</v>
      </c>
      <c r="CA19" s="1">
        <f>_xlfn.XLOOKUP($B19,Sort_Alpha!$B$5:$B$47,Sort_Alpha!CA$5:CA$47,"",0)</f>
        <v>1.8267170310891023E-16</v>
      </c>
      <c r="CB19" s="1">
        <f>_xlfn.XLOOKUP($B19,Sort_Alpha!$B$5:$B$47,Sort_Alpha!CB$5:CB$47,"",0)</f>
        <v>1.6033162715301708E-16</v>
      </c>
      <c r="CC19" s="1">
        <f>_xlfn.XLOOKUP($B19,Sort_Alpha!$B$5:$B$47,Sort_Alpha!CC$5:CC$47,"",0)</f>
        <v>5.0070386089962035E-16</v>
      </c>
    </row>
    <row r="20" spans="2:81" x14ac:dyDescent="0.15">
      <c r="B20" t="s">
        <v>12</v>
      </c>
      <c r="C20" s="1">
        <f>_xlfn.XLOOKUP($B20,Sort_Alpha!$B$5:$B$47,Sort_Alpha!C$5:C$47,"",0)</f>
        <v>5.2824436514891119E-16</v>
      </c>
      <c r="D20" s="1">
        <f>_xlfn.XLOOKUP($B20,Sort_Alpha!$B$5:$B$47,Sort_Alpha!D$5:D$47,"",0)</f>
        <v>2.0532584655486074E-15</v>
      </c>
      <c r="E20" s="1">
        <f>_xlfn.XLOOKUP($B20,Sort_Alpha!$B$5:$B$47,Sort_Alpha!E$5:E$47,"",0)</f>
        <v>7.0510611985767273E-15</v>
      </c>
      <c r="F20" s="1">
        <f>_xlfn.XLOOKUP($B20,Sort_Alpha!$B$5:$B$47,Sort_Alpha!F$5:F$47,"",0)</f>
        <v>7.1773461003252415E-15</v>
      </c>
      <c r="G20" s="1">
        <f>_xlfn.XLOOKUP($B20,Sort_Alpha!$B$5:$B$47,Sort_Alpha!G$5:G$47,"",0)</f>
        <v>1.1582631051084707E-16</v>
      </c>
      <c r="H20" s="1">
        <f>_xlfn.XLOOKUP($B20,Sort_Alpha!$B$5:$B$47,Sort_Alpha!H$5:H$47,"",0)</f>
        <v>4.0289055594200944E-15</v>
      </c>
      <c r="I20" s="1">
        <f>_xlfn.XLOOKUP($B20,Sort_Alpha!$B$5:$B$47,Sort_Alpha!I$5:I$47,"",0)</f>
        <v>1.084357517042813E-14</v>
      </c>
      <c r="J20" s="1">
        <f>_xlfn.XLOOKUP($B20,Sort_Alpha!$B$5:$B$47,Sort_Alpha!J$5:J$47,"",0)</f>
        <v>1.084357517042813E-14</v>
      </c>
      <c r="K20" s="1">
        <f>_xlfn.XLOOKUP($B20,Sort_Alpha!$B$5:$B$47,Sort_Alpha!K$5:K$47,"",0)</f>
        <v>1.084357517042813E-14</v>
      </c>
      <c r="L20" s="1">
        <f>_xlfn.XLOOKUP($B20,Sort_Alpha!$B$5:$B$47,Sort_Alpha!L$5:L$47,"",0)</f>
        <v>7.0510611985767273E-15</v>
      </c>
      <c r="M20" s="1">
        <f>_xlfn.XLOOKUP($B20,Sort_Alpha!$B$5:$B$47,Sort_Alpha!M$5:M$47,"",0)</f>
        <v>7.0510611985767273E-15</v>
      </c>
      <c r="N20" s="1">
        <f>_xlfn.XLOOKUP($B20,Sort_Alpha!$B$5:$B$47,Sort_Alpha!N$5:N$47,"",0)</f>
        <v>7.0510611985767273E-15</v>
      </c>
      <c r="O20" s="1">
        <f>_xlfn.XLOOKUP($B20,Sort_Alpha!$B$5:$B$47,Sort_Alpha!O$5:O$47,"",0)</f>
        <v>9.1314529372441913E-16</v>
      </c>
      <c r="P20" s="1">
        <f>_xlfn.XLOOKUP($B20,Sort_Alpha!$B$5:$B$47,Sort_Alpha!P$5:P$47,"",0)</f>
        <v>1.6624987517643112E-16</v>
      </c>
      <c r="Q20" s="1">
        <f>_xlfn.XLOOKUP($B20,Sort_Alpha!$B$5:$B$47,Sort_Alpha!Q$5:Q$47,"",0)</f>
        <v>6.0745781136847312E-16</v>
      </c>
      <c r="R20" s="1">
        <f>_xlfn.XLOOKUP($B20,Sort_Alpha!$B$5:$B$47,Sort_Alpha!R$5:R$47,"",0)</f>
        <v>6.0745781136847312E-16</v>
      </c>
      <c r="S20" s="1">
        <f>_xlfn.XLOOKUP($B20,Sort_Alpha!$B$5:$B$47,Sort_Alpha!S$5:S$47,"",0)</f>
        <v>3.1669059561898727E-16</v>
      </c>
      <c r="T20" s="1">
        <f>_xlfn.XLOOKUP($B20,Sort_Alpha!$B$5:$B$47,Sort_Alpha!T$5:T$47,"",0)</f>
        <v>4.7506247682098691E-16</v>
      </c>
      <c r="U20" s="1">
        <f>_xlfn.XLOOKUP($B20,Sort_Alpha!$B$5:$B$47,Sort_Alpha!U$5:U$47,"",0)</f>
        <v>4.7506247682098691E-16</v>
      </c>
      <c r="V20" s="1">
        <f>_xlfn.XLOOKUP($B20,Sort_Alpha!$B$5:$B$47,Sort_Alpha!V$5:V$47,"",0)</f>
        <v>4.7506247682098691E-16</v>
      </c>
      <c r="W20" s="1">
        <f>_xlfn.XLOOKUP($B20,Sort_Alpha!$B$5:$B$47,Sort_Alpha!W$5:W$47,"",0)</f>
        <v>4.7506247682098691E-16</v>
      </c>
      <c r="X20" s="1">
        <f>_xlfn.XLOOKUP($B20,Sort_Alpha!$B$5:$B$47,Sort_Alpha!X$5:X$47,"",0)</f>
        <v>4.7506247682098691E-16</v>
      </c>
      <c r="Y20" s="1">
        <f>_xlfn.XLOOKUP($B20,Sort_Alpha!$B$5:$B$47,Sort_Alpha!Y$5:Y$47,"",0)</f>
        <v>2.3356923015900996E-16</v>
      </c>
      <c r="Z20" s="1">
        <f>_xlfn.XLOOKUP($B20,Sort_Alpha!$B$5:$B$47,Sort_Alpha!Z$5:Z$47,"",0)</f>
        <v>1.7850235562305383E-15</v>
      </c>
      <c r="AA20" s="1">
        <f>_xlfn.XLOOKUP($B20,Sort_Alpha!$B$5:$B$47,Sort_Alpha!AA$5:AA$47,"",0)</f>
        <v>1.7863324005964951E-15</v>
      </c>
      <c r="AB20" s="1">
        <f>_xlfn.XLOOKUP($B20,Sort_Alpha!$B$5:$B$47,Sort_Alpha!AB$5:AB$47,"",0)</f>
        <v>1.5274820132490848E-13</v>
      </c>
      <c r="AC20" s="1">
        <f>_xlfn.XLOOKUP($B20,Sort_Alpha!$B$5:$B$47,Sort_Alpha!AC$5:AC$47,"",0)</f>
        <v>9.9772707333873415E-16</v>
      </c>
      <c r="AD20" s="1">
        <f>_xlfn.XLOOKUP($B20,Sort_Alpha!$B$5:$B$47,Sort_Alpha!AD$5:AD$47,"",0)</f>
        <v>2.0047471259040245E-16</v>
      </c>
      <c r="AE20" s="1">
        <f>_xlfn.XLOOKUP($B20,Sort_Alpha!$B$5:$B$47,Sort_Alpha!AE$5:AE$47,"",0)</f>
        <v>1.950311930217505E-16</v>
      </c>
      <c r="AF20" s="1">
        <f>_xlfn.XLOOKUP($B20,Sort_Alpha!$B$5:$B$47,Sort_Alpha!AF$5:AF$47,"",0)</f>
        <v>1.950311930217505E-16</v>
      </c>
      <c r="AG20" s="1">
        <f>_xlfn.XLOOKUP($B20,Sort_Alpha!$B$5:$B$47,Sort_Alpha!AG$5:AG$47,"",0)</f>
        <v>2.8635425476209757E-15</v>
      </c>
      <c r="AH20" s="1">
        <f>_xlfn.XLOOKUP($B20,Sort_Alpha!$B$5:$B$47,Sort_Alpha!AH$5:AH$47,"",0)</f>
        <v>7.1771041186233303E-15</v>
      </c>
      <c r="AI20" s="1">
        <f>_xlfn.XLOOKUP($B20,Sort_Alpha!$B$5:$B$47,Sort_Alpha!AI$5:AI$47,"",0)</f>
        <v>7.073377944886599E-15</v>
      </c>
      <c r="AJ20" s="1">
        <f>_xlfn.XLOOKUP($B20,Sort_Alpha!$B$5:$B$47,Sort_Alpha!AJ$5:AJ$47,"",0)</f>
        <v>6.8833494544915066E-16</v>
      </c>
      <c r="AK20" s="1">
        <f>_xlfn.XLOOKUP($B20,Sort_Alpha!$B$5:$B$47,Sort_Alpha!AK$5:AK$47,"",0)</f>
        <v>2.7466830293361958E-15</v>
      </c>
      <c r="AL20" s="1">
        <f>_xlfn.XLOOKUP($B20,Sort_Alpha!$B$5:$B$47,Sort_Alpha!AL$5:AL$47,"",0)</f>
        <v>1.0453047803208429E-14</v>
      </c>
      <c r="AM20" s="1">
        <f>_xlfn.XLOOKUP($B20,Sort_Alpha!$B$5:$B$47,Sort_Alpha!AM$5:AM$47,"",0)</f>
        <v>5.401857205091318E-16</v>
      </c>
      <c r="AN20" s="1">
        <f>_xlfn.XLOOKUP($B20,Sort_Alpha!$B$5:$B$47,Sort_Alpha!AN$5:AN$47,"",0)</f>
        <v>1.1456951204973324E-14</v>
      </c>
      <c r="AO20" s="1">
        <f>_xlfn.XLOOKUP($B20,Sort_Alpha!$B$5:$B$47,Sort_Alpha!AO$5:AO$47,"",0)</f>
        <v>1.1456951204973324E-14</v>
      </c>
      <c r="AP20" s="1">
        <f>_xlfn.XLOOKUP($B20,Sort_Alpha!$B$5:$B$47,Sort_Alpha!AP$5:AP$47,"",0)</f>
        <v>1.1456951204973324E-14</v>
      </c>
      <c r="AQ20" s="1">
        <f>_xlfn.XLOOKUP($B20,Sort_Alpha!$B$5:$B$47,Sort_Alpha!AQ$5:AQ$47,"",0)</f>
        <v>5.084351150060003E-16</v>
      </c>
      <c r="AR20" s="1">
        <f>_xlfn.XLOOKUP($B20,Sort_Alpha!$B$5:$B$47,Sort_Alpha!AR$5:AR$47,"",0)</f>
        <v>5.084351150060003E-16</v>
      </c>
      <c r="AS20" s="1">
        <f>_xlfn.XLOOKUP($B20,Sort_Alpha!$B$5:$B$47,Sort_Alpha!AS$5:AS$47,"",0)</f>
        <v>3.3743499245616032E-17</v>
      </c>
      <c r="AT20" s="1">
        <f>_xlfn.XLOOKUP($B20,Sort_Alpha!$B$5:$B$47,Sort_Alpha!AT$5:AT$47,"",0)</f>
        <v>1.2029478281695419E-15</v>
      </c>
      <c r="AU20" s="1">
        <f>_xlfn.XLOOKUP($B20,Sort_Alpha!$B$5:$B$47,Sort_Alpha!AU$5:AU$47,"",0)</f>
        <v>2.0163428692871004E-16</v>
      </c>
      <c r="AV20" s="1">
        <f>_xlfn.XLOOKUP($B20,Sort_Alpha!$B$5:$B$47,Sort_Alpha!AV$5:AV$47,"",0)</f>
        <v>0</v>
      </c>
      <c r="AW20" s="1">
        <f>_xlfn.XLOOKUP($B20,Sort_Alpha!$B$5:$B$47,Sort_Alpha!AW$5:AW$47,"",0)</f>
        <v>4.2891321049726343E-17</v>
      </c>
      <c r="AX20" s="1">
        <f>_xlfn.XLOOKUP($B20,Sort_Alpha!$B$5:$B$47,Sort_Alpha!AX$5:AX$47,"",0)</f>
        <v>3.7724569558292518E-17</v>
      </c>
      <c r="AY20" s="1">
        <f>_xlfn.XLOOKUP($B20,Sort_Alpha!$B$5:$B$47,Sort_Alpha!AY$5:AY$47,"",0)</f>
        <v>3.7724569558292518E-17</v>
      </c>
      <c r="AZ20" s="1">
        <f>_xlfn.XLOOKUP($B20,Sort_Alpha!$B$5:$B$47,Sort_Alpha!AZ$5:AZ$47,"",0)</f>
        <v>1.8277759275392981E-15</v>
      </c>
      <c r="BA20" s="1">
        <f>_xlfn.XLOOKUP($B20,Sort_Alpha!$B$5:$B$47,Sort_Alpha!BA$5:BA$47,"",0)</f>
        <v>7.0265384288577202E-15</v>
      </c>
      <c r="BB20" s="1">
        <f>_xlfn.XLOOKUP($B20,Sort_Alpha!$B$5:$B$47,Sort_Alpha!BB$5:BB$47,"",0)</f>
        <v>1.9902952135027811E-16</v>
      </c>
      <c r="BC20" s="1">
        <f>_xlfn.XLOOKUP($B20,Sort_Alpha!$B$5:$B$47,Sort_Alpha!BC$5:BC$47,"",0)</f>
        <v>2.0167142025703501E-16</v>
      </c>
      <c r="BD20" s="1">
        <f>_xlfn.XLOOKUP($B20,Sort_Alpha!$B$5:$B$47,Sort_Alpha!BD$5:BD$47,"",0)</f>
        <v>2.0167142025703501E-16</v>
      </c>
      <c r="BE20" s="1">
        <f>_xlfn.XLOOKUP($B20,Sort_Alpha!$B$5:$B$47,Sort_Alpha!BE$5:BE$47,"",0)</f>
        <v>4.1910687592838584E-16</v>
      </c>
      <c r="BF20" s="1">
        <f>_xlfn.XLOOKUP($B20,Sort_Alpha!$B$5:$B$47,Sort_Alpha!BF$5:BF$47,"",0)</f>
        <v>4.0982437725120927E-16</v>
      </c>
      <c r="BG20" s="1">
        <f>_xlfn.XLOOKUP($B20,Sort_Alpha!$B$5:$B$47,Sort_Alpha!BG$5:BG$47,"",0)</f>
        <v>4.9892496165404876E-16</v>
      </c>
      <c r="BH20" s="1">
        <f>_xlfn.XLOOKUP($B20,Sort_Alpha!$B$5:$B$47,Sort_Alpha!BH$5:BH$47,"",0)</f>
        <v>3.9187469703701501E-16</v>
      </c>
      <c r="BI20" s="1">
        <f>_xlfn.XLOOKUP($B20,Sort_Alpha!$B$5:$B$47,Sort_Alpha!BI$5:BI$47,"",0)</f>
        <v>3.9187469703701501E-16</v>
      </c>
      <c r="BJ20" s="1">
        <f>_xlfn.XLOOKUP($B20,Sort_Alpha!$B$5:$B$47,Sort_Alpha!BJ$5:BJ$47,"",0)</f>
        <v>3.9187469703701501E-16</v>
      </c>
      <c r="BK20" s="1">
        <f>_xlfn.XLOOKUP($B20,Sort_Alpha!$B$5:$B$47,Sort_Alpha!BK$5:BK$47,"",0)</f>
        <v>3.0287212991292666E-15</v>
      </c>
      <c r="BL20" s="1">
        <f>_xlfn.XLOOKUP($B20,Sort_Alpha!$B$5:$B$47,Sort_Alpha!BL$5:BL$47,"",0)</f>
        <v>4.5580664542315384E-15</v>
      </c>
      <c r="BM20" s="1">
        <f>_xlfn.XLOOKUP($B20,Sort_Alpha!$B$5:$B$47,Sort_Alpha!BM$5:BM$47,"",0)</f>
        <v>3.4962647066873609E-15</v>
      </c>
      <c r="BN20" s="1">
        <f>_xlfn.XLOOKUP($B20,Sort_Alpha!$B$5:$B$47,Sort_Alpha!BN$5:BN$47,"",0)</f>
        <v>3.4962647066873609E-15</v>
      </c>
      <c r="BO20" s="1">
        <f>_xlfn.XLOOKUP($B20,Sort_Alpha!$B$5:$B$47,Sort_Alpha!BO$5:BO$47,"",0)</f>
        <v>4.6445998166660224E-16</v>
      </c>
      <c r="BP20" s="1">
        <f>_xlfn.XLOOKUP($B20,Sort_Alpha!$B$5:$B$47,Sort_Alpha!BP$5:BP$47,"",0)</f>
        <v>4.6445998166660224E-16</v>
      </c>
      <c r="BQ20" s="1">
        <f>_xlfn.XLOOKUP($B20,Sort_Alpha!$B$5:$B$47,Sort_Alpha!BQ$5:BQ$47,"",0)</f>
        <v>0</v>
      </c>
      <c r="BR20" s="1">
        <f>_xlfn.XLOOKUP($B20,Sort_Alpha!$B$5:$B$47,Sort_Alpha!BR$5:BR$47,"",0)</f>
        <v>7.7247134714211734E-15</v>
      </c>
      <c r="BS20" s="1">
        <f>_xlfn.XLOOKUP($B20,Sort_Alpha!$B$5:$B$47,Sort_Alpha!BS$5:BS$47,"",0)</f>
        <v>1.739285130753377E-15</v>
      </c>
      <c r="BT20" s="1">
        <f>_xlfn.XLOOKUP($B20,Sort_Alpha!$B$5:$B$47,Sort_Alpha!BT$5:BT$47,"",0)</f>
        <v>5.1255094440739067E-16</v>
      </c>
      <c r="BU20" s="1">
        <f>_xlfn.XLOOKUP($B20,Sort_Alpha!$B$5:$B$47,Sort_Alpha!BU$5:BU$47,"",0)</f>
        <v>3.8894464542054788E-16</v>
      </c>
      <c r="BV20" s="1">
        <f>_xlfn.XLOOKUP($B20,Sort_Alpha!$B$5:$B$47,Sort_Alpha!BV$5:BV$47,"",0)</f>
        <v>9.9811398253515818E-16</v>
      </c>
      <c r="BW20" s="1">
        <f>_xlfn.XLOOKUP($B20,Sort_Alpha!$B$5:$B$47,Sort_Alpha!BW$5:BW$47,"",0)</f>
        <v>6.2103155926421925E-16</v>
      </c>
      <c r="BX20" s="1">
        <f>_xlfn.XLOOKUP($B20,Sort_Alpha!$B$5:$B$47,Sort_Alpha!BX$5:BX$47,"",0)</f>
        <v>6.2103155926421925E-16</v>
      </c>
      <c r="BY20" s="1">
        <f>_xlfn.XLOOKUP($B20,Sort_Alpha!$B$5:$B$47,Sort_Alpha!BY$5:BY$47,"",0)</f>
        <v>3.4712821432608289E-16</v>
      </c>
      <c r="BZ20" s="1">
        <f>_xlfn.XLOOKUP($B20,Sort_Alpha!$B$5:$B$47,Sort_Alpha!BZ$5:BZ$47,"",0)</f>
        <v>3.808323534247837E-17</v>
      </c>
      <c r="CA20" s="1">
        <f>_xlfn.XLOOKUP($B20,Sort_Alpha!$B$5:$B$47,Sort_Alpha!CA$5:CA$47,"",0)</f>
        <v>3.5456684614384667E-17</v>
      </c>
      <c r="CB20" s="1">
        <f>_xlfn.XLOOKUP($B20,Sort_Alpha!$B$5:$B$47,Sort_Alpha!CB$5:CB$47,"",0)</f>
        <v>3.4199197135115768E-17</v>
      </c>
      <c r="CC20" s="1">
        <f>_xlfn.XLOOKUP($B20,Sort_Alpha!$B$5:$B$47,Sort_Alpha!CC$5:CC$47,"",0)</f>
        <v>4.6530462402635123E-16</v>
      </c>
    </row>
    <row r="21" spans="2:81" x14ac:dyDescent="0.15">
      <c r="B21" t="s">
        <v>13</v>
      </c>
      <c r="C21" s="1">
        <f>_xlfn.XLOOKUP($B21,Sort_Alpha!$B$5:$B$47,Sort_Alpha!C$5:C$47,"",0)</f>
        <v>7.4640059610974926E-16</v>
      </c>
      <c r="D21" s="1">
        <f>_xlfn.XLOOKUP($B21,Sort_Alpha!$B$5:$B$47,Sort_Alpha!D$5:D$47,"",0)</f>
        <v>1.5508352106517848E-14</v>
      </c>
      <c r="E21" s="1">
        <f>_xlfn.XLOOKUP($B21,Sort_Alpha!$B$5:$B$47,Sort_Alpha!E$5:E$47,"",0)</f>
        <v>7.9110550803905012E-16</v>
      </c>
      <c r="F21" s="1">
        <f>_xlfn.XLOOKUP($B21,Sort_Alpha!$B$5:$B$47,Sort_Alpha!F$5:F$47,"",0)</f>
        <v>3.9640894096981528E-15</v>
      </c>
      <c r="G21" s="1">
        <f>_xlfn.XLOOKUP($B21,Sort_Alpha!$B$5:$B$47,Sort_Alpha!G$5:G$47,"",0)</f>
        <v>1.9977085051539519E-17</v>
      </c>
      <c r="H21" s="1">
        <f>_xlfn.XLOOKUP($B21,Sort_Alpha!$B$5:$B$47,Sort_Alpha!H$5:H$47,"",0)</f>
        <v>4.7307542675014365E-16</v>
      </c>
      <c r="I21" s="1">
        <f>_xlfn.XLOOKUP($B21,Sort_Alpha!$B$5:$B$47,Sort_Alpha!I$5:I$47,"",0)</f>
        <v>4.3435615568226738E-16</v>
      </c>
      <c r="J21" s="1">
        <f>_xlfn.XLOOKUP($B21,Sort_Alpha!$B$5:$B$47,Sort_Alpha!J$5:J$47,"",0)</f>
        <v>4.3435615568226738E-16</v>
      </c>
      <c r="K21" s="1">
        <f>_xlfn.XLOOKUP($B21,Sort_Alpha!$B$5:$B$47,Sort_Alpha!K$5:K$47,"",0)</f>
        <v>4.3435615568226738E-16</v>
      </c>
      <c r="L21" s="1">
        <f>_xlfn.XLOOKUP($B21,Sort_Alpha!$B$5:$B$47,Sort_Alpha!L$5:L$47,"",0)</f>
        <v>7.9110550803905012E-16</v>
      </c>
      <c r="M21" s="1">
        <f>_xlfn.XLOOKUP($B21,Sort_Alpha!$B$5:$B$47,Sort_Alpha!M$5:M$47,"",0)</f>
        <v>7.9110550803905012E-16</v>
      </c>
      <c r="N21" s="1">
        <f>_xlfn.XLOOKUP($B21,Sort_Alpha!$B$5:$B$47,Sort_Alpha!N$5:N$47,"",0)</f>
        <v>7.9110550803905012E-16</v>
      </c>
      <c r="O21" s="1">
        <f>_xlfn.XLOOKUP($B21,Sort_Alpha!$B$5:$B$47,Sort_Alpha!O$5:O$47,"",0)</f>
        <v>9.7474088749367647E-16</v>
      </c>
      <c r="P21" s="1">
        <f>_xlfn.XLOOKUP($B21,Sort_Alpha!$B$5:$B$47,Sort_Alpha!P$5:P$47,"",0)</f>
        <v>1.4281721026290361E-16</v>
      </c>
      <c r="Q21" s="1">
        <f>_xlfn.XLOOKUP($B21,Sort_Alpha!$B$5:$B$47,Sort_Alpha!Q$5:Q$47,"",0)</f>
        <v>6.2738311021755638E-16</v>
      </c>
      <c r="R21" s="1">
        <f>_xlfn.XLOOKUP($B21,Sort_Alpha!$B$5:$B$47,Sort_Alpha!R$5:R$47,"",0)</f>
        <v>6.2738311021755638E-16</v>
      </c>
      <c r="S21" s="1">
        <f>_xlfn.XLOOKUP($B21,Sort_Alpha!$B$5:$B$47,Sort_Alpha!S$5:S$47,"",0)</f>
        <v>5.4493335243152442E-17</v>
      </c>
      <c r="T21" s="1">
        <f>_xlfn.XLOOKUP($B21,Sort_Alpha!$B$5:$B$47,Sort_Alpha!T$5:T$47,"",0)</f>
        <v>5.9325407840130539E-17</v>
      </c>
      <c r="U21" s="1">
        <f>_xlfn.XLOOKUP($B21,Sort_Alpha!$B$5:$B$47,Sort_Alpha!U$5:U$47,"",0)</f>
        <v>5.9325407840130539E-17</v>
      </c>
      <c r="V21" s="1">
        <f>_xlfn.XLOOKUP($B21,Sort_Alpha!$B$5:$B$47,Sort_Alpha!V$5:V$47,"",0)</f>
        <v>5.9325407840130539E-17</v>
      </c>
      <c r="W21" s="1">
        <f>_xlfn.XLOOKUP($B21,Sort_Alpha!$B$5:$B$47,Sort_Alpha!W$5:W$47,"",0)</f>
        <v>5.9325407840130539E-17</v>
      </c>
      <c r="X21" s="1">
        <f>_xlfn.XLOOKUP($B21,Sort_Alpha!$B$5:$B$47,Sort_Alpha!X$5:X$47,"",0)</f>
        <v>5.9325407840130539E-17</v>
      </c>
      <c r="Y21" s="1">
        <f>_xlfn.XLOOKUP($B21,Sort_Alpha!$B$5:$B$47,Sort_Alpha!Y$5:Y$47,"",0)</f>
        <v>4.3780880620276647E-17</v>
      </c>
      <c r="Z21" s="1">
        <f>_xlfn.XLOOKUP($B21,Sort_Alpha!$B$5:$B$47,Sort_Alpha!Z$5:Z$47,"",0)</f>
        <v>7.9037153843337555E-15</v>
      </c>
      <c r="AA21" s="1">
        <f>_xlfn.XLOOKUP($B21,Sort_Alpha!$B$5:$B$47,Sort_Alpha!AA$5:AA$47,"",0)</f>
        <v>8.4966813927546829E-15</v>
      </c>
      <c r="AB21" s="1">
        <f>_xlfn.XLOOKUP($B21,Sort_Alpha!$B$5:$B$47,Sort_Alpha!AB$5:AB$47,"",0)</f>
        <v>1.001922241874646E-15</v>
      </c>
      <c r="AC21" s="1">
        <f>_xlfn.XLOOKUP($B21,Sort_Alpha!$B$5:$B$47,Sort_Alpha!AC$5:AC$47,"",0)</f>
        <v>1.3944027871592199E-13</v>
      </c>
      <c r="AD21" s="1">
        <f>_xlfn.XLOOKUP($B21,Sort_Alpha!$B$5:$B$47,Sort_Alpha!AD$5:AD$47,"",0)</f>
        <v>1.5531386996429496E-15</v>
      </c>
      <c r="AE21" s="1">
        <f>_xlfn.XLOOKUP($B21,Sort_Alpha!$B$5:$B$47,Sort_Alpha!AE$5:AE$47,"",0)</f>
        <v>1.516907295097158E-15</v>
      </c>
      <c r="AF21" s="1">
        <f>_xlfn.XLOOKUP($B21,Sort_Alpha!$B$5:$B$47,Sort_Alpha!AF$5:AF$47,"",0)</f>
        <v>1.516907295097158E-15</v>
      </c>
      <c r="AG21" s="1">
        <f>_xlfn.XLOOKUP($B21,Sort_Alpha!$B$5:$B$47,Sort_Alpha!AG$5:AG$47,"",0)</f>
        <v>4.3223750072547167E-15</v>
      </c>
      <c r="AH21" s="1">
        <f>_xlfn.XLOOKUP($B21,Sort_Alpha!$B$5:$B$47,Sort_Alpha!AH$5:AH$47,"",0)</f>
        <v>7.7926851756982357E-16</v>
      </c>
      <c r="AI21" s="1">
        <f>_xlfn.XLOOKUP($B21,Sort_Alpha!$B$5:$B$47,Sort_Alpha!AI$5:AI$47,"",0)</f>
        <v>8.0935048161142899E-16</v>
      </c>
      <c r="AJ21" s="1">
        <f>_xlfn.XLOOKUP($B21,Sort_Alpha!$B$5:$B$47,Sort_Alpha!AJ$5:AJ$47,"",0)</f>
        <v>8.113844126782819E-17</v>
      </c>
      <c r="AK21" s="1">
        <f>_xlfn.XLOOKUP($B21,Sort_Alpha!$B$5:$B$47,Sort_Alpha!AK$5:AK$47,"",0)</f>
        <v>2.7001268380660019E-15</v>
      </c>
      <c r="AL21" s="1">
        <f>_xlfn.XLOOKUP($B21,Sort_Alpha!$B$5:$B$47,Sort_Alpha!AL$5:AL$47,"",0)</f>
        <v>3.6666182797067257E-16</v>
      </c>
      <c r="AM21" s="1">
        <f>_xlfn.XLOOKUP($B21,Sort_Alpha!$B$5:$B$47,Sort_Alpha!AM$5:AM$47,"",0)</f>
        <v>8.032338861291208E-16</v>
      </c>
      <c r="AN21" s="1">
        <f>_xlfn.XLOOKUP($B21,Sort_Alpha!$B$5:$B$47,Sort_Alpha!AN$5:AN$47,"",0)</f>
        <v>8.5835751250689352E-16</v>
      </c>
      <c r="AO21" s="1">
        <f>_xlfn.XLOOKUP($B21,Sort_Alpha!$B$5:$B$47,Sort_Alpha!AO$5:AO$47,"",0)</f>
        <v>8.5835751250689352E-16</v>
      </c>
      <c r="AP21" s="1">
        <f>_xlfn.XLOOKUP($B21,Sort_Alpha!$B$5:$B$47,Sort_Alpha!AP$5:AP$47,"",0)</f>
        <v>8.5835751250689352E-16</v>
      </c>
      <c r="AQ21" s="1">
        <f>_xlfn.XLOOKUP($B21,Sort_Alpha!$B$5:$B$47,Sort_Alpha!AQ$5:AQ$47,"",0)</f>
        <v>6.752047109655991E-17</v>
      </c>
      <c r="AR21" s="1">
        <f>_xlfn.XLOOKUP($B21,Sort_Alpha!$B$5:$B$47,Sort_Alpha!AR$5:AR$47,"",0)</f>
        <v>6.752047109655991E-17</v>
      </c>
      <c r="AS21" s="1">
        <f>_xlfn.XLOOKUP($B21,Sort_Alpha!$B$5:$B$47,Sort_Alpha!AS$5:AS$47,"",0)</f>
        <v>2.6880316198044987E-16</v>
      </c>
      <c r="AT21" s="1">
        <f>_xlfn.XLOOKUP($B21,Sort_Alpha!$B$5:$B$47,Sort_Alpha!AT$5:AT$47,"",0)</f>
        <v>1.0040159220361674E-14</v>
      </c>
      <c r="AU21" s="1">
        <f>_xlfn.XLOOKUP($B21,Sort_Alpha!$B$5:$B$47,Sort_Alpha!AU$5:AU$47,"",0)</f>
        <v>2.8610642319529332E-17</v>
      </c>
      <c r="AV21" s="1">
        <f>_xlfn.XLOOKUP($B21,Sort_Alpha!$B$5:$B$47,Sort_Alpha!AV$5:AV$47,"",0)</f>
        <v>0</v>
      </c>
      <c r="AW21" s="1">
        <f>_xlfn.XLOOKUP($B21,Sort_Alpha!$B$5:$B$47,Sort_Alpha!AW$5:AW$47,"",0)</f>
        <v>3.5444378357028255E-16</v>
      </c>
      <c r="AX21" s="1">
        <f>_xlfn.XLOOKUP($B21,Sort_Alpha!$B$5:$B$47,Sort_Alpha!AX$5:AX$47,"",0)</f>
        <v>2.9871295493701087E-16</v>
      </c>
      <c r="AY21" s="1">
        <f>_xlfn.XLOOKUP($B21,Sort_Alpha!$B$5:$B$47,Sort_Alpha!AY$5:AY$47,"",0)</f>
        <v>2.9871295493701087E-16</v>
      </c>
      <c r="AZ21" s="1">
        <f>_xlfn.XLOOKUP($B21,Sort_Alpha!$B$5:$B$47,Sort_Alpha!AZ$5:AZ$47,"",0)</f>
        <v>1.7131296323179117E-15</v>
      </c>
      <c r="BA21" s="1">
        <f>_xlfn.XLOOKUP($B21,Sort_Alpha!$B$5:$B$47,Sort_Alpha!BA$5:BA$47,"",0)</f>
        <v>7.8051837830116261E-16</v>
      </c>
      <c r="BB21" s="1">
        <f>_xlfn.XLOOKUP($B21,Sort_Alpha!$B$5:$B$47,Sort_Alpha!BB$5:BB$47,"",0)</f>
        <v>3.0371152246600988E-15</v>
      </c>
      <c r="BC21" s="1">
        <f>_xlfn.XLOOKUP($B21,Sort_Alpha!$B$5:$B$47,Sort_Alpha!BC$5:BC$47,"",0)</f>
        <v>3.4821909725222574E-15</v>
      </c>
      <c r="BD21" s="1">
        <f>_xlfn.XLOOKUP($B21,Sort_Alpha!$B$5:$B$47,Sort_Alpha!BD$5:BD$47,"",0)</f>
        <v>3.4821909725222574E-15</v>
      </c>
      <c r="BE21" s="1">
        <f>_xlfn.XLOOKUP($B21,Sort_Alpha!$B$5:$B$47,Sort_Alpha!BE$5:BE$47,"",0)</f>
        <v>5.7374777280221206E-17</v>
      </c>
      <c r="BF21" s="1">
        <f>_xlfn.XLOOKUP($B21,Sort_Alpha!$B$5:$B$47,Sort_Alpha!BF$5:BF$47,"",0)</f>
        <v>4.0415445813863256E-16</v>
      </c>
      <c r="BG21" s="1">
        <f>_xlfn.XLOOKUP($B21,Sort_Alpha!$B$5:$B$47,Sort_Alpha!BG$5:BG$47,"",0)</f>
        <v>4.7595584177088378E-15</v>
      </c>
      <c r="BH21" s="1">
        <f>_xlfn.XLOOKUP($B21,Sort_Alpha!$B$5:$B$47,Sort_Alpha!BH$5:BH$47,"",0)</f>
        <v>3.9243213369800215E-15</v>
      </c>
      <c r="BI21" s="1">
        <f>_xlfn.XLOOKUP($B21,Sort_Alpha!$B$5:$B$47,Sort_Alpha!BI$5:BI$47,"",0)</f>
        <v>3.9243213369800215E-15</v>
      </c>
      <c r="BJ21" s="1">
        <f>_xlfn.XLOOKUP($B21,Sort_Alpha!$B$5:$B$47,Sort_Alpha!BJ$5:BJ$47,"",0)</f>
        <v>3.9243213369800215E-15</v>
      </c>
      <c r="BK21" s="1">
        <f>_xlfn.XLOOKUP($B21,Sort_Alpha!$B$5:$B$47,Sort_Alpha!BK$5:BK$47,"",0)</f>
        <v>6.0626989727212773E-15</v>
      </c>
      <c r="BL21" s="1">
        <f>_xlfn.XLOOKUP($B21,Sort_Alpha!$B$5:$B$47,Sort_Alpha!BL$5:BL$47,"",0)</f>
        <v>4.7584442262171028E-15</v>
      </c>
      <c r="BM21" s="1">
        <f>_xlfn.XLOOKUP($B21,Sort_Alpha!$B$5:$B$47,Sort_Alpha!BM$5:BM$47,"",0)</f>
        <v>4.7319260435110387E-15</v>
      </c>
      <c r="BN21" s="1">
        <f>_xlfn.XLOOKUP($B21,Sort_Alpha!$B$5:$B$47,Sort_Alpha!BN$5:BN$47,"",0)</f>
        <v>4.7319260435110387E-15</v>
      </c>
      <c r="BO21" s="1">
        <f>_xlfn.XLOOKUP($B21,Sort_Alpha!$B$5:$B$47,Sort_Alpha!BO$5:BO$47,"",0)</f>
        <v>6.6349932983111245E-17</v>
      </c>
      <c r="BP21" s="1">
        <f>_xlfn.XLOOKUP($B21,Sort_Alpha!$B$5:$B$47,Sort_Alpha!BP$5:BP$47,"",0)</f>
        <v>6.6349932983111245E-17</v>
      </c>
      <c r="BQ21" s="1">
        <f>_xlfn.XLOOKUP($B21,Sort_Alpha!$B$5:$B$47,Sort_Alpha!BQ$5:BQ$47,"",0)</f>
        <v>0</v>
      </c>
      <c r="BR21" s="1">
        <f>_xlfn.XLOOKUP($B21,Sort_Alpha!$B$5:$B$47,Sort_Alpha!BR$5:BR$47,"",0)</f>
        <v>2.734483863373258E-16</v>
      </c>
      <c r="BS21" s="1">
        <f>_xlfn.XLOOKUP($B21,Sort_Alpha!$B$5:$B$47,Sort_Alpha!BS$5:BS$47,"",0)</f>
        <v>1.4535266801295678E-16</v>
      </c>
      <c r="BT21" s="1">
        <f>_xlfn.XLOOKUP($B21,Sort_Alpha!$B$5:$B$47,Sort_Alpha!BT$5:BT$47,"",0)</f>
        <v>6.7716041338916449E-17</v>
      </c>
      <c r="BU21" s="1">
        <f>_xlfn.XLOOKUP($B21,Sort_Alpha!$B$5:$B$47,Sort_Alpha!BU$5:BU$47,"",0)</f>
        <v>5.1497707093719844E-17</v>
      </c>
      <c r="BV21" s="1">
        <f>_xlfn.XLOOKUP($B21,Sort_Alpha!$B$5:$B$47,Sort_Alpha!BV$5:BV$47,"",0)</f>
        <v>9.4522026665528257E-16</v>
      </c>
      <c r="BW21" s="1">
        <f>_xlfn.XLOOKUP($B21,Sort_Alpha!$B$5:$B$47,Sort_Alpha!BW$5:BW$47,"",0)</f>
        <v>8.6048160449603694E-16</v>
      </c>
      <c r="BX21" s="1">
        <f>_xlfn.XLOOKUP($B21,Sort_Alpha!$B$5:$B$47,Sort_Alpha!BX$5:BX$47,"",0)</f>
        <v>8.6048160449603694E-16</v>
      </c>
      <c r="BY21" s="1">
        <f>_xlfn.XLOOKUP($B21,Sort_Alpha!$B$5:$B$47,Sort_Alpha!BY$5:BY$47,"",0)</f>
        <v>5.3859735996244844E-15</v>
      </c>
      <c r="BZ21" s="1">
        <f>_xlfn.XLOOKUP($B21,Sort_Alpha!$B$5:$B$47,Sort_Alpha!BZ$5:BZ$47,"",0)</f>
        <v>2.7984084077131321E-16</v>
      </c>
      <c r="CA21" s="1">
        <f>_xlfn.XLOOKUP($B21,Sort_Alpha!$B$5:$B$47,Sort_Alpha!CA$5:CA$47,"",0)</f>
        <v>2.5841268276618632E-16</v>
      </c>
      <c r="CB21" s="1">
        <f>_xlfn.XLOOKUP($B21,Sort_Alpha!$B$5:$B$47,Sort_Alpha!CB$5:CB$47,"",0)</f>
        <v>2.7089381625251529E-16</v>
      </c>
      <c r="CC21" s="1">
        <f>_xlfn.XLOOKUP($B21,Sort_Alpha!$B$5:$B$47,Sort_Alpha!CC$5:CC$47,"",0)</f>
        <v>4.5521422400044626E-16</v>
      </c>
    </row>
    <row r="22" spans="2:81" x14ac:dyDescent="0.15">
      <c r="B22" t="s">
        <v>14</v>
      </c>
      <c r="C22" s="1">
        <f>_xlfn.XLOOKUP($B22,Sort_Alpha!$B$5:$B$47,Sort_Alpha!C$5:C$47,"",0)</f>
        <v>9.0541608717781594E-16</v>
      </c>
      <c r="D22" s="1">
        <f>_xlfn.XLOOKUP($B22,Sort_Alpha!$B$5:$B$47,Sort_Alpha!D$5:D$47,"",0)</f>
        <v>7.0750095280687053E-16</v>
      </c>
      <c r="E22" s="1">
        <f>_xlfn.XLOOKUP($B22,Sort_Alpha!$B$5:$B$47,Sort_Alpha!E$5:E$47,"",0)</f>
        <v>1.3881312115203793E-16</v>
      </c>
      <c r="F22" s="1">
        <f>_xlfn.XLOOKUP($B22,Sort_Alpha!$B$5:$B$47,Sort_Alpha!F$5:F$47,"",0)</f>
        <v>2.9987889984437275E-15</v>
      </c>
      <c r="G22" s="1">
        <f>_xlfn.XLOOKUP($B22,Sort_Alpha!$B$5:$B$47,Sort_Alpha!G$5:G$47,"",0)</f>
        <v>5.2408954441546509E-18</v>
      </c>
      <c r="H22" s="1">
        <f>_xlfn.XLOOKUP($B22,Sort_Alpha!$B$5:$B$47,Sort_Alpha!H$5:H$47,"",0)</f>
        <v>1.1689763524694563E-16</v>
      </c>
      <c r="I22" s="1">
        <f>_xlfn.XLOOKUP($B22,Sort_Alpha!$B$5:$B$47,Sort_Alpha!I$5:I$47,"",0)</f>
        <v>7.7601131047358853E-17</v>
      </c>
      <c r="J22" s="1">
        <f>_xlfn.XLOOKUP($B22,Sort_Alpha!$B$5:$B$47,Sort_Alpha!J$5:J$47,"",0)</f>
        <v>7.7601131047358853E-17</v>
      </c>
      <c r="K22" s="1">
        <f>_xlfn.XLOOKUP($B22,Sort_Alpha!$B$5:$B$47,Sort_Alpha!K$5:K$47,"",0)</f>
        <v>7.7601131047358853E-17</v>
      </c>
      <c r="L22" s="1">
        <f>_xlfn.XLOOKUP($B22,Sort_Alpha!$B$5:$B$47,Sort_Alpha!L$5:L$47,"",0)</f>
        <v>1.3881312115203793E-16</v>
      </c>
      <c r="M22" s="1">
        <f>_xlfn.XLOOKUP($B22,Sort_Alpha!$B$5:$B$47,Sort_Alpha!M$5:M$47,"",0)</f>
        <v>1.3881312115203793E-16</v>
      </c>
      <c r="N22" s="1">
        <f>_xlfn.XLOOKUP($B22,Sort_Alpha!$B$5:$B$47,Sort_Alpha!N$5:N$47,"",0)</f>
        <v>1.3881312115203793E-16</v>
      </c>
      <c r="O22" s="1">
        <f>_xlfn.XLOOKUP($B22,Sort_Alpha!$B$5:$B$47,Sort_Alpha!O$5:O$47,"",0)</f>
        <v>8.468899757779016E-16</v>
      </c>
      <c r="P22" s="1">
        <f>_xlfn.XLOOKUP($B22,Sort_Alpha!$B$5:$B$47,Sort_Alpha!P$5:P$47,"",0)</f>
        <v>1.2194964650474826E-16</v>
      </c>
      <c r="Q22" s="1">
        <f>_xlfn.XLOOKUP($B22,Sort_Alpha!$B$5:$B$47,Sort_Alpha!Q$5:Q$47,"",0)</f>
        <v>5.1809735679684544E-16</v>
      </c>
      <c r="R22" s="1">
        <f>_xlfn.XLOOKUP($B22,Sort_Alpha!$B$5:$B$47,Sort_Alpha!R$5:R$47,"",0)</f>
        <v>5.1809735679684544E-16</v>
      </c>
      <c r="S22" s="1">
        <f>_xlfn.XLOOKUP($B22,Sort_Alpha!$B$5:$B$47,Sort_Alpha!S$5:S$47,"",0)</f>
        <v>1.9987729271278357E-17</v>
      </c>
      <c r="T22" s="1">
        <f>_xlfn.XLOOKUP($B22,Sort_Alpha!$B$5:$B$47,Sort_Alpha!T$5:T$47,"",0)</f>
        <v>1.3305639941191213E-17</v>
      </c>
      <c r="U22" s="1">
        <f>_xlfn.XLOOKUP($B22,Sort_Alpha!$B$5:$B$47,Sort_Alpha!U$5:U$47,"",0)</f>
        <v>1.3305639941191213E-17</v>
      </c>
      <c r="V22" s="1">
        <f>_xlfn.XLOOKUP($B22,Sort_Alpha!$B$5:$B$47,Sort_Alpha!V$5:V$47,"",0)</f>
        <v>1.3305639941191213E-17</v>
      </c>
      <c r="W22" s="1">
        <f>_xlfn.XLOOKUP($B22,Sort_Alpha!$B$5:$B$47,Sort_Alpha!W$5:W$47,"",0)</f>
        <v>1.3305639941191213E-17</v>
      </c>
      <c r="X22" s="1">
        <f>_xlfn.XLOOKUP($B22,Sort_Alpha!$B$5:$B$47,Sort_Alpha!X$5:X$47,"",0)</f>
        <v>1.3305639941191213E-17</v>
      </c>
      <c r="Y22" s="1">
        <f>_xlfn.XLOOKUP($B22,Sort_Alpha!$B$5:$B$47,Sort_Alpha!Y$5:Y$47,"",0)</f>
        <v>1.7175212991035341E-17</v>
      </c>
      <c r="Z22" s="1">
        <f>_xlfn.XLOOKUP($B22,Sort_Alpha!$B$5:$B$47,Sort_Alpha!Z$5:Z$47,"",0)</f>
        <v>8.9765963878419312E-16</v>
      </c>
      <c r="AA22" s="1">
        <f>_xlfn.XLOOKUP($B22,Sort_Alpha!$B$5:$B$47,Sort_Alpha!AA$5:AA$47,"",0)</f>
        <v>8.7808819986572913E-16</v>
      </c>
      <c r="AB22" s="1">
        <f>_xlfn.XLOOKUP($B22,Sort_Alpha!$B$5:$B$47,Sort_Alpha!AB$5:AB$47,"",0)</f>
        <v>1.9729919885591611E-16</v>
      </c>
      <c r="AC22" s="1">
        <f>_xlfn.XLOOKUP($B22,Sort_Alpha!$B$5:$B$47,Sort_Alpha!AC$5:AC$47,"",0)</f>
        <v>1.5182008149360123E-15</v>
      </c>
      <c r="AD22" s="1">
        <f>_xlfn.XLOOKUP($B22,Sort_Alpha!$B$5:$B$47,Sort_Alpha!AD$5:AD$47,"",0)</f>
        <v>4.8552527869950819E-14</v>
      </c>
      <c r="AE22" s="1">
        <f>_xlfn.XLOOKUP($B22,Sort_Alpha!$B$5:$B$47,Sort_Alpha!AE$5:AE$47,"",0)</f>
        <v>9.2163522657870527E-13</v>
      </c>
      <c r="AF22" s="1">
        <f>_xlfn.XLOOKUP($B22,Sort_Alpha!$B$5:$B$47,Sort_Alpha!AF$5:AF$47,"",0)</f>
        <v>2.2232722045852314E-13</v>
      </c>
      <c r="AG22" s="1">
        <f>_xlfn.XLOOKUP($B22,Sort_Alpha!$B$5:$B$47,Sort_Alpha!AG$5:AG$47,"",0)</f>
        <v>4.9492284684128955E-16</v>
      </c>
      <c r="AH22" s="1">
        <f>_xlfn.XLOOKUP($B22,Sort_Alpha!$B$5:$B$47,Sort_Alpha!AH$5:AH$47,"",0)</f>
        <v>1.3676476732956545E-16</v>
      </c>
      <c r="AI22" s="1">
        <f>_xlfn.XLOOKUP($B22,Sort_Alpha!$B$5:$B$47,Sort_Alpha!AI$5:AI$47,"",0)</f>
        <v>1.4230244435342635E-16</v>
      </c>
      <c r="AJ22" s="1">
        <f>_xlfn.XLOOKUP($B22,Sort_Alpha!$B$5:$B$47,Sort_Alpha!AJ$5:AJ$47,"",0)</f>
        <v>1.8683619978773248E-17</v>
      </c>
      <c r="AK22" s="1">
        <f>_xlfn.XLOOKUP($B22,Sort_Alpha!$B$5:$B$47,Sort_Alpha!AK$5:AK$47,"",0)</f>
        <v>3.6263058314565365E-15</v>
      </c>
      <c r="AL22" s="1">
        <f>_xlfn.XLOOKUP($B22,Sort_Alpha!$B$5:$B$47,Sort_Alpha!AL$5:AL$47,"",0)</f>
        <v>6.6011417665532295E-17</v>
      </c>
      <c r="AM22" s="1">
        <f>_xlfn.XLOOKUP($B22,Sort_Alpha!$B$5:$B$47,Sort_Alpha!AM$5:AM$47,"",0)</f>
        <v>9.2872063106252298E-16</v>
      </c>
      <c r="AN22" s="1">
        <f>_xlfn.XLOOKUP($B22,Sort_Alpha!$B$5:$B$47,Sort_Alpha!AN$5:AN$47,"",0)</f>
        <v>1.3144724253897759E-16</v>
      </c>
      <c r="AO22" s="1">
        <f>_xlfn.XLOOKUP($B22,Sort_Alpha!$B$5:$B$47,Sort_Alpha!AO$5:AO$47,"",0)</f>
        <v>1.3144724253897759E-16</v>
      </c>
      <c r="AP22" s="1">
        <f>_xlfn.XLOOKUP($B22,Sort_Alpha!$B$5:$B$47,Sort_Alpha!AP$5:AP$47,"",0)</f>
        <v>1.3144724253897759E-16</v>
      </c>
      <c r="AQ22" s="1">
        <f>_xlfn.XLOOKUP($B22,Sort_Alpha!$B$5:$B$47,Sort_Alpha!AQ$5:AQ$47,"",0)</f>
        <v>1.8791993022056306E-17</v>
      </c>
      <c r="AR22" s="1">
        <f>_xlfn.XLOOKUP($B22,Sort_Alpha!$B$5:$B$47,Sort_Alpha!AR$5:AR$47,"",0)</f>
        <v>1.8791993022056306E-17</v>
      </c>
      <c r="AS22" s="1">
        <f>_xlfn.XLOOKUP($B22,Sort_Alpha!$B$5:$B$47,Sort_Alpha!AS$5:AS$47,"",0)</f>
        <v>1.3018601042654967E-15</v>
      </c>
      <c r="AT22" s="1">
        <f>_xlfn.XLOOKUP($B22,Sort_Alpha!$B$5:$B$47,Sort_Alpha!AT$5:AT$47,"",0)</f>
        <v>1.7314327837707026E-15</v>
      </c>
      <c r="AU22" s="1">
        <f>_xlfn.XLOOKUP($B22,Sort_Alpha!$B$5:$B$47,Sort_Alpha!AU$5:AU$47,"",0)</f>
        <v>6.8785266385266083E-18</v>
      </c>
      <c r="AV22" s="1">
        <f>_xlfn.XLOOKUP($B22,Sort_Alpha!$B$5:$B$47,Sort_Alpha!AV$5:AV$47,"",0)</f>
        <v>0</v>
      </c>
      <c r="AW22" s="1">
        <f>_xlfn.XLOOKUP($B22,Sort_Alpha!$B$5:$B$47,Sort_Alpha!AW$5:AW$47,"",0)</f>
        <v>2.8030136849328765E-15</v>
      </c>
      <c r="AX22" s="1">
        <f>_xlfn.XLOOKUP($B22,Sort_Alpha!$B$5:$B$47,Sort_Alpha!AX$5:AX$47,"",0)</f>
        <v>2.2187203397172011E-15</v>
      </c>
      <c r="AY22" s="1">
        <f>_xlfn.XLOOKUP($B22,Sort_Alpha!$B$5:$B$47,Sort_Alpha!AY$5:AY$47,"",0)</f>
        <v>2.2187203397172011E-15</v>
      </c>
      <c r="AZ22" s="1">
        <f>_xlfn.XLOOKUP($B22,Sort_Alpha!$B$5:$B$47,Sort_Alpha!AZ$5:AZ$47,"",0)</f>
        <v>1.41739127438446E-15</v>
      </c>
      <c r="BA22" s="1">
        <f>_xlfn.XLOOKUP($B22,Sort_Alpha!$B$5:$B$47,Sort_Alpha!BA$5:BA$47,"",0)</f>
        <v>1.3700259825267549E-16</v>
      </c>
      <c r="BB22" s="1">
        <f>_xlfn.XLOOKUP($B22,Sort_Alpha!$B$5:$B$47,Sort_Alpha!BB$5:BB$47,"",0)</f>
        <v>2.5421984545977701E-15</v>
      </c>
      <c r="BC22" s="1">
        <f>_xlfn.XLOOKUP($B22,Sort_Alpha!$B$5:$B$47,Sort_Alpha!BC$5:BC$47,"",0)</f>
        <v>2.8259334642739852E-15</v>
      </c>
      <c r="BD22" s="1">
        <f>_xlfn.XLOOKUP($B22,Sort_Alpha!$B$5:$B$47,Sort_Alpha!BD$5:BD$47,"",0)</f>
        <v>2.8259334642739852E-15</v>
      </c>
      <c r="BE22" s="1">
        <f>_xlfn.XLOOKUP($B22,Sort_Alpha!$B$5:$B$47,Sort_Alpha!BE$5:BE$47,"",0)</f>
        <v>1.4284941483117881E-17</v>
      </c>
      <c r="BF22" s="1">
        <f>_xlfn.XLOOKUP($B22,Sort_Alpha!$B$5:$B$47,Sort_Alpha!BF$5:BF$47,"",0)</f>
        <v>3.8304001657523597E-16</v>
      </c>
      <c r="BG22" s="1">
        <f>_xlfn.XLOOKUP($B22,Sort_Alpha!$B$5:$B$47,Sort_Alpha!BG$5:BG$47,"",0)</f>
        <v>5.1708755185578961E-15</v>
      </c>
      <c r="BH22" s="1">
        <f>_xlfn.XLOOKUP($B22,Sort_Alpha!$B$5:$B$47,Sort_Alpha!BH$5:BH$47,"",0)</f>
        <v>7.2257548875925971E-15</v>
      </c>
      <c r="BI22" s="1">
        <f>_xlfn.XLOOKUP($B22,Sort_Alpha!$B$5:$B$47,Sort_Alpha!BI$5:BI$47,"",0)</f>
        <v>7.2257548875925971E-15</v>
      </c>
      <c r="BJ22" s="1">
        <f>_xlfn.XLOOKUP($B22,Sort_Alpha!$B$5:$B$47,Sort_Alpha!BJ$5:BJ$47,"",0)</f>
        <v>7.2257548875925971E-15</v>
      </c>
      <c r="BK22" s="1">
        <f>_xlfn.XLOOKUP($B22,Sort_Alpha!$B$5:$B$47,Sort_Alpha!BK$5:BK$47,"",0)</f>
        <v>6.3589273062341495E-16</v>
      </c>
      <c r="BL22" s="1">
        <f>_xlfn.XLOOKUP($B22,Sort_Alpha!$B$5:$B$47,Sort_Alpha!BL$5:BL$47,"",0)</f>
        <v>1.1003912945966571E-15</v>
      </c>
      <c r="BM22" s="1">
        <f>_xlfn.XLOOKUP($B22,Sort_Alpha!$B$5:$B$47,Sort_Alpha!BM$5:BM$47,"",0)</f>
        <v>1.4485953462150394E-15</v>
      </c>
      <c r="BN22" s="1">
        <f>_xlfn.XLOOKUP($B22,Sort_Alpha!$B$5:$B$47,Sort_Alpha!BN$5:BN$47,"",0)</f>
        <v>1.4485953462150394E-15</v>
      </c>
      <c r="BO22" s="1">
        <f>_xlfn.XLOOKUP($B22,Sort_Alpha!$B$5:$B$47,Sort_Alpha!BO$5:BO$47,"",0)</f>
        <v>1.9107871014912503E-17</v>
      </c>
      <c r="BP22" s="1">
        <f>_xlfn.XLOOKUP($B22,Sort_Alpha!$B$5:$B$47,Sort_Alpha!BP$5:BP$47,"",0)</f>
        <v>1.9107871014912503E-17</v>
      </c>
      <c r="BQ22" s="1">
        <f>_xlfn.XLOOKUP($B22,Sort_Alpha!$B$5:$B$47,Sort_Alpha!BQ$5:BQ$47,"",0)</f>
        <v>0</v>
      </c>
      <c r="BR22" s="1">
        <f>_xlfn.XLOOKUP($B22,Sort_Alpha!$B$5:$B$47,Sort_Alpha!BR$5:BR$47,"",0)</f>
        <v>5.5509857109181941E-17</v>
      </c>
      <c r="BS22" s="1">
        <f>_xlfn.XLOOKUP($B22,Sort_Alpha!$B$5:$B$47,Sort_Alpha!BS$5:BS$47,"",0)</f>
        <v>2.9907848017242933E-17</v>
      </c>
      <c r="BT22" s="1">
        <f>_xlfn.XLOOKUP($B22,Sort_Alpha!$B$5:$B$47,Sort_Alpha!BT$5:BT$47,"",0)</f>
        <v>1.769709854748975E-17</v>
      </c>
      <c r="BU22" s="1">
        <f>_xlfn.XLOOKUP($B22,Sort_Alpha!$B$5:$B$47,Sort_Alpha!BU$5:BU$47,"",0)</f>
        <v>1.4002307775344577E-17</v>
      </c>
      <c r="BV22" s="1">
        <f>_xlfn.XLOOKUP($B22,Sort_Alpha!$B$5:$B$47,Sort_Alpha!BV$5:BV$47,"",0)</f>
        <v>9.2525398658610175E-16</v>
      </c>
      <c r="BW22" s="1">
        <f>_xlfn.XLOOKUP($B22,Sort_Alpha!$B$5:$B$47,Sort_Alpha!BW$5:BW$47,"",0)</f>
        <v>7.3565445841520055E-16</v>
      </c>
      <c r="BX22" s="1">
        <f>_xlfn.XLOOKUP($B22,Sort_Alpha!$B$5:$B$47,Sort_Alpha!BX$5:BX$47,"",0)</f>
        <v>7.3565445841520055E-16</v>
      </c>
      <c r="BY22" s="1">
        <f>_xlfn.XLOOKUP($B22,Sort_Alpha!$B$5:$B$47,Sort_Alpha!BY$5:BY$47,"",0)</f>
        <v>5.1551482620375943E-15</v>
      </c>
      <c r="BZ22" s="1">
        <f>_xlfn.XLOOKUP($B22,Sort_Alpha!$B$5:$B$47,Sort_Alpha!BZ$5:BZ$47,"",0)</f>
        <v>2.4133446734653569E-15</v>
      </c>
      <c r="CA22" s="1">
        <f>_xlfn.XLOOKUP($B22,Sort_Alpha!$B$5:$B$47,Sort_Alpha!CA$5:CA$47,"",0)</f>
        <v>2.1612115832933925E-15</v>
      </c>
      <c r="CB22" s="1">
        <f>_xlfn.XLOOKUP($B22,Sort_Alpha!$B$5:$B$47,Sort_Alpha!CB$5:CB$47,"",0)</f>
        <v>1.5970026165774927E-15</v>
      </c>
      <c r="CC22" s="1">
        <f>_xlfn.XLOOKUP($B22,Sort_Alpha!$B$5:$B$47,Sort_Alpha!CC$5:CC$47,"",0)</f>
        <v>5.651405314605415E-16</v>
      </c>
    </row>
    <row r="23" spans="2:81" x14ac:dyDescent="0.15">
      <c r="B23" t="s">
        <v>15</v>
      </c>
      <c r="C23" s="1">
        <f>_xlfn.XLOOKUP($B23,Sort_Alpha!$B$5:$B$47,Sort_Alpha!C$5:C$47,"",0)</f>
        <v>5.3996584598393056E-16</v>
      </c>
      <c r="D23" s="1">
        <f>_xlfn.XLOOKUP($B23,Sort_Alpha!$B$5:$B$47,Sort_Alpha!D$5:D$47,"",0)</f>
        <v>9.0852076398386894E-15</v>
      </c>
      <c r="E23" s="1">
        <f>_xlfn.XLOOKUP($B23,Sort_Alpha!$B$5:$B$47,Sort_Alpha!E$5:E$47,"",0)</f>
        <v>2.4445934875350403E-15</v>
      </c>
      <c r="F23" s="1">
        <f>_xlfn.XLOOKUP($B23,Sort_Alpha!$B$5:$B$47,Sort_Alpha!F$5:F$47,"",0)</f>
        <v>4.3382896817495205E-15</v>
      </c>
      <c r="G23" s="1">
        <f>_xlfn.XLOOKUP($B23,Sort_Alpha!$B$5:$B$47,Sort_Alpha!G$5:G$47,"",0)</f>
        <v>4.5756144705482849E-17</v>
      </c>
      <c r="H23" s="1">
        <f>_xlfn.XLOOKUP($B23,Sort_Alpha!$B$5:$B$47,Sort_Alpha!H$5:H$47,"",0)</f>
        <v>1.4725423751099522E-15</v>
      </c>
      <c r="I23" s="1">
        <f>_xlfn.XLOOKUP($B23,Sort_Alpha!$B$5:$B$47,Sort_Alpha!I$5:I$47,"",0)</f>
        <v>1.1028105294144092E-15</v>
      </c>
      <c r="J23" s="1">
        <f>_xlfn.XLOOKUP($B23,Sort_Alpha!$B$5:$B$47,Sort_Alpha!J$5:J$47,"",0)</f>
        <v>1.1028105294144092E-15</v>
      </c>
      <c r="K23" s="1">
        <f>_xlfn.XLOOKUP($B23,Sort_Alpha!$B$5:$B$47,Sort_Alpha!K$5:K$47,"",0)</f>
        <v>1.1028105294144092E-15</v>
      </c>
      <c r="L23" s="1">
        <f>_xlfn.XLOOKUP($B23,Sort_Alpha!$B$5:$B$47,Sort_Alpha!L$5:L$47,"",0)</f>
        <v>2.4445934875350403E-15</v>
      </c>
      <c r="M23" s="1">
        <f>_xlfn.XLOOKUP($B23,Sort_Alpha!$B$5:$B$47,Sort_Alpha!M$5:M$47,"",0)</f>
        <v>2.4445934875350403E-15</v>
      </c>
      <c r="N23" s="1">
        <f>_xlfn.XLOOKUP($B23,Sort_Alpha!$B$5:$B$47,Sort_Alpha!N$5:N$47,"",0)</f>
        <v>2.4445934875350403E-15</v>
      </c>
      <c r="O23" s="1">
        <f>_xlfn.XLOOKUP($B23,Sort_Alpha!$B$5:$B$47,Sort_Alpha!O$5:O$47,"",0)</f>
        <v>9.5179385509509691E-16</v>
      </c>
      <c r="P23" s="1">
        <f>_xlfn.XLOOKUP($B23,Sort_Alpha!$B$5:$B$47,Sort_Alpha!P$5:P$47,"",0)</f>
        <v>1.5857079842608906E-16</v>
      </c>
      <c r="Q23" s="1">
        <f>_xlfn.XLOOKUP($B23,Sort_Alpha!$B$5:$B$47,Sort_Alpha!Q$5:Q$47,"",0)</f>
        <v>5.166010405990281E-16</v>
      </c>
      <c r="R23" s="1">
        <f>_xlfn.XLOOKUP($B23,Sort_Alpha!$B$5:$B$47,Sort_Alpha!R$5:R$47,"",0)</f>
        <v>5.166010405990281E-16</v>
      </c>
      <c r="S23" s="1">
        <f>_xlfn.XLOOKUP($B23,Sort_Alpha!$B$5:$B$47,Sort_Alpha!S$5:S$47,"",0)</f>
        <v>1.3233640371921278E-16</v>
      </c>
      <c r="T23" s="1">
        <f>_xlfn.XLOOKUP($B23,Sort_Alpha!$B$5:$B$47,Sort_Alpha!T$5:T$47,"",0)</f>
        <v>1.4422003348964166E-16</v>
      </c>
      <c r="U23" s="1">
        <f>_xlfn.XLOOKUP($B23,Sort_Alpha!$B$5:$B$47,Sort_Alpha!U$5:U$47,"",0)</f>
        <v>1.4422003348964166E-16</v>
      </c>
      <c r="V23" s="1">
        <f>_xlfn.XLOOKUP($B23,Sort_Alpha!$B$5:$B$47,Sort_Alpha!V$5:V$47,"",0)</f>
        <v>1.4422003348964166E-16</v>
      </c>
      <c r="W23" s="1">
        <f>_xlfn.XLOOKUP($B23,Sort_Alpha!$B$5:$B$47,Sort_Alpha!W$5:W$47,"",0)</f>
        <v>1.4422003348964166E-16</v>
      </c>
      <c r="X23" s="1">
        <f>_xlfn.XLOOKUP($B23,Sort_Alpha!$B$5:$B$47,Sort_Alpha!X$5:X$47,"",0)</f>
        <v>1.4422003348964166E-16</v>
      </c>
      <c r="Y23" s="1">
        <f>_xlfn.XLOOKUP($B23,Sort_Alpha!$B$5:$B$47,Sort_Alpha!Y$5:Y$47,"",0)</f>
        <v>1.0531584201831886E-16</v>
      </c>
      <c r="Z23" s="1">
        <f>_xlfn.XLOOKUP($B23,Sort_Alpha!$B$5:$B$47,Sort_Alpha!Z$5:Z$47,"",0)</f>
        <v>1.2285012659516069E-14</v>
      </c>
      <c r="AA23" s="1">
        <f>_xlfn.XLOOKUP($B23,Sort_Alpha!$B$5:$B$47,Sort_Alpha!AA$5:AA$47,"",0)</f>
        <v>1.4810656188158839E-14</v>
      </c>
      <c r="AB23" s="1">
        <f>_xlfn.XLOOKUP($B23,Sort_Alpha!$B$5:$B$47,Sort_Alpha!AB$5:AB$47,"",0)</f>
        <v>2.8648293743923655E-15</v>
      </c>
      <c r="AC23" s="1">
        <f>_xlfn.XLOOKUP($B23,Sort_Alpha!$B$5:$B$47,Sort_Alpha!AC$5:AC$47,"",0)</f>
        <v>4.3138109258456688E-15</v>
      </c>
      <c r="AD23" s="1">
        <f>_xlfn.XLOOKUP($B23,Sort_Alpha!$B$5:$B$47,Sort_Alpha!AD$5:AD$47,"",0)</f>
        <v>5.0216944187771283E-16</v>
      </c>
      <c r="AE23" s="1">
        <f>_xlfn.XLOOKUP($B23,Sort_Alpha!$B$5:$B$47,Sort_Alpha!AE$5:AE$47,"",0)</f>
        <v>4.9170761228134165E-16</v>
      </c>
      <c r="AF23" s="1">
        <f>_xlfn.XLOOKUP($B23,Sort_Alpha!$B$5:$B$47,Sort_Alpha!AF$5:AF$47,"",0)</f>
        <v>4.9170761228134165E-16</v>
      </c>
      <c r="AG23" s="1">
        <f>_xlfn.XLOOKUP($B23,Sort_Alpha!$B$5:$B$47,Sort_Alpha!AG$5:AG$47,"",0)</f>
        <v>3.4145809680727754E-14</v>
      </c>
      <c r="AH23" s="1">
        <f>_xlfn.XLOOKUP($B23,Sort_Alpha!$B$5:$B$47,Sort_Alpha!AH$5:AH$47,"",0)</f>
        <v>2.3998300626419616E-15</v>
      </c>
      <c r="AI23" s="1">
        <f>_xlfn.XLOOKUP($B23,Sort_Alpha!$B$5:$B$47,Sort_Alpha!AI$5:AI$47,"",0)</f>
        <v>2.4197117669007143E-15</v>
      </c>
      <c r="AJ23" s="1">
        <f>_xlfn.XLOOKUP($B23,Sort_Alpha!$B$5:$B$47,Sort_Alpha!AJ$5:AJ$47,"",0)</f>
        <v>2.0182017801608746E-16</v>
      </c>
      <c r="AK23" s="1">
        <f>_xlfn.XLOOKUP($B23,Sort_Alpha!$B$5:$B$47,Sort_Alpha!AK$5:AK$47,"",0)</f>
        <v>1.5095529980792086E-15</v>
      </c>
      <c r="AL23" s="1">
        <f>_xlfn.XLOOKUP($B23,Sort_Alpha!$B$5:$B$47,Sort_Alpha!AL$5:AL$47,"",0)</f>
        <v>9.7390892665271949E-16</v>
      </c>
      <c r="AM23" s="1">
        <f>_xlfn.XLOOKUP($B23,Sort_Alpha!$B$5:$B$47,Sort_Alpha!AM$5:AM$47,"",0)</f>
        <v>5.2692868787070044E-16</v>
      </c>
      <c r="AN23" s="1">
        <f>_xlfn.XLOOKUP($B23,Sort_Alpha!$B$5:$B$47,Sort_Alpha!AN$5:AN$47,"",0)</f>
        <v>2.4347099753639971E-15</v>
      </c>
      <c r="AO23" s="1">
        <f>_xlfn.XLOOKUP($B23,Sort_Alpha!$B$5:$B$47,Sort_Alpha!AO$5:AO$47,"",0)</f>
        <v>2.4347099753639971E-15</v>
      </c>
      <c r="AP23" s="1">
        <f>_xlfn.XLOOKUP($B23,Sort_Alpha!$B$5:$B$47,Sort_Alpha!AP$5:AP$47,"",0)</f>
        <v>2.4347099753639971E-15</v>
      </c>
      <c r="AQ23" s="1">
        <f>_xlfn.XLOOKUP($B23,Sort_Alpha!$B$5:$B$47,Sort_Alpha!AQ$5:AQ$47,"",0)</f>
        <v>1.7251890661887423E-16</v>
      </c>
      <c r="AR23" s="1">
        <f>_xlfn.XLOOKUP($B23,Sort_Alpha!$B$5:$B$47,Sort_Alpha!AR$5:AR$47,"",0)</f>
        <v>1.7251890661887423E-16</v>
      </c>
      <c r="AS23" s="1">
        <f>_xlfn.XLOOKUP($B23,Sort_Alpha!$B$5:$B$47,Sort_Alpha!AS$5:AS$47,"",0)</f>
        <v>1.1128820786797912E-16</v>
      </c>
      <c r="AT23" s="1">
        <f>_xlfn.XLOOKUP($B23,Sort_Alpha!$B$5:$B$47,Sort_Alpha!AT$5:AT$47,"",0)</f>
        <v>5.4366237358117849E-15</v>
      </c>
      <c r="AU23" s="1">
        <f>_xlfn.XLOOKUP($B23,Sort_Alpha!$B$5:$B$47,Sort_Alpha!AU$5:AU$47,"",0)</f>
        <v>6.9130940724026318E-17</v>
      </c>
      <c r="AV23" s="1">
        <f>_xlfn.XLOOKUP($B23,Sort_Alpha!$B$5:$B$47,Sort_Alpha!AV$5:AV$47,"",0)</f>
        <v>0</v>
      </c>
      <c r="AW23" s="1">
        <f>_xlfn.XLOOKUP($B23,Sort_Alpha!$B$5:$B$47,Sort_Alpha!AW$5:AW$47,"",0)</f>
        <v>1.359911780398492E-16</v>
      </c>
      <c r="AX23" s="1">
        <f>_xlfn.XLOOKUP($B23,Sort_Alpha!$B$5:$B$47,Sort_Alpha!AX$5:AX$47,"",0)</f>
        <v>1.1783325538726702E-16</v>
      </c>
      <c r="AY23" s="1">
        <f>_xlfn.XLOOKUP($B23,Sort_Alpha!$B$5:$B$47,Sort_Alpha!AY$5:AY$47,"",0)</f>
        <v>1.1783325538726702E-16</v>
      </c>
      <c r="AZ23" s="1">
        <f>_xlfn.XLOOKUP($B23,Sort_Alpha!$B$5:$B$47,Sort_Alpha!AZ$5:AZ$47,"",0)</f>
        <v>1.5509603092193324E-15</v>
      </c>
      <c r="BA23" s="1">
        <f>_xlfn.XLOOKUP($B23,Sort_Alpha!$B$5:$B$47,Sort_Alpha!BA$5:BA$47,"",0)</f>
        <v>2.4086196491368427E-15</v>
      </c>
      <c r="BB23" s="1">
        <f>_xlfn.XLOOKUP($B23,Sort_Alpha!$B$5:$B$47,Sort_Alpha!BB$5:BB$47,"",0)</f>
        <v>1.236702827511347E-15</v>
      </c>
      <c r="BC23" s="1">
        <f>_xlfn.XLOOKUP($B23,Sort_Alpha!$B$5:$B$47,Sort_Alpha!BC$5:BC$47,"",0)</f>
        <v>1.2864636654240336E-15</v>
      </c>
      <c r="BD23" s="1">
        <f>_xlfn.XLOOKUP($B23,Sort_Alpha!$B$5:$B$47,Sort_Alpha!BD$5:BD$47,"",0)</f>
        <v>1.2864636654240336E-15</v>
      </c>
      <c r="BE23" s="1">
        <f>_xlfn.XLOOKUP($B23,Sort_Alpha!$B$5:$B$47,Sort_Alpha!BE$5:BE$47,"",0)</f>
        <v>1.3879585023665326E-16</v>
      </c>
      <c r="BF23" s="1">
        <f>_xlfn.XLOOKUP($B23,Sort_Alpha!$B$5:$B$47,Sort_Alpha!BF$5:BF$47,"",0)</f>
        <v>4.2433356870090937E-16</v>
      </c>
      <c r="BG23" s="1">
        <f>_xlfn.XLOOKUP($B23,Sort_Alpha!$B$5:$B$47,Sort_Alpha!BG$5:BG$47,"",0)</f>
        <v>1.7378840792093592E-15</v>
      </c>
      <c r="BH23" s="1">
        <f>_xlfn.XLOOKUP($B23,Sort_Alpha!$B$5:$B$47,Sort_Alpha!BH$5:BH$47,"",0)</f>
        <v>1.4969759637183906E-15</v>
      </c>
      <c r="BI23" s="1">
        <f>_xlfn.XLOOKUP($B23,Sort_Alpha!$B$5:$B$47,Sort_Alpha!BI$5:BI$47,"",0)</f>
        <v>1.4969759637183906E-15</v>
      </c>
      <c r="BJ23" s="1">
        <f>_xlfn.XLOOKUP($B23,Sort_Alpha!$B$5:$B$47,Sort_Alpha!BJ$5:BJ$47,"",0)</f>
        <v>1.4969759637183906E-15</v>
      </c>
      <c r="BK23" s="1">
        <f>_xlfn.XLOOKUP($B23,Sort_Alpha!$B$5:$B$47,Sort_Alpha!BK$5:BK$47,"",0)</f>
        <v>1.9513305408975722E-15</v>
      </c>
      <c r="BL23" s="1">
        <f>_xlfn.XLOOKUP($B23,Sort_Alpha!$B$5:$B$47,Sort_Alpha!BL$5:BL$47,"",0)</f>
        <v>4.2116164166231155E-15</v>
      </c>
      <c r="BM23" s="1">
        <f>_xlfn.XLOOKUP($B23,Sort_Alpha!$B$5:$B$47,Sort_Alpha!BM$5:BM$47,"",0)</f>
        <v>4.5673322633508401E-15</v>
      </c>
      <c r="BN23" s="1">
        <f>_xlfn.XLOOKUP($B23,Sort_Alpha!$B$5:$B$47,Sort_Alpha!BN$5:BN$47,"",0)</f>
        <v>4.5673322633508401E-15</v>
      </c>
      <c r="BO23" s="1">
        <f>_xlfn.XLOOKUP($B23,Sort_Alpha!$B$5:$B$47,Sort_Alpha!BO$5:BO$47,"",0)</f>
        <v>1.6650397212470733E-16</v>
      </c>
      <c r="BP23" s="1">
        <f>_xlfn.XLOOKUP($B23,Sort_Alpha!$B$5:$B$47,Sort_Alpha!BP$5:BP$47,"",0)</f>
        <v>1.6650397212470733E-16</v>
      </c>
      <c r="BQ23" s="1">
        <f>_xlfn.XLOOKUP($B23,Sort_Alpha!$B$5:$B$47,Sort_Alpha!BQ$5:BQ$47,"",0)</f>
        <v>0</v>
      </c>
      <c r="BR23" s="1">
        <f>_xlfn.XLOOKUP($B23,Sort_Alpha!$B$5:$B$47,Sort_Alpha!BR$5:BR$47,"",0)</f>
        <v>7.9281239694373288E-16</v>
      </c>
      <c r="BS23" s="1">
        <f>_xlfn.XLOOKUP($B23,Sort_Alpha!$B$5:$B$47,Sort_Alpha!BS$5:BS$47,"",0)</f>
        <v>3.843738029258412E-16</v>
      </c>
      <c r="BT23" s="1">
        <f>_xlfn.XLOOKUP($B23,Sort_Alpha!$B$5:$B$47,Sort_Alpha!BT$5:BT$47,"",0)</f>
        <v>1.7131157817362275E-16</v>
      </c>
      <c r="BU23" s="1">
        <f>_xlfn.XLOOKUP($B23,Sort_Alpha!$B$5:$B$47,Sort_Alpha!BU$5:BU$47,"",0)</f>
        <v>1.3225870935328521E-16</v>
      </c>
      <c r="BV23" s="1">
        <f>_xlfn.XLOOKUP($B23,Sort_Alpha!$B$5:$B$47,Sort_Alpha!BV$5:BV$47,"",0)</f>
        <v>8.4423898928589261E-16</v>
      </c>
      <c r="BW23" s="1">
        <f>_xlfn.XLOOKUP($B23,Sort_Alpha!$B$5:$B$47,Sort_Alpha!BW$5:BW$47,"",0)</f>
        <v>5.9783040476455433E-16</v>
      </c>
      <c r="BX23" s="1">
        <f>_xlfn.XLOOKUP($B23,Sort_Alpha!$B$5:$B$47,Sort_Alpha!BX$5:BX$47,"",0)</f>
        <v>5.9783040476455433E-16</v>
      </c>
      <c r="BY23" s="1">
        <f>_xlfn.XLOOKUP($B23,Sort_Alpha!$B$5:$B$47,Sort_Alpha!BY$5:BY$47,"",0)</f>
        <v>1.4777240014360467E-15</v>
      </c>
      <c r="BZ23" s="1">
        <f>_xlfn.XLOOKUP($B23,Sort_Alpha!$B$5:$B$47,Sort_Alpha!BZ$5:BZ$47,"",0)</f>
        <v>1.2380568259980513E-16</v>
      </c>
      <c r="CA23" s="1">
        <f>_xlfn.XLOOKUP($B23,Sort_Alpha!$B$5:$B$47,Sort_Alpha!CA$5:CA$47,"",0)</f>
        <v>1.1304660113864696E-16</v>
      </c>
      <c r="CB23" s="1">
        <f>_xlfn.XLOOKUP($B23,Sort_Alpha!$B$5:$B$47,Sort_Alpha!CB$5:CB$47,"",0)</f>
        <v>1.1036150635740474E-16</v>
      </c>
      <c r="CC23" s="1">
        <f>_xlfn.XLOOKUP($B23,Sort_Alpha!$B$5:$B$47,Sort_Alpha!CC$5:CC$47,"",0)</f>
        <v>3.9771729217281908E-16</v>
      </c>
    </row>
    <row r="24" spans="2:81" x14ac:dyDescent="0.15">
      <c r="C24" s="1" t="str">
        <f>_xlfn.XLOOKUP($B24,Sort_Alpha!$B$5:$B$47,Sort_Alpha!C$5:C$47,"",0)</f>
        <v/>
      </c>
      <c r="D24" s="1" t="str">
        <f>_xlfn.XLOOKUP($B24,Sort_Alpha!$B$5:$B$47,Sort_Alpha!D$5:D$47,"",0)</f>
        <v/>
      </c>
      <c r="E24" s="1" t="str">
        <f>_xlfn.XLOOKUP($B24,Sort_Alpha!$B$5:$B$47,Sort_Alpha!E$5:E$47,"",0)</f>
        <v/>
      </c>
      <c r="F24" s="1" t="str">
        <f>_xlfn.XLOOKUP($B24,Sort_Alpha!$B$5:$B$47,Sort_Alpha!F$5:F$47,"",0)</f>
        <v/>
      </c>
      <c r="G24" s="1" t="str">
        <f>_xlfn.XLOOKUP($B24,Sort_Alpha!$B$5:$B$47,Sort_Alpha!G$5:G$47,"",0)</f>
        <v/>
      </c>
      <c r="H24" s="1" t="str">
        <f>_xlfn.XLOOKUP($B24,Sort_Alpha!$B$5:$B$47,Sort_Alpha!H$5:H$47,"",0)</f>
        <v/>
      </c>
      <c r="I24" s="1" t="str">
        <f>_xlfn.XLOOKUP($B24,Sort_Alpha!$B$5:$B$47,Sort_Alpha!I$5:I$47,"",0)</f>
        <v/>
      </c>
      <c r="J24" s="1" t="str">
        <f>_xlfn.XLOOKUP($B24,Sort_Alpha!$B$5:$B$47,Sort_Alpha!J$5:J$47,"",0)</f>
        <v/>
      </c>
      <c r="K24" s="1" t="str">
        <f>_xlfn.XLOOKUP($B24,Sort_Alpha!$B$5:$B$47,Sort_Alpha!K$5:K$47,"",0)</f>
        <v/>
      </c>
      <c r="L24" s="1" t="str">
        <f>_xlfn.XLOOKUP($B24,Sort_Alpha!$B$5:$B$47,Sort_Alpha!L$5:L$47,"",0)</f>
        <v/>
      </c>
      <c r="M24" s="1" t="str">
        <f>_xlfn.XLOOKUP($B24,Sort_Alpha!$B$5:$B$47,Sort_Alpha!M$5:M$47,"",0)</f>
        <v/>
      </c>
      <c r="N24" s="1" t="str">
        <f>_xlfn.XLOOKUP($B24,Sort_Alpha!$B$5:$B$47,Sort_Alpha!N$5:N$47,"",0)</f>
        <v/>
      </c>
      <c r="O24" s="1" t="str">
        <f>_xlfn.XLOOKUP($B24,Sort_Alpha!$B$5:$B$47,Sort_Alpha!O$5:O$47,"",0)</f>
        <v/>
      </c>
      <c r="P24" s="1" t="str">
        <f>_xlfn.XLOOKUP($B24,Sort_Alpha!$B$5:$B$47,Sort_Alpha!P$5:P$47,"",0)</f>
        <v/>
      </c>
      <c r="Q24" s="1" t="str">
        <f>_xlfn.XLOOKUP($B24,Sort_Alpha!$B$5:$B$47,Sort_Alpha!Q$5:Q$47,"",0)</f>
        <v/>
      </c>
      <c r="R24" s="1" t="str">
        <f>_xlfn.XLOOKUP($B24,Sort_Alpha!$B$5:$B$47,Sort_Alpha!R$5:R$47,"",0)</f>
        <v/>
      </c>
      <c r="S24" s="1" t="str">
        <f>_xlfn.XLOOKUP($B24,Sort_Alpha!$B$5:$B$47,Sort_Alpha!S$5:S$47,"",0)</f>
        <v/>
      </c>
      <c r="T24" s="1" t="str">
        <f>_xlfn.XLOOKUP($B24,Sort_Alpha!$B$5:$B$47,Sort_Alpha!T$5:T$47,"",0)</f>
        <v/>
      </c>
      <c r="U24" s="1" t="str">
        <f>_xlfn.XLOOKUP($B24,Sort_Alpha!$B$5:$B$47,Sort_Alpha!U$5:U$47,"",0)</f>
        <v/>
      </c>
      <c r="V24" s="1" t="str">
        <f>_xlfn.XLOOKUP($B24,Sort_Alpha!$B$5:$B$47,Sort_Alpha!V$5:V$47,"",0)</f>
        <v/>
      </c>
      <c r="W24" s="1" t="str">
        <f>_xlfn.XLOOKUP($B24,Sort_Alpha!$B$5:$B$47,Sort_Alpha!W$5:W$47,"",0)</f>
        <v/>
      </c>
      <c r="X24" s="1" t="str">
        <f>_xlfn.XLOOKUP($B24,Sort_Alpha!$B$5:$B$47,Sort_Alpha!X$5:X$47,"",0)</f>
        <v/>
      </c>
      <c r="Y24" s="1" t="str">
        <f>_xlfn.XLOOKUP($B24,Sort_Alpha!$B$5:$B$47,Sort_Alpha!Y$5:Y$47,"",0)</f>
        <v/>
      </c>
      <c r="Z24" s="1" t="str">
        <f>_xlfn.XLOOKUP($B24,Sort_Alpha!$B$5:$B$47,Sort_Alpha!Z$5:Z$47,"",0)</f>
        <v/>
      </c>
      <c r="AA24" s="1" t="str">
        <f>_xlfn.XLOOKUP($B24,Sort_Alpha!$B$5:$B$47,Sort_Alpha!AA$5:AA$47,"",0)</f>
        <v/>
      </c>
      <c r="AB24" s="1" t="str">
        <f>_xlfn.XLOOKUP($B24,Sort_Alpha!$B$5:$B$47,Sort_Alpha!AB$5:AB$47,"",0)</f>
        <v/>
      </c>
      <c r="AC24" s="1" t="str">
        <f>_xlfn.XLOOKUP($B24,Sort_Alpha!$B$5:$B$47,Sort_Alpha!AC$5:AC$47,"",0)</f>
        <v/>
      </c>
      <c r="AD24" s="1" t="str">
        <f>_xlfn.XLOOKUP($B24,Sort_Alpha!$B$5:$B$47,Sort_Alpha!AD$5:AD$47,"",0)</f>
        <v/>
      </c>
      <c r="AE24" s="1" t="str">
        <f>_xlfn.XLOOKUP($B24,Sort_Alpha!$B$5:$B$47,Sort_Alpha!AE$5:AE$47,"",0)</f>
        <v/>
      </c>
      <c r="AF24" s="1" t="str">
        <f>_xlfn.XLOOKUP($B24,Sort_Alpha!$B$5:$B$47,Sort_Alpha!AF$5:AF$47,"",0)</f>
        <v/>
      </c>
      <c r="AG24" s="1" t="str">
        <f>_xlfn.XLOOKUP($B24,Sort_Alpha!$B$5:$B$47,Sort_Alpha!AG$5:AG$47,"",0)</f>
        <v/>
      </c>
      <c r="AH24" s="1" t="str">
        <f>_xlfn.XLOOKUP($B24,Sort_Alpha!$B$5:$B$47,Sort_Alpha!AH$5:AH$47,"",0)</f>
        <v/>
      </c>
      <c r="AI24" s="1" t="str">
        <f>_xlfn.XLOOKUP($B24,Sort_Alpha!$B$5:$B$47,Sort_Alpha!AI$5:AI$47,"",0)</f>
        <v/>
      </c>
      <c r="AJ24" s="1" t="str">
        <f>_xlfn.XLOOKUP($B24,Sort_Alpha!$B$5:$B$47,Sort_Alpha!AJ$5:AJ$47,"",0)</f>
        <v/>
      </c>
      <c r="AK24" s="1" t="str">
        <f>_xlfn.XLOOKUP($B24,Sort_Alpha!$B$5:$B$47,Sort_Alpha!AK$5:AK$47,"",0)</f>
        <v/>
      </c>
      <c r="AL24" s="1" t="str">
        <f>_xlfn.XLOOKUP($B24,Sort_Alpha!$B$5:$B$47,Sort_Alpha!AL$5:AL$47,"",0)</f>
        <v/>
      </c>
      <c r="AM24" s="1" t="str">
        <f>_xlfn.XLOOKUP($B24,Sort_Alpha!$B$5:$B$47,Sort_Alpha!AM$5:AM$47,"",0)</f>
        <v/>
      </c>
      <c r="AN24" s="1" t="str">
        <f>_xlfn.XLOOKUP($B24,Sort_Alpha!$B$5:$B$47,Sort_Alpha!AN$5:AN$47,"",0)</f>
        <v/>
      </c>
      <c r="AO24" s="1" t="str">
        <f>_xlfn.XLOOKUP($B24,Sort_Alpha!$B$5:$B$47,Sort_Alpha!AO$5:AO$47,"",0)</f>
        <v/>
      </c>
      <c r="AP24" s="1" t="str">
        <f>_xlfn.XLOOKUP($B24,Sort_Alpha!$B$5:$B$47,Sort_Alpha!AP$5:AP$47,"",0)</f>
        <v/>
      </c>
      <c r="AQ24" s="1" t="str">
        <f>_xlfn.XLOOKUP($B24,Sort_Alpha!$B$5:$B$47,Sort_Alpha!AQ$5:AQ$47,"",0)</f>
        <v/>
      </c>
      <c r="AR24" s="1" t="str">
        <f>_xlfn.XLOOKUP($B24,Sort_Alpha!$B$5:$B$47,Sort_Alpha!AR$5:AR$47,"",0)</f>
        <v/>
      </c>
      <c r="AS24" s="1" t="str">
        <f>_xlfn.XLOOKUP($B24,Sort_Alpha!$B$5:$B$47,Sort_Alpha!AS$5:AS$47,"",0)</f>
        <v/>
      </c>
      <c r="AT24" s="1" t="str">
        <f>_xlfn.XLOOKUP($B24,Sort_Alpha!$B$5:$B$47,Sort_Alpha!AT$5:AT$47,"",0)</f>
        <v/>
      </c>
      <c r="AU24" s="1" t="str">
        <f>_xlfn.XLOOKUP($B24,Sort_Alpha!$B$5:$B$47,Sort_Alpha!AU$5:AU$47,"",0)</f>
        <v/>
      </c>
      <c r="AV24" s="1" t="str">
        <f>_xlfn.XLOOKUP($B24,Sort_Alpha!$B$5:$B$47,Sort_Alpha!AV$5:AV$47,"",0)</f>
        <v/>
      </c>
      <c r="AW24" s="1" t="str">
        <f>_xlfn.XLOOKUP($B24,Sort_Alpha!$B$5:$B$47,Sort_Alpha!AW$5:AW$47,"",0)</f>
        <v/>
      </c>
      <c r="AX24" s="1" t="str">
        <f>_xlfn.XLOOKUP($B24,Sort_Alpha!$B$5:$B$47,Sort_Alpha!AX$5:AX$47,"",0)</f>
        <v/>
      </c>
      <c r="AY24" s="1" t="str">
        <f>_xlfn.XLOOKUP($B24,Sort_Alpha!$B$5:$B$47,Sort_Alpha!AY$5:AY$47,"",0)</f>
        <v/>
      </c>
      <c r="AZ24" s="1" t="str">
        <f>_xlfn.XLOOKUP($B24,Sort_Alpha!$B$5:$B$47,Sort_Alpha!AZ$5:AZ$47,"",0)</f>
        <v/>
      </c>
      <c r="BA24" s="1" t="str">
        <f>_xlfn.XLOOKUP($B24,Sort_Alpha!$B$5:$B$47,Sort_Alpha!BA$5:BA$47,"",0)</f>
        <v/>
      </c>
      <c r="BB24" s="1" t="str">
        <f>_xlfn.XLOOKUP($B24,Sort_Alpha!$B$5:$B$47,Sort_Alpha!BB$5:BB$47,"",0)</f>
        <v/>
      </c>
      <c r="BC24" s="1" t="str">
        <f>_xlfn.XLOOKUP($B24,Sort_Alpha!$B$5:$B$47,Sort_Alpha!BC$5:BC$47,"",0)</f>
        <v/>
      </c>
      <c r="BD24" s="1" t="str">
        <f>_xlfn.XLOOKUP($B24,Sort_Alpha!$B$5:$B$47,Sort_Alpha!BD$5:BD$47,"",0)</f>
        <v/>
      </c>
      <c r="BE24" s="1" t="str">
        <f>_xlfn.XLOOKUP($B24,Sort_Alpha!$B$5:$B$47,Sort_Alpha!BE$5:BE$47,"",0)</f>
        <v/>
      </c>
      <c r="BF24" s="1" t="str">
        <f>_xlfn.XLOOKUP($B24,Sort_Alpha!$B$5:$B$47,Sort_Alpha!BF$5:BF$47,"",0)</f>
        <v/>
      </c>
      <c r="BG24" s="1" t="str">
        <f>_xlfn.XLOOKUP($B24,Sort_Alpha!$B$5:$B$47,Sort_Alpha!BG$5:BG$47,"",0)</f>
        <v/>
      </c>
      <c r="BH24" s="1" t="str">
        <f>_xlfn.XLOOKUP($B24,Sort_Alpha!$B$5:$B$47,Sort_Alpha!BH$5:BH$47,"",0)</f>
        <v/>
      </c>
      <c r="BI24" s="1" t="str">
        <f>_xlfn.XLOOKUP($B24,Sort_Alpha!$B$5:$B$47,Sort_Alpha!BI$5:BI$47,"",0)</f>
        <v/>
      </c>
      <c r="BJ24" s="1" t="str">
        <f>_xlfn.XLOOKUP($B24,Sort_Alpha!$B$5:$B$47,Sort_Alpha!BJ$5:BJ$47,"",0)</f>
        <v/>
      </c>
      <c r="BK24" s="1" t="str">
        <f>_xlfn.XLOOKUP($B24,Sort_Alpha!$B$5:$B$47,Sort_Alpha!BK$5:BK$47,"",0)</f>
        <v/>
      </c>
      <c r="BL24" s="1" t="str">
        <f>_xlfn.XLOOKUP($B24,Sort_Alpha!$B$5:$B$47,Sort_Alpha!BL$5:BL$47,"",0)</f>
        <v/>
      </c>
      <c r="BM24" s="1" t="str">
        <f>_xlfn.XLOOKUP($B24,Sort_Alpha!$B$5:$B$47,Sort_Alpha!BM$5:BM$47,"",0)</f>
        <v/>
      </c>
      <c r="BN24" s="1" t="str">
        <f>_xlfn.XLOOKUP($B24,Sort_Alpha!$B$5:$B$47,Sort_Alpha!BN$5:BN$47,"",0)</f>
        <v/>
      </c>
      <c r="BO24" s="1" t="str">
        <f>_xlfn.XLOOKUP($B24,Sort_Alpha!$B$5:$B$47,Sort_Alpha!BO$5:BO$47,"",0)</f>
        <v/>
      </c>
      <c r="BP24" s="1" t="str">
        <f>_xlfn.XLOOKUP($B24,Sort_Alpha!$B$5:$B$47,Sort_Alpha!BP$5:BP$47,"",0)</f>
        <v/>
      </c>
      <c r="BQ24" s="1" t="str">
        <f>_xlfn.XLOOKUP($B24,Sort_Alpha!$B$5:$B$47,Sort_Alpha!BQ$5:BQ$47,"",0)</f>
        <v/>
      </c>
      <c r="BR24" s="1" t="str">
        <f>_xlfn.XLOOKUP($B24,Sort_Alpha!$B$5:$B$47,Sort_Alpha!BR$5:BR$47,"",0)</f>
        <v/>
      </c>
      <c r="BS24" s="1" t="str">
        <f>_xlfn.XLOOKUP($B24,Sort_Alpha!$B$5:$B$47,Sort_Alpha!BS$5:BS$47,"",0)</f>
        <v/>
      </c>
      <c r="BT24" s="1" t="str">
        <f>_xlfn.XLOOKUP($B24,Sort_Alpha!$B$5:$B$47,Sort_Alpha!BT$5:BT$47,"",0)</f>
        <v/>
      </c>
      <c r="BU24" s="1" t="str">
        <f>_xlfn.XLOOKUP($B24,Sort_Alpha!$B$5:$B$47,Sort_Alpha!BU$5:BU$47,"",0)</f>
        <v/>
      </c>
      <c r="BV24" s="1" t="str">
        <f>_xlfn.XLOOKUP($B24,Sort_Alpha!$B$5:$B$47,Sort_Alpha!BV$5:BV$47,"",0)</f>
        <v/>
      </c>
      <c r="BW24" s="1" t="str">
        <f>_xlfn.XLOOKUP($B24,Sort_Alpha!$B$5:$B$47,Sort_Alpha!BW$5:BW$47,"",0)</f>
        <v/>
      </c>
      <c r="BX24" s="1" t="str">
        <f>_xlfn.XLOOKUP($B24,Sort_Alpha!$B$5:$B$47,Sort_Alpha!BX$5:BX$47,"",0)</f>
        <v/>
      </c>
      <c r="BY24" s="1" t="str">
        <f>_xlfn.XLOOKUP($B24,Sort_Alpha!$B$5:$B$47,Sort_Alpha!BY$5:BY$47,"",0)</f>
        <v/>
      </c>
      <c r="BZ24" s="1" t="str">
        <f>_xlfn.XLOOKUP($B24,Sort_Alpha!$B$5:$B$47,Sort_Alpha!BZ$5:BZ$47,"",0)</f>
        <v/>
      </c>
      <c r="CA24" s="1" t="str">
        <f>_xlfn.XLOOKUP($B24,Sort_Alpha!$B$5:$B$47,Sort_Alpha!CA$5:CA$47,"",0)</f>
        <v/>
      </c>
      <c r="CB24" s="1" t="str">
        <f>_xlfn.XLOOKUP($B24,Sort_Alpha!$B$5:$B$47,Sort_Alpha!CB$5:CB$47,"",0)</f>
        <v/>
      </c>
      <c r="CC24" s="1" t="str">
        <f>_xlfn.XLOOKUP($B24,Sort_Alpha!$B$5:$B$47,Sort_Alpha!CC$5:CC$47,"",0)</f>
        <v/>
      </c>
    </row>
    <row r="25" spans="2:81" x14ac:dyDescent="0.15">
      <c r="C25" s="1" t="str">
        <f>_xlfn.XLOOKUP($B25,Sort_Alpha!$B$5:$B$47,Sort_Alpha!C$5:C$47,"",0)</f>
        <v/>
      </c>
      <c r="D25" s="1" t="str">
        <f>_xlfn.XLOOKUP($B25,Sort_Alpha!$B$5:$B$47,Sort_Alpha!D$5:D$47,"",0)</f>
        <v/>
      </c>
      <c r="E25" s="1" t="str">
        <f>_xlfn.XLOOKUP($B25,Sort_Alpha!$B$5:$B$47,Sort_Alpha!E$5:E$47,"",0)</f>
        <v/>
      </c>
      <c r="F25" s="1" t="str">
        <f>_xlfn.XLOOKUP($B25,Sort_Alpha!$B$5:$B$47,Sort_Alpha!F$5:F$47,"",0)</f>
        <v/>
      </c>
      <c r="G25" s="1" t="str">
        <f>_xlfn.XLOOKUP($B25,Sort_Alpha!$B$5:$B$47,Sort_Alpha!G$5:G$47,"",0)</f>
        <v/>
      </c>
      <c r="H25" s="1" t="str">
        <f>_xlfn.XLOOKUP($B25,Sort_Alpha!$B$5:$B$47,Sort_Alpha!H$5:H$47,"",0)</f>
        <v/>
      </c>
      <c r="I25" s="1" t="str">
        <f>_xlfn.XLOOKUP($B25,Sort_Alpha!$B$5:$B$47,Sort_Alpha!I$5:I$47,"",0)</f>
        <v/>
      </c>
      <c r="J25" s="1" t="str">
        <f>_xlfn.XLOOKUP($B25,Sort_Alpha!$B$5:$B$47,Sort_Alpha!J$5:J$47,"",0)</f>
        <v/>
      </c>
      <c r="K25" s="1" t="str">
        <f>_xlfn.XLOOKUP($B25,Sort_Alpha!$B$5:$B$47,Sort_Alpha!K$5:K$47,"",0)</f>
        <v/>
      </c>
      <c r="L25" s="1" t="str">
        <f>_xlfn.XLOOKUP($B25,Sort_Alpha!$B$5:$B$47,Sort_Alpha!L$5:L$47,"",0)</f>
        <v/>
      </c>
      <c r="M25" s="1" t="str">
        <f>_xlfn.XLOOKUP($B25,Sort_Alpha!$B$5:$B$47,Sort_Alpha!M$5:M$47,"",0)</f>
        <v/>
      </c>
      <c r="N25" s="1" t="str">
        <f>_xlfn.XLOOKUP($B25,Sort_Alpha!$B$5:$B$47,Sort_Alpha!N$5:N$47,"",0)</f>
        <v/>
      </c>
      <c r="O25" s="1" t="str">
        <f>_xlfn.XLOOKUP($B25,Sort_Alpha!$B$5:$B$47,Sort_Alpha!O$5:O$47,"",0)</f>
        <v/>
      </c>
      <c r="P25" s="1" t="str">
        <f>_xlfn.XLOOKUP($B25,Sort_Alpha!$B$5:$B$47,Sort_Alpha!P$5:P$47,"",0)</f>
        <v/>
      </c>
      <c r="Q25" s="1" t="str">
        <f>_xlfn.XLOOKUP($B25,Sort_Alpha!$B$5:$B$47,Sort_Alpha!Q$5:Q$47,"",0)</f>
        <v/>
      </c>
      <c r="R25" s="1" t="str">
        <f>_xlfn.XLOOKUP($B25,Sort_Alpha!$B$5:$B$47,Sort_Alpha!R$5:R$47,"",0)</f>
        <v/>
      </c>
      <c r="S25" s="1" t="str">
        <f>_xlfn.XLOOKUP($B25,Sort_Alpha!$B$5:$B$47,Sort_Alpha!S$5:S$47,"",0)</f>
        <v/>
      </c>
      <c r="T25" s="1" t="str">
        <f>_xlfn.XLOOKUP($B25,Sort_Alpha!$B$5:$B$47,Sort_Alpha!T$5:T$47,"",0)</f>
        <v/>
      </c>
      <c r="U25" s="1" t="str">
        <f>_xlfn.XLOOKUP($B25,Sort_Alpha!$B$5:$B$47,Sort_Alpha!U$5:U$47,"",0)</f>
        <v/>
      </c>
      <c r="V25" s="1" t="str">
        <f>_xlfn.XLOOKUP($B25,Sort_Alpha!$B$5:$B$47,Sort_Alpha!V$5:V$47,"",0)</f>
        <v/>
      </c>
      <c r="W25" s="1" t="str">
        <f>_xlfn.XLOOKUP($B25,Sort_Alpha!$B$5:$B$47,Sort_Alpha!W$5:W$47,"",0)</f>
        <v/>
      </c>
      <c r="X25" s="1" t="str">
        <f>_xlfn.XLOOKUP($B25,Sort_Alpha!$B$5:$B$47,Sort_Alpha!X$5:X$47,"",0)</f>
        <v/>
      </c>
      <c r="Y25" s="1" t="str">
        <f>_xlfn.XLOOKUP($B25,Sort_Alpha!$B$5:$B$47,Sort_Alpha!Y$5:Y$47,"",0)</f>
        <v/>
      </c>
      <c r="Z25" s="1" t="str">
        <f>_xlfn.XLOOKUP($B25,Sort_Alpha!$B$5:$B$47,Sort_Alpha!Z$5:Z$47,"",0)</f>
        <v/>
      </c>
      <c r="AA25" s="1" t="str">
        <f>_xlfn.XLOOKUP($B25,Sort_Alpha!$B$5:$B$47,Sort_Alpha!AA$5:AA$47,"",0)</f>
        <v/>
      </c>
      <c r="AB25" s="1" t="str">
        <f>_xlfn.XLOOKUP($B25,Sort_Alpha!$B$5:$B$47,Sort_Alpha!AB$5:AB$47,"",0)</f>
        <v/>
      </c>
      <c r="AC25" s="1" t="str">
        <f>_xlfn.XLOOKUP($B25,Sort_Alpha!$B$5:$B$47,Sort_Alpha!AC$5:AC$47,"",0)</f>
        <v/>
      </c>
      <c r="AD25" s="1" t="str">
        <f>_xlfn.XLOOKUP($B25,Sort_Alpha!$B$5:$B$47,Sort_Alpha!AD$5:AD$47,"",0)</f>
        <v/>
      </c>
      <c r="AE25" s="1" t="str">
        <f>_xlfn.XLOOKUP($B25,Sort_Alpha!$B$5:$B$47,Sort_Alpha!AE$5:AE$47,"",0)</f>
        <v/>
      </c>
      <c r="AF25" s="1" t="str">
        <f>_xlfn.XLOOKUP($B25,Sort_Alpha!$B$5:$B$47,Sort_Alpha!AF$5:AF$47,"",0)</f>
        <v/>
      </c>
      <c r="AG25" s="1" t="str">
        <f>_xlfn.XLOOKUP($B25,Sort_Alpha!$B$5:$B$47,Sort_Alpha!AG$5:AG$47,"",0)</f>
        <v/>
      </c>
      <c r="AH25" s="1" t="str">
        <f>_xlfn.XLOOKUP($B25,Sort_Alpha!$B$5:$B$47,Sort_Alpha!AH$5:AH$47,"",0)</f>
        <v/>
      </c>
      <c r="AI25" s="1" t="str">
        <f>_xlfn.XLOOKUP($B25,Sort_Alpha!$B$5:$B$47,Sort_Alpha!AI$5:AI$47,"",0)</f>
        <v/>
      </c>
      <c r="AJ25" s="1" t="str">
        <f>_xlfn.XLOOKUP($B25,Sort_Alpha!$B$5:$B$47,Sort_Alpha!AJ$5:AJ$47,"",0)</f>
        <v/>
      </c>
      <c r="AK25" s="1" t="str">
        <f>_xlfn.XLOOKUP($B25,Sort_Alpha!$B$5:$B$47,Sort_Alpha!AK$5:AK$47,"",0)</f>
        <v/>
      </c>
      <c r="AL25" s="1" t="str">
        <f>_xlfn.XLOOKUP($B25,Sort_Alpha!$B$5:$B$47,Sort_Alpha!AL$5:AL$47,"",0)</f>
        <v/>
      </c>
      <c r="AM25" s="1" t="str">
        <f>_xlfn.XLOOKUP($B25,Sort_Alpha!$B$5:$B$47,Sort_Alpha!AM$5:AM$47,"",0)</f>
        <v/>
      </c>
      <c r="AN25" s="1" t="str">
        <f>_xlfn.XLOOKUP($B25,Sort_Alpha!$B$5:$B$47,Sort_Alpha!AN$5:AN$47,"",0)</f>
        <v/>
      </c>
      <c r="AO25" s="1" t="str">
        <f>_xlfn.XLOOKUP($B25,Sort_Alpha!$B$5:$B$47,Sort_Alpha!AO$5:AO$47,"",0)</f>
        <v/>
      </c>
      <c r="AP25" s="1" t="str">
        <f>_xlfn.XLOOKUP($B25,Sort_Alpha!$B$5:$B$47,Sort_Alpha!AP$5:AP$47,"",0)</f>
        <v/>
      </c>
      <c r="AQ25" s="1" t="str">
        <f>_xlfn.XLOOKUP($B25,Sort_Alpha!$B$5:$B$47,Sort_Alpha!AQ$5:AQ$47,"",0)</f>
        <v/>
      </c>
      <c r="AR25" s="1" t="str">
        <f>_xlfn.XLOOKUP($B25,Sort_Alpha!$B$5:$B$47,Sort_Alpha!AR$5:AR$47,"",0)</f>
        <v/>
      </c>
      <c r="AS25" s="1" t="str">
        <f>_xlfn.XLOOKUP($B25,Sort_Alpha!$B$5:$B$47,Sort_Alpha!AS$5:AS$47,"",0)</f>
        <v/>
      </c>
      <c r="AT25" s="1" t="str">
        <f>_xlfn.XLOOKUP($B25,Sort_Alpha!$B$5:$B$47,Sort_Alpha!AT$5:AT$47,"",0)</f>
        <v/>
      </c>
      <c r="AU25" s="1" t="str">
        <f>_xlfn.XLOOKUP($B25,Sort_Alpha!$B$5:$B$47,Sort_Alpha!AU$5:AU$47,"",0)</f>
        <v/>
      </c>
      <c r="AV25" s="1" t="str">
        <f>_xlfn.XLOOKUP($B25,Sort_Alpha!$B$5:$B$47,Sort_Alpha!AV$5:AV$47,"",0)</f>
        <v/>
      </c>
      <c r="AW25" s="1" t="str">
        <f>_xlfn.XLOOKUP($B25,Sort_Alpha!$B$5:$B$47,Sort_Alpha!AW$5:AW$47,"",0)</f>
        <v/>
      </c>
      <c r="AX25" s="1" t="str">
        <f>_xlfn.XLOOKUP($B25,Sort_Alpha!$B$5:$B$47,Sort_Alpha!AX$5:AX$47,"",0)</f>
        <v/>
      </c>
      <c r="AY25" s="1" t="str">
        <f>_xlfn.XLOOKUP($B25,Sort_Alpha!$B$5:$B$47,Sort_Alpha!AY$5:AY$47,"",0)</f>
        <v/>
      </c>
      <c r="AZ25" s="1" t="str">
        <f>_xlfn.XLOOKUP($B25,Sort_Alpha!$B$5:$B$47,Sort_Alpha!AZ$5:AZ$47,"",0)</f>
        <v/>
      </c>
      <c r="BA25" s="1" t="str">
        <f>_xlfn.XLOOKUP($B25,Sort_Alpha!$B$5:$B$47,Sort_Alpha!BA$5:BA$47,"",0)</f>
        <v/>
      </c>
      <c r="BB25" s="1" t="str">
        <f>_xlfn.XLOOKUP($B25,Sort_Alpha!$B$5:$B$47,Sort_Alpha!BB$5:BB$47,"",0)</f>
        <v/>
      </c>
      <c r="BC25" s="1" t="str">
        <f>_xlfn.XLOOKUP($B25,Sort_Alpha!$B$5:$B$47,Sort_Alpha!BC$5:BC$47,"",0)</f>
        <v/>
      </c>
      <c r="BD25" s="1" t="str">
        <f>_xlfn.XLOOKUP($B25,Sort_Alpha!$B$5:$B$47,Sort_Alpha!BD$5:BD$47,"",0)</f>
        <v/>
      </c>
      <c r="BE25" s="1" t="str">
        <f>_xlfn.XLOOKUP($B25,Sort_Alpha!$B$5:$B$47,Sort_Alpha!BE$5:BE$47,"",0)</f>
        <v/>
      </c>
      <c r="BF25" s="1" t="str">
        <f>_xlfn.XLOOKUP($B25,Sort_Alpha!$B$5:$B$47,Sort_Alpha!BF$5:BF$47,"",0)</f>
        <v/>
      </c>
      <c r="BG25" s="1" t="str">
        <f>_xlfn.XLOOKUP($B25,Sort_Alpha!$B$5:$B$47,Sort_Alpha!BG$5:BG$47,"",0)</f>
        <v/>
      </c>
      <c r="BH25" s="1" t="str">
        <f>_xlfn.XLOOKUP($B25,Sort_Alpha!$B$5:$B$47,Sort_Alpha!BH$5:BH$47,"",0)</f>
        <v/>
      </c>
      <c r="BI25" s="1" t="str">
        <f>_xlfn.XLOOKUP($B25,Sort_Alpha!$B$5:$B$47,Sort_Alpha!BI$5:BI$47,"",0)</f>
        <v/>
      </c>
      <c r="BJ25" s="1" t="str">
        <f>_xlfn.XLOOKUP($B25,Sort_Alpha!$B$5:$B$47,Sort_Alpha!BJ$5:BJ$47,"",0)</f>
        <v/>
      </c>
      <c r="BK25" s="1" t="str">
        <f>_xlfn.XLOOKUP($B25,Sort_Alpha!$B$5:$B$47,Sort_Alpha!BK$5:BK$47,"",0)</f>
        <v/>
      </c>
      <c r="BL25" s="1" t="str">
        <f>_xlfn.XLOOKUP($B25,Sort_Alpha!$B$5:$B$47,Sort_Alpha!BL$5:BL$47,"",0)</f>
        <v/>
      </c>
      <c r="BM25" s="1" t="str">
        <f>_xlfn.XLOOKUP($B25,Sort_Alpha!$B$5:$B$47,Sort_Alpha!BM$5:BM$47,"",0)</f>
        <v/>
      </c>
      <c r="BN25" s="1" t="str">
        <f>_xlfn.XLOOKUP($B25,Sort_Alpha!$B$5:$B$47,Sort_Alpha!BN$5:BN$47,"",0)</f>
        <v/>
      </c>
      <c r="BO25" s="1" t="str">
        <f>_xlfn.XLOOKUP($B25,Sort_Alpha!$B$5:$B$47,Sort_Alpha!BO$5:BO$47,"",0)</f>
        <v/>
      </c>
      <c r="BP25" s="1" t="str">
        <f>_xlfn.XLOOKUP($B25,Sort_Alpha!$B$5:$B$47,Sort_Alpha!BP$5:BP$47,"",0)</f>
        <v/>
      </c>
      <c r="BQ25" s="1" t="str">
        <f>_xlfn.XLOOKUP($B25,Sort_Alpha!$B$5:$B$47,Sort_Alpha!BQ$5:BQ$47,"",0)</f>
        <v/>
      </c>
      <c r="BR25" s="1" t="str">
        <f>_xlfn.XLOOKUP($B25,Sort_Alpha!$B$5:$B$47,Sort_Alpha!BR$5:BR$47,"",0)</f>
        <v/>
      </c>
      <c r="BS25" s="1" t="str">
        <f>_xlfn.XLOOKUP($B25,Sort_Alpha!$B$5:$B$47,Sort_Alpha!BS$5:BS$47,"",0)</f>
        <v/>
      </c>
      <c r="BT25" s="1" t="str">
        <f>_xlfn.XLOOKUP($B25,Sort_Alpha!$B$5:$B$47,Sort_Alpha!BT$5:BT$47,"",0)</f>
        <v/>
      </c>
      <c r="BU25" s="1" t="str">
        <f>_xlfn.XLOOKUP($B25,Sort_Alpha!$B$5:$B$47,Sort_Alpha!BU$5:BU$47,"",0)</f>
        <v/>
      </c>
      <c r="BV25" s="1" t="str">
        <f>_xlfn.XLOOKUP($B25,Sort_Alpha!$B$5:$B$47,Sort_Alpha!BV$5:BV$47,"",0)</f>
        <v/>
      </c>
      <c r="BW25" s="1" t="str">
        <f>_xlfn.XLOOKUP($B25,Sort_Alpha!$B$5:$B$47,Sort_Alpha!BW$5:BW$47,"",0)</f>
        <v/>
      </c>
      <c r="BX25" s="1" t="str">
        <f>_xlfn.XLOOKUP($B25,Sort_Alpha!$B$5:$B$47,Sort_Alpha!BX$5:BX$47,"",0)</f>
        <v/>
      </c>
      <c r="BY25" s="1" t="str">
        <f>_xlfn.XLOOKUP($B25,Sort_Alpha!$B$5:$B$47,Sort_Alpha!BY$5:BY$47,"",0)</f>
        <v/>
      </c>
      <c r="BZ25" s="1" t="str">
        <f>_xlfn.XLOOKUP($B25,Sort_Alpha!$B$5:$B$47,Sort_Alpha!BZ$5:BZ$47,"",0)</f>
        <v/>
      </c>
      <c r="CA25" s="1" t="str">
        <f>_xlfn.XLOOKUP($B25,Sort_Alpha!$B$5:$B$47,Sort_Alpha!CA$5:CA$47,"",0)</f>
        <v/>
      </c>
      <c r="CB25" s="1" t="str">
        <f>_xlfn.XLOOKUP($B25,Sort_Alpha!$B$5:$B$47,Sort_Alpha!CB$5:CB$47,"",0)</f>
        <v/>
      </c>
      <c r="CC25" s="1" t="str">
        <f>_xlfn.XLOOKUP($B25,Sort_Alpha!$B$5:$B$47,Sort_Alpha!CC$5:CC$47,"",0)</f>
        <v/>
      </c>
    </row>
    <row r="26" spans="2:81" x14ac:dyDescent="0.15">
      <c r="B26" t="s">
        <v>16</v>
      </c>
      <c r="C26" s="1">
        <f>_xlfn.XLOOKUP($B26,Sort_Alpha!$B$5:$B$47,Sort_Alpha!C$5:C$47,"",0)</f>
        <v>6.1634716915648648E-16</v>
      </c>
      <c r="D26" s="1">
        <f>_xlfn.XLOOKUP($B26,Sort_Alpha!$B$5:$B$47,Sort_Alpha!D$5:D$47,"",0)</f>
        <v>1.1204788286044339E-16</v>
      </c>
      <c r="E26" s="1">
        <f>_xlfn.XLOOKUP($B26,Sort_Alpha!$B$5:$B$47,Sort_Alpha!E$5:E$47,"",0)</f>
        <v>9.371050591375903E-16</v>
      </c>
      <c r="F26" s="1">
        <f>_xlfn.XLOOKUP($B26,Sort_Alpha!$B$5:$B$47,Sort_Alpha!F$5:F$47,"",0)</f>
        <v>2.251514040154311E-16</v>
      </c>
      <c r="G26" s="1">
        <f>_xlfn.XLOOKUP($B26,Sort_Alpha!$B$5:$B$47,Sort_Alpha!G$5:G$47,"",0)</f>
        <v>1.8921139844213488E-15</v>
      </c>
      <c r="H26" s="1">
        <f>_xlfn.XLOOKUP($B26,Sort_Alpha!$B$5:$B$47,Sort_Alpha!H$5:H$47,"",0)</f>
        <v>8.9600845342822938E-16</v>
      </c>
      <c r="I26" s="1">
        <f>_xlfn.XLOOKUP($B26,Sort_Alpha!$B$5:$B$47,Sort_Alpha!I$5:I$47,"",0)</f>
        <v>7.814839158148201E-15</v>
      </c>
      <c r="J26" s="1">
        <f>_xlfn.XLOOKUP($B26,Sort_Alpha!$B$5:$B$47,Sort_Alpha!J$5:J$47,"",0)</f>
        <v>7.814839158148201E-15</v>
      </c>
      <c r="K26" s="1">
        <f>_xlfn.XLOOKUP($B26,Sort_Alpha!$B$5:$B$47,Sort_Alpha!K$5:K$47,"",0)</f>
        <v>7.814839158148201E-15</v>
      </c>
      <c r="L26" s="1">
        <f>_xlfn.XLOOKUP($B26,Sort_Alpha!$B$5:$B$47,Sort_Alpha!L$5:L$47,"",0)</f>
        <v>9.371050591375903E-16</v>
      </c>
      <c r="M26" s="1">
        <f>_xlfn.XLOOKUP($B26,Sort_Alpha!$B$5:$B$47,Sort_Alpha!M$5:M$47,"",0)</f>
        <v>9.371050591375903E-16</v>
      </c>
      <c r="N26" s="1">
        <f>_xlfn.XLOOKUP($B26,Sort_Alpha!$B$5:$B$47,Sort_Alpha!N$5:N$47,"",0)</f>
        <v>9.371050591375903E-16</v>
      </c>
      <c r="O26" s="1">
        <f>_xlfn.XLOOKUP($B26,Sort_Alpha!$B$5:$B$47,Sort_Alpha!O$5:O$47,"",0)</f>
        <v>4.3154167936145859E-15</v>
      </c>
      <c r="P26" s="1">
        <f>_xlfn.XLOOKUP($B26,Sort_Alpha!$B$5:$B$47,Sort_Alpha!P$5:P$47,"",0)</f>
        <v>5.4685535570753866E-17</v>
      </c>
      <c r="Q26" s="1">
        <f>_xlfn.XLOOKUP($B26,Sort_Alpha!$B$5:$B$47,Sort_Alpha!Q$5:Q$47,"",0)</f>
        <v>1.28681704833834E-15</v>
      </c>
      <c r="R26" s="1">
        <f>_xlfn.XLOOKUP($B26,Sort_Alpha!$B$5:$B$47,Sort_Alpha!R$5:R$47,"",0)</f>
        <v>1.28681704833834E-15</v>
      </c>
      <c r="S26" s="1">
        <f>_xlfn.XLOOKUP($B26,Sort_Alpha!$B$5:$B$47,Sort_Alpha!S$5:S$47,"",0)</f>
        <v>4.1404395161297774E-15</v>
      </c>
      <c r="T26" s="1">
        <f>_xlfn.XLOOKUP($B26,Sort_Alpha!$B$5:$B$47,Sort_Alpha!T$5:T$47,"",0)</f>
        <v>7.6179369258514846E-14</v>
      </c>
      <c r="U26" s="1">
        <f>_xlfn.XLOOKUP($B26,Sort_Alpha!$B$5:$B$47,Sort_Alpha!U$5:U$47,"",0)</f>
        <v>7.6179369258514846E-14</v>
      </c>
      <c r="V26" s="1">
        <f>_xlfn.XLOOKUP($B26,Sort_Alpha!$B$5:$B$47,Sort_Alpha!V$5:V$47,"",0)</f>
        <v>7.6179369258514846E-14</v>
      </c>
      <c r="W26" s="1">
        <f>_xlfn.XLOOKUP($B26,Sort_Alpha!$B$5:$B$47,Sort_Alpha!W$5:W$47,"",0)</f>
        <v>7.6179369258514846E-14</v>
      </c>
      <c r="X26" s="1">
        <f>_xlfn.XLOOKUP($B26,Sort_Alpha!$B$5:$B$47,Sort_Alpha!X$5:X$47,"",0)</f>
        <v>7.6179369258514846E-14</v>
      </c>
      <c r="Y26" s="1">
        <f>_xlfn.XLOOKUP($B26,Sort_Alpha!$B$5:$B$47,Sort_Alpha!Y$5:Y$47,"",0)</f>
        <v>2.4262700016121811E-15</v>
      </c>
      <c r="Z26" s="1">
        <f>_xlfn.XLOOKUP($B26,Sort_Alpha!$B$5:$B$47,Sort_Alpha!Z$5:Z$47,"",0)</f>
        <v>1.1932008997665351E-16</v>
      </c>
      <c r="AA26" s="1">
        <f>_xlfn.XLOOKUP($B26,Sort_Alpha!$B$5:$B$47,Sort_Alpha!AA$5:AA$47,"",0)</f>
        <v>1.4506060347106199E-16</v>
      </c>
      <c r="AB26" s="1">
        <f>_xlfn.XLOOKUP($B26,Sort_Alpha!$B$5:$B$47,Sort_Alpha!AB$5:AB$47,"",0)</f>
        <v>6.6761766742044211E-16</v>
      </c>
      <c r="AC26" s="1">
        <f>_xlfn.XLOOKUP($B26,Sort_Alpha!$B$5:$B$47,Sort_Alpha!AC$5:AC$47,"",0)</f>
        <v>8.2415291490009736E-17</v>
      </c>
      <c r="AD26" s="1">
        <f>_xlfn.XLOOKUP($B26,Sort_Alpha!$B$5:$B$47,Sort_Alpha!AD$5:AD$47,"",0)</f>
        <v>1.6233552695170769E-17</v>
      </c>
      <c r="AE26" s="1">
        <f>_xlfn.XLOOKUP($B26,Sort_Alpha!$B$5:$B$47,Sort_Alpha!AE$5:AE$47,"",0)</f>
        <v>1.4991034405525629E-17</v>
      </c>
      <c r="AF26" s="1">
        <f>_xlfn.XLOOKUP($B26,Sort_Alpha!$B$5:$B$47,Sort_Alpha!AF$5:AF$47,"",0)</f>
        <v>1.4991034405525629E-17</v>
      </c>
      <c r="AG26" s="1">
        <f>_xlfn.XLOOKUP($B26,Sort_Alpha!$B$5:$B$47,Sort_Alpha!AG$5:AG$47,"",0)</f>
        <v>2.2130467069703643E-16</v>
      </c>
      <c r="AH26" s="1">
        <f>_xlfn.XLOOKUP($B26,Sort_Alpha!$B$5:$B$47,Sort_Alpha!AH$5:AH$47,"",0)</f>
        <v>1.1664862347860815E-15</v>
      </c>
      <c r="AI26" s="1">
        <f>_xlfn.XLOOKUP($B26,Sort_Alpha!$B$5:$B$47,Sort_Alpha!AI$5:AI$47,"",0)</f>
        <v>9.1232031651660298E-16</v>
      </c>
      <c r="AJ26" s="1">
        <f>_xlfn.XLOOKUP($B26,Sort_Alpha!$B$5:$B$47,Sort_Alpha!AJ$5:AJ$47,"",0)</f>
        <v>3.4745309392042997E-12</v>
      </c>
      <c r="AK26" s="1">
        <f>_xlfn.XLOOKUP($B26,Sort_Alpha!$B$5:$B$47,Sort_Alpha!AK$5:AK$47,"",0)</f>
        <v>1.1001494068874732E-15</v>
      </c>
      <c r="AL26" s="1">
        <f>_xlfn.XLOOKUP($B26,Sort_Alpha!$B$5:$B$47,Sort_Alpha!AL$5:AL$47,"",0)</f>
        <v>1.0219270744411993E-14</v>
      </c>
      <c r="AM26" s="1">
        <f>_xlfn.XLOOKUP($B26,Sort_Alpha!$B$5:$B$47,Sort_Alpha!AM$5:AM$47,"",0)</f>
        <v>9.5855951603666778E-16</v>
      </c>
      <c r="AN26" s="1">
        <f>_xlfn.XLOOKUP($B26,Sort_Alpha!$B$5:$B$47,Sort_Alpha!AN$5:AN$47,"",0)</f>
        <v>7.3260704921561756E-15</v>
      </c>
      <c r="AO26" s="1">
        <f>_xlfn.XLOOKUP($B26,Sort_Alpha!$B$5:$B$47,Sort_Alpha!AO$5:AO$47,"",0)</f>
        <v>7.3260704921561756E-15</v>
      </c>
      <c r="AP26" s="1">
        <f>_xlfn.XLOOKUP($B26,Sort_Alpha!$B$5:$B$47,Sort_Alpha!AP$5:AP$47,"",0)</f>
        <v>7.3260704921561756E-15</v>
      </c>
      <c r="AQ26" s="1">
        <f>_xlfn.XLOOKUP($B26,Sort_Alpha!$B$5:$B$47,Sort_Alpha!AQ$5:AQ$47,"",0)</f>
        <v>5.8551743635283428E-14</v>
      </c>
      <c r="AR26" s="1">
        <f>_xlfn.XLOOKUP($B26,Sort_Alpha!$B$5:$B$47,Sort_Alpha!AR$5:AR$47,"",0)</f>
        <v>5.8551743635283428E-14</v>
      </c>
      <c r="AS26" s="1">
        <f>_xlfn.XLOOKUP($B26,Sort_Alpha!$B$5:$B$47,Sort_Alpha!AS$5:AS$47,"",0)</f>
        <v>3.4510307445712957E-18</v>
      </c>
      <c r="AT26" s="1">
        <f>_xlfn.XLOOKUP($B26,Sort_Alpha!$B$5:$B$47,Sort_Alpha!AT$5:AT$47,"",0)</f>
        <v>7.6558715678362067E-17</v>
      </c>
      <c r="AU26" s="1">
        <f>_xlfn.XLOOKUP($B26,Sort_Alpha!$B$5:$B$47,Sort_Alpha!AU$5:AU$47,"",0)</f>
        <v>4.974809565281562E-15</v>
      </c>
      <c r="AV26" s="1">
        <f>_xlfn.XLOOKUP($B26,Sort_Alpha!$B$5:$B$47,Sort_Alpha!AV$5:AV$47,"",0)</f>
        <v>0</v>
      </c>
      <c r="AW26" s="1">
        <f>_xlfn.XLOOKUP($B26,Sort_Alpha!$B$5:$B$47,Sort_Alpha!AW$5:AW$47,"",0)</f>
        <v>4.9722843319648641E-18</v>
      </c>
      <c r="AX26" s="1">
        <f>_xlfn.XLOOKUP($B26,Sort_Alpha!$B$5:$B$47,Sort_Alpha!AX$5:AX$47,"",0)</f>
        <v>5.4836962044467812E-18</v>
      </c>
      <c r="AY26" s="1">
        <f>_xlfn.XLOOKUP($B26,Sort_Alpha!$B$5:$B$47,Sort_Alpha!AY$5:AY$47,"",0)</f>
        <v>3.9019639120915443E-18</v>
      </c>
      <c r="AZ26" s="1">
        <f>_xlfn.XLOOKUP($B26,Sort_Alpha!$B$5:$B$47,Sort_Alpha!AZ$5:AZ$47,"",0)</f>
        <v>1.4544902011837527E-15</v>
      </c>
      <c r="BA26" s="1">
        <f>_xlfn.XLOOKUP($B26,Sort_Alpha!$B$5:$B$47,Sort_Alpha!BA$5:BA$47,"",0)</f>
        <v>1.6642554260103821E-15</v>
      </c>
      <c r="BB26" s="1">
        <f>_xlfn.XLOOKUP($B26,Sort_Alpha!$B$5:$B$47,Sort_Alpha!BB$5:BB$47,"",0)</f>
        <v>2.1469787570476003E-17</v>
      </c>
      <c r="BC26" s="1">
        <f>_xlfn.XLOOKUP($B26,Sort_Alpha!$B$5:$B$47,Sort_Alpha!BC$5:BC$47,"",0)</f>
        <v>2.761387348740195E-17</v>
      </c>
      <c r="BD26" s="1">
        <f>_xlfn.XLOOKUP($B26,Sort_Alpha!$B$5:$B$47,Sort_Alpha!BD$5:BD$47,"",0)</f>
        <v>2.761387348740195E-17</v>
      </c>
      <c r="BE26" s="1">
        <f>_xlfn.XLOOKUP($B26,Sort_Alpha!$B$5:$B$47,Sort_Alpha!BE$5:BE$47,"",0)</f>
        <v>2.6571546970592597E-14</v>
      </c>
      <c r="BF26" s="1">
        <f>_xlfn.XLOOKUP($B26,Sort_Alpha!$B$5:$B$47,Sort_Alpha!BF$5:BF$47,"",0)</f>
        <v>4.7222696598031956E-16</v>
      </c>
      <c r="BG26" s="1">
        <f>_xlfn.XLOOKUP($B26,Sort_Alpha!$B$5:$B$47,Sort_Alpha!BG$5:BG$47,"",0)</f>
        <v>4.4266021104324598E-17</v>
      </c>
      <c r="BH26" s="1">
        <f>_xlfn.XLOOKUP($B26,Sort_Alpha!$B$5:$B$47,Sort_Alpha!BH$5:BH$47,"",0)</f>
        <v>2.389803560607286E-17</v>
      </c>
      <c r="BI26" s="1">
        <f>_xlfn.XLOOKUP($B26,Sort_Alpha!$B$5:$B$47,Sort_Alpha!BI$5:BI$47,"",0)</f>
        <v>2.389803560607286E-17</v>
      </c>
      <c r="BJ26" s="1">
        <f>_xlfn.XLOOKUP($B26,Sort_Alpha!$B$5:$B$47,Sort_Alpha!BJ$5:BJ$47,"",0)</f>
        <v>2.389803560607286E-17</v>
      </c>
      <c r="BK26" s="1">
        <f>_xlfn.XLOOKUP($B26,Sort_Alpha!$B$5:$B$47,Sort_Alpha!BK$5:BK$47,"",0)</f>
        <v>1.7027202427306545E-16</v>
      </c>
      <c r="BL26" s="1">
        <f>_xlfn.XLOOKUP($B26,Sort_Alpha!$B$5:$B$47,Sort_Alpha!BL$5:BL$47,"",0)</f>
        <v>1.3181653438459373E-16</v>
      </c>
      <c r="BM26" s="1">
        <f>_xlfn.XLOOKUP($B26,Sort_Alpha!$B$5:$B$47,Sort_Alpha!BM$5:BM$47,"",0)</f>
        <v>1.3608545818931712E-16</v>
      </c>
      <c r="BN26" s="1">
        <f>_xlfn.XLOOKUP($B26,Sort_Alpha!$B$5:$B$47,Sort_Alpha!BN$5:BN$47,"",0)</f>
        <v>1.3610891343889838E-16</v>
      </c>
      <c r="BO26" s="1">
        <f>_xlfn.XLOOKUP($B26,Sort_Alpha!$B$5:$B$47,Sort_Alpha!BO$5:BO$47,"",0)</f>
        <v>1.4219281599621045E-14</v>
      </c>
      <c r="BP26" s="1">
        <f>_xlfn.XLOOKUP($B26,Sort_Alpha!$B$5:$B$47,Sort_Alpha!BP$5:BP$47,"",0)</f>
        <v>1.4219281599621045E-14</v>
      </c>
      <c r="BQ26" s="1">
        <f>_xlfn.XLOOKUP($B26,Sort_Alpha!$B$5:$B$47,Sort_Alpha!BQ$5:BQ$47,"",0)</f>
        <v>0</v>
      </c>
      <c r="BR26" s="1">
        <f>_xlfn.XLOOKUP($B26,Sort_Alpha!$B$5:$B$47,Sort_Alpha!BR$5:BR$47,"",0)</f>
        <v>2.9630444841323655E-15</v>
      </c>
      <c r="BS26" s="1">
        <f>_xlfn.XLOOKUP($B26,Sort_Alpha!$B$5:$B$47,Sort_Alpha!BS$5:BS$47,"",0)</f>
        <v>1.3301603674707298E-14</v>
      </c>
      <c r="BT26" s="1">
        <f>_xlfn.XLOOKUP($B26,Sort_Alpha!$B$5:$B$47,Sort_Alpha!BT$5:BT$47,"",0)</f>
        <v>5.1504239794208235E-14</v>
      </c>
      <c r="BU26" s="1">
        <f>_xlfn.XLOOKUP($B26,Sort_Alpha!$B$5:$B$47,Sort_Alpha!BU$5:BU$47,"",0)</f>
        <v>1.9493339522720064E-14</v>
      </c>
      <c r="BV26" s="1">
        <f>_xlfn.XLOOKUP($B26,Sort_Alpha!$B$5:$B$47,Sort_Alpha!BV$5:BV$47,"",0)</f>
        <v>1.0419188510570342E-15</v>
      </c>
      <c r="BW26" s="1">
        <f>_xlfn.XLOOKUP($B26,Sort_Alpha!$B$5:$B$47,Sort_Alpha!BW$5:BW$47,"",0)</f>
        <v>1.4260339772883811E-15</v>
      </c>
      <c r="BX26" s="1">
        <f>_xlfn.XLOOKUP($B26,Sort_Alpha!$B$5:$B$47,Sort_Alpha!BX$5:BX$47,"",0)</f>
        <v>1.4260339772883811E-15</v>
      </c>
      <c r="BY26" s="1">
        <f>_xlfn.XLOOKUP($B26,Sort_Alpha!$B$5:$B$47,Sort_Alpha!BY$5:BY$47,"",0)</f>
        <v>2.7210173926521434E-17</v>
      </c>
      <c r="BZ26" s="1">
        <f>_xlfn.XLOOKUP($B26,Sort_Alpha!$B$5:$B$47,Sort_Alpha!BZ$5:BZ$47,"",0)</f>
        <v>2.0167624614167077E-18</v>
      </c>
      <c r="CA26" s="1">
        <f>_xlfn.XLOOKUP($B26,Sort_Alpha!$B$5:$B$47,Sort_Alpha!CA$5:CA$47,"",0)</f>
        <v>5.3092335532625626E-18</v>
      </c>
      <c r="CB26" s="1">
        <f>_xlfn.XLOOKUP($B26,Sort_Alpha!$B$5:$B$47,Sort_Alpha!CB$5:CB$47,"",0)</f>
        <v>4.3542259983323511E-18</v>
      </c>
      <c r="CC26" s="1">
        <f>_xlfn.XLOOKUP($B26,Sort_Alpha!$B$5:$B$47,Sort_Alpha!CC$5:CC$47,"",0)</f>
        <v>5.5684870836767225E-16</v>
      </c>
    </row>
    <row r="27" spans="2:81" x14ac:dyDescent="0.15">
      <c r="B27" t="s">
        <v>17</v>
      </c>
      <c r="C27" s="1">
        <f>_xlfn.XLOOKUP($B27,Sort_Alpha!$B$5:$B$47,Sort_Alpha!C$5:C$47,"",0)</f>
        <v>1.0188009882926771E-15</v>
      </c>
      <c r="D27" s="1">
        <f>_xlfn.XLOOKUP($B27,Sort_Alpha!$B$5:$B$47,Sort_Alpha!D$5:D$47,"",0)</f>
        <v>4.156204748134762E-15</v>
      </c>
      <c r="E27" s="1">
        <f>_xlfn.XLOOKUP($B27,Sort_Alpha!$B$5:$B$47,Sort_Alpha!E$5:E$47,"",0)</f>
        <v>1.8636865187124464E-15</v>
      </c>
      <c r="F27" s="1">
        <f>_xlfn.XLOOKUP($B27,Sort_Alpha!$B$5:$B$47,Sort_Alpha!F$5:F$47,"",0)</f>
        <v>2.1703606528318086E-15</v>
      </c>
      <c r="G27" s="1">
        <f>_xlfn.XLOOKUP($B27,Sort_Alpha!$B$5:$B$47,Sort_Alpha!G$5:G$47,"",0)</f>
        <v>2.1340600489667436E-16</v>
      </c>
      <c r="H27" s="1">
        <f>_xlfn.XLOOKUP($B27,Sort_Alpha!$B$5:$B$47,Sort_Alpha!H$5:H$47,"",0)</f>
        <v>7.9052287694230448E-16</v>
      </c>
      <c r="I27" s="1">
        <f>_xlfn.XLOOKUP($B27,Sort_Alpha!$B$5:$B$47,Sort_Alpha!I$5:I$47,"",0)</f>
        <v>3.6955532056116024E-15</v>
      </c>
      <c r="J27" s="1">
        <f>_xlfn.XLOOKUP($B27,Sort_Alpha!$B$5:$B$47,Sort_Alpha!J$5:J$47,"",0)</f>
        <v>3.6955532056116024E-15</v>
      </c>
      <c r="K27" s="1">
        <f>_xlfn.XLOOKUP($B27,Sort_Alpha!$B$5:$B$47,Sort_Alpha!K$5:K$47,"",0)</f>
        <v>3.6955532056116024E-15</v>
      </c>
      <c r="L27" s="1">
        <f>_xlfn.XLOOKUP($B27,Sort_Alpha!$B$5:$B$47,Sort_Alpha!L$5:L$47,"",0)</f>
        <v>1.8636865187124464E-15</v>
      </c>
      <c r="M27" s="1">
        <f>_xlfn.XLOOKUP($B27,Sort_Alpha!$B$5:$B$47,Sort_Alpha!M$5:M$47,"",0)</f>
        <v>1.8636865187124464E-15</v>
      </c>
      <c r="N27" s="1">
        <f>_xlfn.XLOOKUP($B27,Sort_Alpha!$B$5:$B$47,Sort_Alpha!N$5:N$47,"",0)</f>
        <v>1.8636865187124464E-15</v>
      </c>
      <c r="O27" s="1">
        <f>_xlfn.XLOOKUP($B27,Sort_Alpha!$B$5:$B$47,Sort_Alpha!O$5:O$47,"",0)</f>
        <v>1.0248284124461263E-15</v>
      </c>
      <c r="P27" s="1">
        <f>_xlfn.XLOOKUP($B27,Sort_Alpha!$B$5:$B$47,Sort_Alpha!P$5:P$47,"",0)</f>
        <v>3.163684772153271E-16</v>
      </c>
      <c r="Q27" s="1">
        <f>_xlfn.XLOOKUP($B27,Sort_Alpha!$B$5:$B$47,Sort_Alpha!Q$5:Q$47,"",0)</f>
        <v>7.7148126048716503E-16</v>
      </c>
      <c r="R27" s="1">
        <f>_xlfn.XLOOKUP($B27,Sort_Alpha!$B$5:$B$47,Sort_Alpha!R$5:R$47,"",0)</f>
        <v>7.7148126048716503E-16</v>
      </c>
      <c r="S27" s="1">
        <f>_xlfn.XLOOKUP($B27,Sort_Alpha!$B$5:$B$47,Sort_Alpha!S$5:S$47,"",0)</f>
        <v>2.4474269547838267E-16</v>
      </c>
      <c r="T27" s="1">
        <f>_xlfn.XLOOKUP($B27,Sort_Alpha!$B$5:$B$47,Sort_Alpha!T$5:T$47,"",0)</f>
        <v>8.6466176503383514E-16</v>
      </c>
      <c r="U27" s="1">
        <f>_xlfn.XLOOKUP($B27,Sort_Alpha!$B$5:$B$47,Sort_Alpha!U$5:U$47,"",0)</f>
        <v>8.6466176503383514E-16</v>
      </c>
      <c r="V27" s="1">
        <f>_xlfn.XLOOKUP($B27,Sort_Alpha!$B$5:$B$47,Sort_Alpha!V$5:V$47,"",0)</f>
        <v>8.6466176503383514E-16</v>
      </c>
      <c r="W27" s="1">
        <f>_xlfn.XLOOKUP($B27,Sort_Alpha!$B$5:$B$47,Sort_Alpha!W$5:W$47,"",0)</f>
        <v>8.6466176503383514E-16</v>
      </c>
      <c r="X27" s="1">
        <f>_xlfn.XLOOKUP($B27,Sort_Alpha!$B$5:$B$47,Sort_Alpha!X$5:X$47,"",0)</f>
        <v>8.6466176503383514E-16</v>
      </c>
      <c r="Y27" s="1">
        <f>_xlfn.XLOOKUP($B27,Sort_Alpha!$B$5:$B$47,Sort_Alpha!Y$5:Y$47,"",0)</f>
        <v>1.9175879456486546E-16</v>
      </c>
      <c r="Z27" s="1">
        <f>_xlfn.XLOOKUP($B27,Sort_Alpha!$B$5:$B$47,Sort_Alpha!Z$5:Z$47,"",0)</f>
        <v>3.2152600362715946E-15</v>
      </c>
      <c r="AA27" s="1">
        <f>_xlfn.XLOOKUP($B27,Sort_Alpha!$B$5:$B$47,Sort_Alpha!AA$5:AA$47,"",0)</f>
        <v>4.2492557124588731E-15</v>
      </c>
      <c r="AB27" s="1">
        <f>_xlfn.XLOOKUP($B27,Sort_Alpha!$B$5:$B$47,Sort_Alpha!AB$5:AB$47,"",0)</f>
        <v>2.767763136488654E-15</v>
      </c>
      <c r="AC27" s="1">
        <f>_xlfn.XLOOKUP($B27,Sort_Alpha!$B$5:$B$47,Sort_Alpha!AC$5:AC$47,"",0)</f>
        <v>2.7217276620804934E-15</v>
      </c>
      <c r="AD27" s="1">
        <f>_xlfn.XLOOKUP($B27,Sort_Alpha!$B$5:$B$47,Sort_Alpha!AD$5:AD$47,"",0)</f>
        <v>3.0705215090211098E-15</v>
      </c>
      <c r="AE27" s="1">
        <f>_xlfn.XLOOKUP($B27,Sort_Alpha!$B$5:$B$47,Sort_Alpha!AE$5:AE$47,"",0)</f>
        <v>3.6245675015133461E-15</v>
      </c>
      <c r="AF27" s="1">
        <f>_xlfn.XLOOKUP($B27,Sort_Alpha!$B$5:$B$47,Sort_Alpha!AF$5:AF$47,"",0)</f>
        <v>3.6245675015133461E-15</v>
      </c>
      <c r="AG27" s="1">
        <f>_xlfn.XLOOKUP($B27,Sort_Alpha!$B$5:$B$47,Sort_Alpha!AG$5:AG$47,"",0)</f>
        <v>1.5090300885828106E-15</v>
      </c>
      <c r="AH27" s="1">
        <f>_xlfn.XLOOKUP($B27,Sort_Alpha!$B$5:$B$47,Sort_Alpha!AH$5:AH$47,"",0)</f>
        <v>1.9241850085491976E-15</v>
      </c>
      <c r="AI27" s="1">
        <f>_xlfn.XLOOKUP($B27,Sort_Alpha!$B$5:$B$47,Sort_Alpha!AI$5:AI$47,"",0)</f>
        <v>1.8507835521262845E-15</v>
      </c>
      <c r="AJ27" s="1">
        <f>_xlfn.XLOOKUP($B27,Sort_Alpha!$B$5:$B$47,Sort_Alpha!AJ$5:AJ$47,"",0)</f>
        <v>1.1445124496340221E-15</v>
      </c>
      <c r="AK27" s="1">
        <f>_xlfn.XLOOKUP($B27,Sort_Alpha!$B$5:$B$47,Sort_Alpha!AK$5:AK$47,"",0)</f>
        <v>2.7093277252526768E-13</v>
      </c>
      <c r="AL27" s="1">
        <f>_xlfn.XLOOKUP($B27,Sort_Alpha!$B$5:$B$47,Sort_Alpha!AL$5:AL$47,"",0)</f>
        <v>3.4065441781642721E-15</v>
      </c>
      <c r="AM27" s="1">
        <f>_xlfn.XLOOKUP($B27,Sort_Alpha!$B$5:$B$47,Sort_Alpha!AM$5:AM$47,"",0)</f>
        <v>8.916239749027265E-16</v>
      </c>
      <c r="AN27" s="1">
        <f>_xlfn.XLOOKUP($B27,Sort_Alpha!$B$5:$B$47,Sort_Alpha!AN$5:AN$47,"",0)</f>
        <v>4.4976688339768259E-15</v>
      </c>
      <c r="AO27" s="1">
        <f>_xlfn.XLOOKUP($B27,Sort_Alpha!$B$5:$B$47,Sort_Alpha!AO$5:AO$47,"",0)</f>
        <v>4.4976688339768259E-15</v>
      </c>
      <c r="AP27" s="1">
        <f>_xlfn.XLOOKUP($B27,Sort_Alpha!$B$5:$B$47,Sort_Alpha!AP$5:AP$47,"",0)</f>
        <v>4.4976688339768259E-15</v>
      </c>
      <c r="AQ27" s="1">
        <f>_xlfn.XLOOKUP($B27,Sort_Alpha!$B$5:$B$47,Sort_Alpha!AQ$5:AQ$47,"",0)</f>
        <v>6.1628238495282562E-16</v>
      </c>
      <c r="AR27" s="1">
        <f>_xlfn.XLOOKUP($B27,Sort_Alpha!$B$5:$B$47,Sort_Alpha!AR$5:AR$47,"",0)</f>
        <v>6.1628238495282562E-16</v>
      </c>
      <c r="AS27" s="1">
        <f>_xlfn.XLOOKUP($B27,Sort_Alpha!$B$5:$B$47,Sort_Alpha!AS$5:AS$47,"",0)</f>
        <v>3.1637139976586395E-15</v>
      </c>
      <c r="AT27" s="1">
        <f>_xlfn.XLOOKUP($B27,Sort_Alpha!$B$5:$B$47,Sort_Alpha!AT$5:AT$47,"",0)</f>
        <v>4.6215488784005858E-15</v>
      </c>
      <c r="AU27" s="1">
        <f>_xlfn.XLOOKUP($B27,Sort_Alpha!$B$5:$B$47,Sort_Alpha!AU$5:AU$47,"",0)</f>
        <v>3.8929781217166508E-16</v>
      </c>
      <c r="AV27" s="1">
        <f>_xlfn.XLOOKUP($B27,Sort_Alpha!$B$5:$B$47,Sort_Alpha!AV$5:AV$47,"",0)</f>
        <v>0</v>
      </c>
      <c r="AW27" s="1">
        <f>_xlfn.XLOOKUP($B27,Sort_Alpha!$B$5:$B$47,Sort_Alpha!AW$5:AW$47,"",0)</f>
        <v>2.8138185610805429E-15</v>
      </c>
      <c r="AX27" s="1">
        <f>_xlfn.XLOOKUP($B27,Sort_Alpha!$B$5:$B$47,Sort_Alpha!AX$5:AX$47,"",0)</f>
        <v>3.6737228211025336E-15</v>
      </c>
      <c r="AY27" s="1">
        <f>_xlfn.XLOOKUP($B27,Sort_Alpha!$B$5:$B$47,Sort_Alpha!AY$5:AY$47,"",0)</f>
        <v>3.6737228211025336E-15</v>
      </c>
      <c r="AZ27" s="1">
        <f>_xlfn.XLOOKUP($B27,Sort_Alpha!$B$5:$B$47,Sort_Alpha!AZ$5:AZ$47,"",0)</f>
        <v>1.720959365436188E-15</v>
      </c>
      <c r="BA27" s="1">
        <f>_xlfn.XLOOKUP($B27,Sort_Alpha!$B$5:$B$47,Sort_Alpha!BA$5:BA$47,"",0)</f>
        <v>1.8729309778278656E-15</v>
      </c>
      <c r="BB27" s="1">
        <f>_xlfn.XLOOKUP($B27,Sort_Alpha!$B$5:$B$47,Sort_Alpha!BB$5:BB$47,"",0)</f>
        <v>2.5861277159372442E-15</v>
      </c>
      <c r="BC27" s="1">
        <f>_xlfn.XLOOKUP($B27,Sort_Alpha!$B$5:$B$47,Sort_Alpha!BC$5:BC$47,"",0)</f>
        <v>3.3476341653936061E-15</v>
      </c>
      <c r="BD27" s="1">
        <f>_xlfn.XLOOKUP($B27,Sort_Alpha!$B$5:$B$47,Sort_Alpha!BD$5:BD$47,"",0)</f>
        <v>3.3476341653936061E-15</v>
      </c>
      <c r="BE27" s="1">
        <f>_xlfn.XLOOKUP($B27,Sort_Alpha!$B$5:$B$47,Sort_Alpha!BE$5:BE$47,"",0)</f>
        <v>1.2777596734895849E-15</v>
      </c>
      <c r="BF27" s="1">
        <f>_xlfn.XLOOKUP($B27,Sort_Alpha!$B$5:$B$47,Sort_Alpha!BF$5:BF$47,"",0)</f>
        <v>4.6447539254678482E-16</v>
      </c>
      <c r="BG27" s="1">
        <f>_xlfn.XLOOKUP($B27,Sort_Alpha!$B$5:$B$47,Sort_Alpha!BG$5:BG$47,"",0)</f>
        <v>3.8407410158645726E-15</v>
      </c>
      <c r="BH27" s="1">
        <f>_xlfn.XLOOKUP($B27,Sort_Alpha!$B$5:$B$47,Sort_Alpha!BH$5:BH$47,"",0)</f>
        <v>4.9993226694800772E-15</v>
      </c>
      <c r="BI27" s="1">
        <f>_xlfn.XLOOKUP($B27,Sort_Alpha!$B$5:$B$47,Sort_Alpha!BI$5:BI$47,"",0)</f>
        <v>4.9993226694800772E-15</v>
      </c>
      <c r="BJ27" s="1">
        <f>_xlfn.XLOOKUP($B27,Sort_Alpha!$B$5:$B$47,Sort_Alpha!BJ$5:BJ$47,"",0)</f>
        <v>4.9993226694800772E-15</v>
      </c>
      <c r="BK27" s="1">
        <f>_xlfn.XLOOKUP($B27,Sort_Alpha!$B$5:$B$47,Sort_Alpha!BK$5:BK$47,"",0)</f>
        <v>1.7506134725896219E-15</v>
      </c>
      <c r="BL27" s="1">
        <f>_xlfn.XLOOKUP($B27,Sort_Alpha!$B$5:$B$47,Sort_Alpha!BL$5:BL$47,"",0)</f>
        <v>2.4816059438502814E-15</v>
      </c>
      <c r="BM27" s="1">
        <f>_xlfn.XLOOKUP($B27,Sort_Alpha!$B$5:$B$47,Sort_Alpha!BM$5:BM$47,"",0)</f>
        <v>3.2644923746529934E-15</v>
      </c>
      <c r="BN27" s="1">
        <f>_xlfn.XLOOKUP($B27,Sort_Alpha!$B$5:$B$47,Sort_Alpha!BN$5:BN$47,"",0)</f>
        <v>3.2644923746529934E-15</v>
      </c>
      <c r="BO27" s="1">
        <f>_xlfn.XLOOKUP($B27,Sort_Alpha!$B$5:$B$47,Sort_Alpha!BO$5:BO$47,"",0)</f>
        <v>4.4233520191905348E-16</v>
      </c>
      <c r="BP27" s="1">
        <f>_xlfn.XLOOKUP($B27,Sort_Alpha!$B$5:$B$47,Sort_Alpha!BP$5:BP$47,"",0)</f>
        <v>4.4233520191905348E-16</v>
      </c>
      <c r="BQ27" s="1">
        <f>_xlfn.XLOOKUP($B27,Sort_Alpha!$B$5:$B$47,Sort_Alpha!BQ$5:BQ$47,"",0)</f>
        <v>0</v>
      </c>
      <c r="BR27" s="1">
        <f>_xlfn.XLOOKUP($B27,Sort_Alpha!$B$5:$B$47,Sort_Alpha!BR$5:BR$47,"",0)</f>
        <v>4.4426772373116744E-15</v>
      </c>
      <c r="BS27" s="1">
        <f>_xlfn.XLOOKUP($B27,Sort_Alpha!$B$5:$B$47,Sort_Alpha!BS$5:BS$47,"",0)</f>
        <v>3.1218891595380352E-15</v>
      </c>
      <c r="BT27" s="1">
        <f>_xlfn.XLOOKUP($B27,Sort_Alpha!$B$5:$B$47,Sort_Alpha!BT$5:BT$47,"",0)</f>
        <v>6.6809712604405581E-16</v>
      </c>
      <c r="BU27" s="1">
        <f>_xlfn.XLOOKUP($B27,Sort_Alpha!$B$5:$B$47,Sort_Alpha!BU$5:BU$47,"",0)</f>
        <v>6.547002348961526E-16</v>
      </c>
      <c r="BV27" s="1">
        <f>_xlfn.XLOOKUP($B27,Sort_Alpha!$B$5:$B$47,Sort_Alpha!BV$5:BV$47,"",0)</f>
        <v>1.0895035724293601E-15</v>
      </c>
      <c r="BW27" s="1">
        <f>_xlfn.XLOOKUP($B27,Sort_Alpha!$B$5:$B$47,Sort_Alpha!BW$5:BW$47,"",0)</f>
        <v>8.7583077332775208E-16</v>
      </c>
      <c r="BX27" s="1">
        <f>_xlfn.XLOOKUP($B27,Sort_Alpha!$B$5:$B$47,Sort_Alpha!BX$5:BX$47,"",0)</f>
        <v>8.7583077332775208E-16</v>
      </c>
      <c r="BY27" s="1">
        <f>_xlfn.XLOOKUP($B27,Sort_Alpha!$B$5:$B$47,Sort_Alpha!BY$5:BY$47,"",0)</f>
        <v>4.9346633969505554E-15</v>
      </c>
      <c r="BZ27" s="1">
        <f>_xlfn.XLOOKUP($B27,Sort_Alpha!$B$5:$B$47,Sort_Alpha!BZ$5:BZ$47,"",0)</f>
        <v>2.1746409256270809E-15</v>
      </c>
      <c r="CA27" s="1">
        <f>_xlfn.XLOOKUP($B27,Sort_Alpha!$B$5:$B$47,Sort_Alpha!CA$5:CA$47,"",0)</f>
        <v>2.4595002855706925E-15</v>
      </c>
      <c r="CB27" s="1">
        <f>_xlfn.XLOOKUP($B27,Sort_Alpha!$B$5:$B$47,Sort_Alpha!CB$5:CB$47,"",0)</f>
        <v>3.1642806381289191E-15</v>
      </c>
      <c r="CC27" s="1">
        <f>_xlfn.XLOOKUP($B27,Sort_Alpha!$B$5:$B$47,Sort_Alpha!CC$5:CC$47,"",0)</f>
        <v>6.6888682151126125E-16</v>
      </c>
    </row>
    <row r="28" spans="2:81" x14ac:dyDescent="0.15">
      <c r="B28" t="s">
        <v>18</v>
      </c>
      <c r="C28" s="1">
        <f>_xlfn.XLOOKUP($B28,Sort_Alpha!$B$5:$B$47,Sort_Alpha!C$5:C$47,"",0)</f>
        <v>7.0006325047122851E-16</v>
      </c>
      <c r="D28" s="1">
        <f>_xlfn.XLOOKUP($B28,Sort_Alpha!$B$5:$B$47,Sort_Alpha!D$5:D$47,"",0)</f>
        <v>7.1394001662074808E-16</v>
      </c>
      <c r="E28" s="1">
        <f>_xlfn.XLOOKUP($B28,Sort_Alpha!$B$5:$B$47,Sort_Alpha!E$5:E$47,"",0)</f>
        <v>7.6767801747527884E-15</v>
      </c>
      <c r="F28" s="1">
        <f>_xlfn.XLOOKUP($B28,Sort_Alpha!$B$5:$B$47,Sort_Alpha!F$5:F$47,"",0)</f>
        <v>2.6732980366581152E-15</v>
      </c>
      <c r="G28" s="1">
        <f>_xlfn.XLOOKUP($B28,Sort_Alpha!$B$5:$B$47,Sort_Alpha!G$5:G$47,"",0)</f>
        <v>3.9425125958618183E-16</v>
      </c>
      <c r="H28" s="1">
        <f>_xlfn.XLOOKUP($B28,Sort_Alpha!$B$5:$B$47,Sort_Alpha!H$5:H$47,"",0)</f>
        <v>1.8184208243784406E-15</v>
      </c>
      <c r="I28" s="1">
        <f>_xlfn.XLOOKUP($B28,Sort_Alpha!$B$5:$B$47,Sort_Alpha!I$5:I$47,"",0)</f>
        <v>1.6380199159331288E-13</v>
      </c>
      <c r="J28" s="1">
        <f>_xlfn.XLOOKUP($B28,Sort_Alpha!$B$5:$B$47,Sort_Alpha!J$5:J$47,"",0)</f>
        <v>1.6380199159331288E-13</v>
      </c>
      <c r="K28" s="1">
        <f>_xlfn.XLOOKUP($B28,Sort_Alpha!$B$5:$B$47,Sort_Alpha!K$5:K$47,"",0)</f>
        <v>1.6380199159331288E-13</v>
      </c>
      <c r="L28" s="1">
        <f>_xlfn.XLOOKUP($B28,Sort_Alpha!$B$5:$B$47,Sort_Alpha!L$5:L$47,"",0)</f>
        <v>7.6767801747527884E-15</v>
      </c>
      <c r="M28" s="1">
        <f>_xlfn.XLOOKUP($B28,Sort_Alpha!$B$5:$B$47,Sort_Alpha!M$5:M$47,"",0)</f>
        <v>7.6767801747527884E-15</v>
      </c>
      <c r="N28" s="1">
        <f>_xlfn.XLOOKUP($B28,Sort_Alpha!$B$5:$B$47,Sort_Alpha!N$5:N$47,"",0)</f>
        <v>7.6767801747527884E-15</v>
      </c>
      <c r="O28" s="1">
        <f>_xlfn.XLOOKUP($B28,Sort_Alpha!$B$5:$B$47,Sort_Alpha!O$5:O$47,"",0)</f>
        <v>1.1811883605249635E-15</v>
      </c>
      <c r="P28" s="1">
        <f>_xlfn.XLOOKUP($B28,Sort_Alpha!$B$5:$B$47,Sort_Alpha!P$5:P$47,"",0)</f>
        <v>1.3992686419037259E-16</v>
      </c>
      <c r="Q28" s="1">
        <f>_xlfn.XLOOKUP($B28,Sort_Alpha!$B$5:$B$47,Sort_Alpha!Q$5:Q$47,"",0)</f>
        <v>1.0103660336036639E-15</v>
      </c>
      <c r="R28" s="1">
        <f>_xlfn.XLOOKUP($B28,Sort_Alpha!$B$5:$B$47,Sort_Alpha!R$5:R$47,"",0)</f>
        <v>1.0103660336036639E-15</v>
      </c>
      <c r="S28" s="1">
        <f>_xlfn.XLOOKUP($B28,Sort_Alpha!$B$5:$B$47,Sort_Alpha!S$5:S$47,"",0)</f>
        <v>6.910400278947653E-16</v>
      </c>
      <c r="T28" s="1">
        <f>_xlfn.XLOOKUP($B28,Sort_Alpha!$B$5:$B$47,Sort_Alpha!T$5:T$47,"",0)</f>
        <v>9.0158151545075448E-15</v>
      </c>
      <c r="U28" s="1">
        <f>_xlfn.XLOOKUP($B28,Sort_Alpha!$B$5:$B$47,Sort_Alpha!U$5:U$47,"",0)</f>
        <v>9.0158151545075448E-15</v>
      </c>
      <c r="V28" s="1">
        <f>_xlfn.XLOOKUP($B28,Sort_Alpha!$B$5:$B$47,Sort_Alpha!V$5:V$47,"",0)</f>
        <v>9.0158151545075448E-15</v>
      </c>
      <c r="W28" s="1">
        <f>_xlfn.XLOOKUP($B28,Sort_Alpha!$B$5:$B$47,Sort_Alpha!W$5:W$47,"",0)</f>
        <v>9.0158151545075448E-15</v>
      </c>
      <c r="X28" s="1">
        <f>_xlfn.XLOOKUP($B28,Sort_Alpha!$B$5:$B$47,Sort_Alpha!X$5:X$47,"",0)</f>
        <v>9.0158151545075448E-15</v>
      </c>
      <c r="Y28" s="1">
        <f>_xlfn.XLOOKUP($B28,Sort_Alpha!$B$5:$B$47,Sort_Alpha!Y$5:Y$47,"",0)</f>
        <v>4.4062852010240124E-16</v>
      </c>
      <c r="Z28" s="1">
        <f>_xlfn.XLOOKUP($B28,Sort_Alpha!$B$5:$B$47,Sort_Alpha!Z$5:Z$47,"",0)</f>
        <v>6.2010883899399798E-16</v>
      </c>
      <c r="AA28" s="1">
        <f>_xlfn.XLOOKUP($B28,Sort_Alpha!$B$5:$B$47,Sort_Alpha!AA$5:AA$47,"",0)</f>
        <v>6.0553655071383452E-16</v>
      </c>
      <c r="AB28" s="1">
        <f>_xlfn.XLOOKUP($B28,Sort_Alpha!$B$5:$B$47,Sort_Alpha!AB$5:AB$47,"",0)</f>
        <v>1.0402896856959549E-14</v>
      </c>
      <c r="AC28" s="1">
        <f>_xlfn.XLOOKUP($B28,Sort_Alpha!$B$5:$B$47,Sort_Alpha!AC$5:AC$47,"",0)</f>
        <v>3.9054112741346085E-16</v>
      </c>
      <c r="AD28" s="1">
        <f>_xlfn.XLOOKUP($B28,Sort_Alpha!$B$5:$B$47,Sort_Alpha!AD$5:AD$47,"",0)</f>
        <v>6.9612090764097555E-17</v>
      </c>
      <c r="AE28" s="1">
        <f>_xlfn.XLOOKUP($B28,Sort_Alpha!$B$5:$B$47,Sort_Alpha!AE$5:AE$47,"",0)</f>
        <v>5.7150302931979131E-17</v>
      </c>
      <c r="AF28" s="1">
        <f>_xlfn.XLOOKUP($B28,Sort_Alpha!$B$5:$B$47,Sort_Alpha!AF$5:AF$47,"",0)</f>
        <v>5.7150302931979131E-17</v>
      </c>
      <c r="AG28" s="1">
        <f>_xlfn.XLOOKUP($B28,Sort_Alpha!$B$5:$B$47,Sort_Alpha!AG$5:AG$47,"",0)</f>
        <v>9.92593205911657E-16</v>
      </c>
      <c r="AH28" s="1">
        <f>_xlfn.XLOOKUP($B28,Sort_Alpha!$B$5:$B$47,Sort_Alpha!AH$5:AH$47,"",0)</f>
        <v>1.2881805197479093E-14</v>
      </c>
      <c r="AI28" s="1">
        <f>_xlfn.XLOOKUP($B28,Sort_Alpha!$B$5:$B$47,Sort_Alpha!AI$5:AI$47,"",0)</f>
        <v>7.7751131045896358E-15</v>
      </c>
      <c r="AJ28" s="1">
        <f>_xlfn.XLOOKUP($B28,Sort_Alpha!$B$5:$B$47,Sort_Alpha!AJ$5:AJ$47,"",0)</f>
        <v>1.0014403719848932E-14</v>
      </c>
      <c r="AK28" s="1">
        <f>_xlfn.XLOOKUP($B28,Sort_Alpha!$B$5:$B$47,Sort_Alpha!AK$5:AK$47,"",0)</f>
        <v>3.4379877223849948E-15</v>
      </c>
      <c r="AL28" s="1">
        <f>_xlfn.XLOOKUP($B28,Sort_Alpha!$B$5:$B$47,Sort_Alpha!AL$5:AL$47,"",0)</f>
        <v>2.830065598690856E-12</v>
      </c>
      <c r="AM28" s="1">
        <f>_xlfn.XLOOKUP($B28,Sort_Alpha!$B$5:$B$47,Sort_Alpha!AM$5:AM$47,"",0)</f>
        <v>7.2709365729448574E-16</v>
      </c>
      <c r="AN28" s="1">
        <f>_xlfn.XLOOKUP($B28,Sort_Alpha!$B$5:$B$47,Sort_Alpha!AN$5:AN$47,"",0)</f>
        <v>3.1843431656269051E-14</v>
      </c>
      <c r="AO28" s="1">
        <f>_xlfn.XLOOKUP($B28,Sort_Alpha!$B$5:$B$47,Sort_Alpha!AO$5:AO$47,"",0)</f>
        <v>3.1843431656269051E-14</v>
      </c>
      <c r="AP28" s="1">
        <f>_xlfn.XLOOKUP($B28,Sort_Alpha!$B$5:$B$47,Sort_Alpha!AP$5:AP$47,"",0)</f>
        <v>3.1843431656269051E-14</v>
      </c>
      <c r="AQ28" s="1">
        <f>_xlfn.XLOOKUP($B28,Sort_Alpha!$B$5:$B$47,Sort_Alpha!AQ$5:AQ$47,"",0)</f>
        <v>2.4917246377025832E-15</v>
      </c>
      <c r="AR28" s="1">
        <f>_xlfn.XLOOKUP($B28,Sort_Alpha!$B$5:$B$47,Sort_Alpha!AR$5:AR$47,"",0)</f>
        <v>2.4916378378138014E-15</v>
      </c>
      <c r="AS28" s="1">
        <f>_xlfn.XLOOKUP($B28,Sort_Alpha!$B$5:$B$47,Sort_Alpha!AS$5:AS$47,"",0)</f>
        <v>1.3821413132668921E-17</v>
      </c>
      <c r="AT28" s="1">
        <f>_xlfn.XLOOKUP($B28,Sort_Alpha!$B$5:$B$47,Sort_Alpha!AT$5:AT$47,"",0)</f>
        <v>3.3841608698939962E-16</v>
      </c>
      <c r="AU28" s="1">
        <f>_xlfn.XLOOKUP($B28,Sort_Alpha!$B$5:$B$47,Sort_Alpha!AU$5:AU$47,"",0)</f>
        <v>8.1115366255215732E-16</v>
      </c>
      <c r="AV28" s="1">
        <f>_xlfn.XLOOKUP($B28,Sort_Alpha!$B$5:$B$47,Sort_Alpha!AV$5:AV$47,"",0)</f>
        <v>0</v>
      </c>
      <c r="AW28" s="1">
        <f>_xlfn.XLOOKUP($B28,Sort_Alpha!$B$5:$B$47,Sort_Alpha!AW$5:AW$47,"",0)</f>
        <v>1.5326222265476096E-17</v>
      </c>
      <c r="AX28" s="1">
        <f>_xlfn.XLOOKUP($B28,Sort_Alpha!$B$5:$B$47,Sort_Alpha!AX$5:AX$47,"",0)</f>
        <v>1.489908522952024E-17</v>
      </c>
      <c r="AY28" s="1">
        <f>_xlfn.XLOOKUP($B28,Sort_Alpha!$B$5:$B$47,Sort_Alpha!AY$5:AY$47,"",0)</f>
        <v>1.6751828184307184E-17</v>
      </c>
      <c r="AZ28" s="1">
        <f>_xlfn.XLOOKUP($B28,Sort_Alpha!$B$5:$B$47,Sort_Alpha!AZ$5:AZ$47,"",0)</f>
        <v>2.245461436897112E-15</v>
      </c>
      <c r="BA28" s="1">
        <f>_xlfn.XLOOKUP($B28,Sort_Alpha!$B$5:$B$47,Sort_Alpha!BA$5:BA$47,"",0)</f>
        <v>9.2623477707996162E-15</v>
      </c>
      <c r="BB28" s="1">
        <f>_xlfn.XLOOKUP($B28,Sort_Alpha!$B$5:$B$47,Sort_Alpha!BB$5:BB$47,"",0)</f>
        <v>9.0129975151850105E-17</v>
      </c>
      <c r="BC28" s="1">
        <f>_xlfn.XLOOKUP($B28,Sort_Alpha!$B$5:$B$47,Sort_Alpha!BC$5:BC$47,"",0)</f>
        <v>8.926311063610476E-17</v>
      </c>
      <c r="BD28" s="1">
        <f>_xlfn.XLOOKUP($B28,Sort_Alpha!$B$5:$B$47,Sort_Alpha!BD$5:BD$47,"",0)</f>
        <v>8.9274181748526546E-17</v>
      </c>
      <c r="BE28" s="1">
        <f>_xlfn.XLOOKUP($B28,Sort_Alpha!$B$5:$B$47,Sort_Alpha!BE$5:BE$47,"",0)</f>
        <v>2.3788460390939048E-15</v>
      </c>
      <c r="BF28" s="1">
        <f>_xlfn.XLOOKUP($B28,Sort_Alpha!$B$5:$B$47,Sort_Alpha!BF$5:BF$47,"",0)</f>
        <v>4.3434153730830522E-16</v>
      </c>
      <c r="BG28" s="1">
        <f>_xlfn.XLOOKUP($B28,Sort_Alpha!$B$5:$B$47,Sort_Alpha!BG$5:BG$47,"",0)</f>
        <v>1.4384183604134065E-16</v>
      </c>
      <c r="BH28" s="1">
        <f>_xlfn.XLOOKUP($B28,Sort_Alpha!$B$5:$B$47,Sort_Alpha!BH$5:BH$47,"",0)</f>
        <v>1.218133940134225E-16</v>
      </c>
      <c r="BI28" s="1">
        <f>_xlfn.XLOOKUP($B28,Sort_Alpha!$B$5:$B$47,Sort_Alpha!BI$5:BI$47,"",0)</f>
        <v>1.218133940134225E-16</v>
      </c>
      <c r="BJ28" s="1">
        <f>_xlfn.XLOOKUP($B28,Sort_Alpha!$B$5:$B$47,Sort_Alpha!BJ$5:BJ$47,"",0)</f>
        <v>1.218133940134225E-16</v>
      </c>
      <c r="BK28" s="1">
        <f>_xlfn.XLOOKUP($B28,Sort_Alpha!$B$5:$B$47,Sort_Alpha!BK$5:BK$47,"",0)</f>
        <v>8.8132526332617603E-16</v>
      </c>
      <c r="BL28" s="1">
        <f>_xlfn.XLOOKUP($B28,Sort_Alpha!$B$5:$B$47,Sort_Alpha!BL$5:BL$47,"",0)</f>
        <v>6.8186774178073328E-16</v>
      </c>
      <c r="BM28" s="1">
        <f>_xlfn.XLOOKUP($B28,Sort_Alpha!$B$5:$B$47,Sort_Alpha!BM$5:BM$47,"",0)</f>
        <v>5.6868051535226456E-16</v>
      </c>
      <c r="BN28" s="1">
        <f>_xlfn.XLOOKUP($B28,Sort_Alpha!$B$5:$B$47,Sort_Alpha!BN$5:BN$47,"",0)</f>
        <v>5.6864273415645102E-16</v>
      </c>
      <c r="BO28" s="1">
        <f>_xlfn.XLOOKUP($B28,Sort_Alpha!$B$5:$B$47,Sort_Alpha!BO$5:BO$47,"",0)</f>
        <v>1.5722824877191879E-15</v>
      </c>
      <c r="BP28" s="1">
        <f>_xlfn.XLOOKUP($B28,Sort_Alpha!$B$5:$B$47,Sort_Alpha!BP$5:BP$47,"",0)</f>
        <v>1.5722824877191879E-15</v>
      </c>
      <c r="BQ28" s="1">
        <f>_xlfn.XLOOKUP($B28,Sort_Alpha!$B$5:$B$47,Sort_Alpha!BQ$5:BQ$47,"",0)</f>
        <v>0</v>
      </c>
      <c r="BR28" s="1">
        <f>_xlfn.XLOOKUP($B28,Sort_Alpha!$B$5:$B$47,Sort_Alpha!BR$5:BR$47,"",0)</f>
        <v>1.9570473711829924E-14</v>
      </c>
      <c r="BS28" s="1">
        <f>_xlfn.XLOOKUP($B28,Sort_Alpha!$B$5:$B$47,Sort_Alpha!BS$5:BS$47,"",0)</f>
        <v>5.4405300342472684E-14</v>
      </c>
      <c r="BT28" s="1">
        <f>_xlfn.XLOOKUP($B28,Sort_Alpha!$B$5:$B$47,Sort_Alpha!BT$5:BT$47,"",0)</f>
        <v>2.6570561333359809E-15</v>
      </c>
      <c r="BU28" s="1">
        <f>_xlfn.XLOOKUP($B28,Sort_Alpha!$B$5:$B$47,Sort_Alpha!BU$5:BU$47,"",0)</f>
        <v>1.8643218062735942E-15</v>
      </c>
      <c r="BV28" s="1">
        <f>_xlfn.XLOOKUP($B28,Sort_Alpha!$B$5:$B$47,Sort_Alpha!BV$5:BV$47,"",0)</f>
        <v>1.3151966636635653E-15</v>
      </c>
      <c r="BW28" s="1">
        <f>_xlfn.XLOOKUP($B28,Sort_Alpha!$B$5:$B$47,Sort_Alpha!BW$5:BW$47,"",0)</f>
        <v>9.2108853463511832E-16</v>
      </c>
      <c r="BX28" s="1">
        <f>_xlfn.XLOOKUP($B28,Sort_Alpha!$B$5:$B$47,Sort_Alpha!BX$5:BX$47,"",0)</f>
        <v>9.2108853463511832E-16</v>
      </c>
      <c r="BY28" s="1">
        <f>_xlfn.XLOOKUP($B28,Sort_Alpha!$B$5:$B$47,Sort_Alpha!BY$5:BY$47,"",0)</f>
        <v>1.163981033134442E-16</v>
      </c>
      <c r="BZ28" s="1">
        <f>_xlfn.XLOOKUP($B28,Sort_Alpha!$B$5:$B$47,Sort_Alpha!BZ$5:BZ$47,"",0)</f>
        <v>8.8422461749619452E-18</v>
      </c>
      <c r="CA28" s="1">
        <f>_xlfn.XLOOKUP($B28,Sort_Alpha!$B$5:$B$47,Sort_Alpha!CA$5:CA$47,"",0)</f>
        <v>1.3803925086582944E-17</v>
      </c>
      <c r="CB28" s="1">
        <f>_xlfn.XLOOKUP($B28,Sort_Alpha!$B$5:$B$47,Sort_Alpha!CB$5:CB$47,"",0)</f>
        <v>1.7060263682715196E-17</v>
      </c>
      <c r="CC28" s="1">
        <f>_xlfn.XLOOKUP($B28,Sort_Alpha!$B$5:$B$47,Sort_Alpha!CC$5:CC$47,"",0)</f>
        <v>5.8250020533334546E-16</v>
      </c>
    </row>
    <row r="29" spans="2:81" x14ac:dyDescent="0.15">
      <c r="B29" t="s">
        <v>19</v>
      </c>
      <c r="C29" s="1">
        <f>_xlfn.XLOOKUP($B29,Sort_Alpha!$B$5:$B$47,Sort_Alpha!C$5:C$47,"",0)</f>
        <v>7.3471381136066009E-16</v>
      </c>
      <c r="D29" s="1">
        <f>_xlfn.XLOOKUP($B29,Sort_Alpha!$B$5:$B$47,Sort_Alpha!D$5:D$47,"",0)</f>
        <v>7.2222805257985073E-16</v>
      </c>
      <c r="E29" s="1">
        <f>_xlfn.XLOOKUP($B29,Sort_Alpha!$B$5:$B$47,Sort_Alpha!E$5:E$47,"",0)</f>
        <v>7.0919122919881331E-16</v>
      </c>
      <c r="F29" s="1">
        <f>_xlfn.XLOOKUP($B29,Sort_Alpha!$B$5:$B$47,Sort_Alpha!F$5:F$47,"",0)</f>
        <v>7.9449912190099006E-16</v>
      </c>
      <c r="G29" s="1">
        <f>_xlfn.XLOOKUP($B29,Sort_Alpha!$B$5:$B$47,Sort_Alpha!G$5:G$47,"",0)</f>
        <v>1.6102458539753498E-16</v>
      </c>
      <c r="H29" s="1">
        <f>_xlfn.XLOOKUP($B29,Sort_Alpha!$B$5:$B$47,Sort_Alpha!H$5:H$47,"",0)</f>
        <v>3.9604707582688911E-16</v>
      </c>
      <c r="I29" s="1">
        <f>_xlfn.XLOOKUP($B29,Sort_Alpha!$B$5:$B$47,Sort_Alpha!I$5:I$47,"",0)</f>
        <v>7.2024021681110779E-16</v>
      </c>
      <c r="J29" s="1">
        <f>_xlfn.XLOOKUP($B29,Sort_Alpha!$B$5:$B$47,Sort_Alpha!J$5:J$47,"",0)</f>
        <v>7.2024021681110779E-16</v>
      </c>
      <c r="K29" s="1">
        <f>_xlfn.XLOOKUP($B29,Sort_Alpha!$B$5:$B$47,Sort_Alpha!K$5:K$47,"",0)</f>
        <v>7.2024021681110779E-16</v>
      </c>
      <c r="L29" s="1">
        <f>_xlfn.XLOOKUP($B29,Sort_Alpha!$B$5:$B$47,Sort_Alpha!L$5:L$47,"",0)</f>
        <v>7.0919122919881331E-16</v>
      </c>
      <c r="M29" s="1">
        <f>_xlfn.XLOOKUP($B29,Sort_Alpha!$B$5:$B$47,Sort_Alpha!M$5:M$47,"",0)</f>
        <v>7.0919122919881331E-16</v>
      </c>
      <c r="N29" s="1">
        <f>_xlfn.XLOOKUP($B29,Sort_Alpha!$B$5:$B$47,Sort_Alpha!N$5:N$47,"",0)</f>
        <v>7.0919122919881331E-16</v>
      </c>
      <c r="O29" s="1">
        <f>_xlfn.XLOOKUP($B29,Sort_Alpha!$B$5:$B$47,Sort_Alpha!O$5:O$47,"",0)</f>
        <v>8.7103552194612692E-16</v>
      </c>
      <c r="P29" s="1">
        <f>_xlfn.XLOOKUP($B29,Sort_Alpha!$B$5:$B$47,Sort_Alpha!P$5:P$47,"",0)</f>
        <v>1.036161792612855E-15</v>
      </c>
      <c r="Q29" s="1">
        <f>_xlfn.XLOOKUP($B29,Sort_Alpha!$B$5:$B$47,Sort_Alpha!Q$5:Q$47,"",0)</f>
        <v>9.2391325319326621E-16</v>
      </c>
      <c r="R29" s="1">
        <f>_xlfn.XLOOKUP($B29,Sort_Alpha!$B$5:$B$47,Sort_Alpha!R$5:R$47,"",0)</f>
        <v>9.2391325319326621E-16</v>
      </c>
      <c r="S29" s="1">
        <f>_xlfn.XLOOKUP($B29,Sort_Alpha!$B$5:$B$47,Sort_Alpha!S$5:S$47,"",0)</f>
        <v>2.3161168283214863E-16</v>
      </c>
      <c r="T29" s="1">
        <f>_xlfn.XLOOKUP($B29,Sort_Alpha!$B$5:$B$47,Sort_Alpha!T$5:T$47,"",0)</f>
        <v>6.2364099110228336E-16</v>
      </c>
      <c r="U29" s="1">
        <f>_xlfn.XLOOKUP($B29,Sort_Alpha!$B$5:$B$47,Sort_Alpha!U$5:U$47,"",0)</f>
        <v>6.2364099110228336E-16</v>
      </c>
      <c r="V29" s="1">
        <f>_xlfn.XLOOKUP($B29,Sort_Alpha!$B$5:$B$47,Sort_Alpha!V$5:V$47,"",0)</f>
        <v>6.2364099110228336E-16</v>
      </c>
      <c r="W29" s="1">
        <f>_xlfn.XLOOKUP($B29,Sort_Alpha!$B$5:$B$47,Sort_Alpha!W$5:W$47,"",0)</f>
        <v>6.2364099110228336E-16</v>
      </c>
      <c r="X29" s="1">
        <f>_xlfn.XLOOKUP($B29,Sort_Alpha!$B$5:$B$47,Sort_Alpha!X$5:X$47,"",0)</f>
        <v>6.2364099110228336E-16</v>
      </c>
      <c r="Y29" s="1">
        <f>_xlfn.XLOOKUP($B29,Sort_Alpha!$B$5:$B$47,Sort_Alpha!Y$5:Y$47,"",0)</f>
        <v>1.9728908850557656E-16</v>
      </c>
      <c r="Z29" s="1">
        <f>_xlfn.XLOOKUP($B29,Sort_Alpha!$B$5:$B$47,Sort_Alpha!Z$5:Z$47,"",0)</f>
        <v>5.3945094977152098E-16</v>
      </c>
      <c r="AA29" s="1">
        <f>_xlfn.XLOOKUP($B29,Sort_Alpha!$B$5:$B$47,Sort_Alpha!AA$5:AA$47,"",0)</f>
        <v>5.5306091837086318E-16</v>
      </c>
      <c r="AB29" s="1">
        <f>_xlfn.XLOOKUP($B29,Sort_Alpha!$B$5:$B$47,Sort_Alpha!AB$5:AB$47,"",0)</f>
        <v>5.3200340467016783E-16</v>
      </c>
      <c r="AC29" s="1">
        <f>_xlfn.XLOOKUP($B29,Sort_Alpha!$B$5:$B$47,Sort_Alpha!AC$5:AC$47,"",0)</f>
        <v>7.9898267575988874E-16</v>
      </c>
      <c r="AD29" s="1">
        <f>_xlfn.XLOOKUP($B29,Sort_Alpha!$B$5:$B$47,Sort_Alpha!AD$5:AD$47,"",0)</f>
        <v>8.6676230878894881E-16</v>
      </c>
      <c r="AE29" s="1">
        <f>_xlfn.XLOOKUP($B29,Sort_Alpha!$B$5:$B$47,Sort_Alpha!AE$5:AE$47,"",0)</f>
        <v>9.2215049967751141E-16</v>
      </c>
      <c r="AF29" s="1">
        <f>_xlfn.XLOOKUP($B29,Sort_Alpha!$B$5:$B$47,Sort_Alpha!AF$5:AF$47,"",0)</f>
        <v>9.0551793487534592E-16</v>
      </c>
      <c r="AG29" s="1">
        <f>_xlfn.XLOOKUP($B29,Sort_Alpha!$B$5:$B$47,Sort_Alpha!AG$5:AG$47,"",0)</f>
        <v>5.2388832158153913E-16</v>
      </c>
      <c r="AH29" s="1">
        <f>_xlfn.XLOOKUP($B29,Sort_Alpha!$B$5:$B$47,Sort_Alpha!AH$5:AH$47,"",0)</f>
        <v>7.0961215142198757E-16</v>
      </c>
      <c r="AI29" s="1">
        <f>_xlfn.XLOOKUP($B29,Sort_Alpha!$B$5:$B$47,Sort_Alpha!AI$5:AI$47,"",0)</f>
        <v>7.0298109038616993E-16</v>
      </c>
      <c r="AJ29" s="1">
        <f>_xlfn.XLOOKUP($B29,Sort_Alpha!$B$5:$B$47,Sort_Alpha!AJ$5:AJ$47,"",0)</f>
        <v>9.0168810367176079E-16</v>
      </c>
      <c r="AK29" s="1">
        <f>_xlfn.XLOOKUP($B29,Sort_Alpha!$B$5:$B$47,Sort_Alpha!AK$5:AK$47,"",0)</f>
        <v>8.918732258656818E-16</v>
      </c>
      <c r="AL29" s="1">
        <f>_xlfn.XLOOKUP($B29,Sort_Alpha!$B$5:$B$47,Sort_Alpha!AL$5:AL$47,"",0)</f>
        <v>7.4338445320685147E-16</v>
      </c>
      <c r="AM29" s="1">
        <f>_xlfn.XLOOKUP($B29,Sort_Alpha!$B$5:$B$47,Sort_Alpha!AM$5:AM$47,"",0)</f>
        <v>3.391239153009377E-15</v>
      </c>
      <c r="AN29" s="1">
        <f>_xlfn.XLOOKUP($B29,Sort_Alpha!$B$5:$B$47,Sort_Alpha!AN$5:AN$47,"",0)</f>
        <v>7.3519299794042437E-16</v>
      </c>
      <c r="AO29" s="1">
        <f>_xlfn.XLOOKUP($B29,Sort_Alpha!$B$5:$B$47,Sort_Alpha!AO$5:AO$47,"",0)</f>
        <v>7.3519299794042437E-16</v>
      </c>
      <c r="AP29" s="1">
        <f>_xlfn.XLOOKUP($B29,Sort_Alpha!$B$5:$B$47,Sort_Alpha!AP$5:AP$47,"",0)</f>
        <v>7.3519299794042437E-16</v>
      </c>
      <c r="AQ29" s="1">
        <f>_xlfn.XLOOKUP($B29,Sort_Alpha!$B$5:$B$47,Sort_Alpha!AQ$5:AQ$47,"",0)</f>
        <v>5.6111458158222436E-16</v>
      </c>
      <c r="AR29" s="1">
        <f>_xlfn.XLOOKUP($B29,Sort_Alpha!$B$5:$B$47,Sort_Alpha!AR$5:AR$47,"",0)</f>
        <v>5.6111458158222436E-16</v>
      </c>
      <c r="AS29" s="1">
        <f>_xlfn.XLOOKUP($B29,Sort_Alpha!$B$5:$B$47,Sort_Alpha!AS$5:AS$47,"",0)</f>
        <v>1.175157872280283E-15</v>
      </c>
      <c r="AT29" s="1">
        <f>_xlfn.XLOOKUP($B29,Sort_Alpha!$B$5:$B$47,Sort_Alpha!AT$5:AT$47,"",0)</f>
        <v>5.8464269508441224E-16</v>
      </c>
      <c r="AU29" s="1">
        <f>_xlfn.XLOOKUP($B29,Sort_Alpha!$B$5:$B$47,Sort_Alpha!AU$5:AU$47,"",0)</f>
        <v>2.911461888690614E-16</v>
      </c>
      <c r="AV29" s="1">
        <f>_xlfn.XLOOKUP($B29,Sort_Alpha!$B$5:$B$47,Sort_Alpha!AV$5:AV$47,"",0)</f>
        <v>0</v>
      </c>
      <c r="AW29" s="1">
        <f>_xlfn.XLOOKUP($B29,Sort_Alpha!$B$5:$B$47,Sort_Alpha!AW$5:AW$47,"",0)</f>
        <v>9.7279869625912593E-16</v>
      </c>
      <c r="AX29" s="1">
        <f>_xlfn.XLOOKUP($B29,Sort_Alpha!$B$5:$B$47,Sort_Alpha!AX$5:AX$47,"",0)</f>
        <v>1.0881851355272548E-15</v>
      </c>
      <c r="AY29" s="1">
        <f>_xlfn.XLOOKUP($B29,Sort_Alpha!$B$5:$B$47,Sort_Alpha!AY$5:AY$47,"",0)</f>
        <v>1.0881851355272548E-15</v>
      </c>
      <c r="AZ29" s="1">
        <f>_xlfn.XLOOKUP($B29,Sort_Alpha!$B$5:$B$47,Sort_Alpha!AZ$5:AZ$47,"",0)</f>
        <v>9.6140620524544704E-16</v>
      </c>
      <c r="BA29" s="1">
        <f>_xlfn.XLOOKUP($B29,Sort_Alpha!$B$5:$B$47,Sort_Alpha!BA$5:BA$47,"",0)</f>
        <v>7.0804322893752286E-16</v>
      </c>
      <c r="BB29" s="1">
        <f>_xlfn.XLOOKUP($B29,Sort_Alpha!$B$5:$B$47,Sort_Alpha!BB$5:BB$47,"",0)</f>
        <v>8.6357685370296772E-16</v>
      </c>
      <c r="BC29" s="1">
        <f>_xlfn.XLOOKUP($B29,Sort_Alpha!$B$5:$B$47,Sort_Alpha!BC$5:BC$47,"",0)</f>
        <v>9.2377786123497771E-16</v>
      </c>
      <c r="BD29" s="1">
        <f>_xlfn.XLOOKUP($B29,Sort_Alpha!$B$5:$B$47,Sort_Alpha!BD$5:BD$47,"",0)</f>
        <v>9.2377786123497771E-16</v>
      </c>
      <c r="BE29" s="1">
        <f>_xlfn.XLOOKUP($B29,Sort_Alpha!$B$5:$B$47,Sort_Alpha!BE$5:BE$47,"",0)</f>
        <v>5.6295283792098419E-16</v>
      </c>
      <c r="BF29" s="1">
        <f>_xlfn.XLOOKUP($B29,Sort_Alpha!$B$5:$B$47,Sort_Alpha!BF$5:BF$47,"",0)</f>
        <v>4.8892801206445925E-16</v>
      </c>
      <c r="BG29" s="1">
        <f>_xlfn.XLOOKUP($B29,Sort_Alpha!$B$5:$B$47,Sort_Alpha!BG$5:BG$47,"",0)</f>
        <v>7.512928790698898E-16</v>
      </c>
      <c r="BH29" s="1">
        <f>_xlfn.XLOOKUP($B29,Sort_Alpha!$B$5:$B$47,Sort_Alpha!BH$5:BH$47,"",0)</f>
        <v>8.2613301937053123E-16</v>
      </c>
      <c r="BI29" s="1">
        <f>_xlfn.XLOOKUP($B29,Sort_Alpha!$B$5:$B$47,Sort_Alpha!BI$5:BI$47,"",0)</f>
        <v>8.2613301937053123E-16</v>
      </c>
      <c r="BJ29" s="1">
        <f>_xlfn.XLOOKUP($B29,Sort_Alpha!$B$5:$B$47,Sort_Alpha!BJ$5:BJ$47,"",0)</f>
        <v>8.2613301937053123E-16</v>
      </c>
      <c r="BK29" s="1">
        <f>_xlfn.XLOOKUP($B29,Sort_Alpha!$B$5:$B$47,Sort_Alpha!BK$5:BK$47,"",0)</f>
        <v>6.3317498307722864E-16</v>
      </c>
      <c r="BL29" s="1">
        <f>_xlfn.XLOOKUP($B29,Sort_Alpha!$B$5:$B$47,Sort_Alpha!BL$5:BL$47,"",0)</f>
        <v>5.0252229529649683E-16</v>
      </c>
      <c r="BM29" s="1">
        <f>_xlfn.XLOOKUP($B29,Sort_Alpha!$B$5:$B$47,Sort_Alpha!BM$5:BM$47,"",0)</f>
        <v>5.4427990487537404E-16</v>
      </c>
      <c r="BN29" s="1">
        <f>_xlfn.XLOOKUP($B29,Sort_Alpha!$B$5:$B$47,Sort_Alpha!BN$5:BN$47,"",0)</f>
        <v>5.4427990487537404E-16</v>
      </c>
      <c r="BO29" s="1">
        <f>_xlfn.XLOOKUP($B29,Sort_Alpha!$B$5:$B$47,Sort_Alpha!BO$5:BO$47,"",0)</f>
        <v>3.8626177576226171E-16</v>
      </c>
      <c r="BP29" s="1">
        <f>_xlfn.XLOOKUP($B29,Sort_Alpha!$B$5:$B$47,Sort_Alpha!BP$5:BP$47,"",0)</f>
        <v>3.8626177576226171E-16</v>
      </c>
      <c r="BQ29" s="1">
        <f>_xlfn.XLOOKUP($B29,Sort_Alpha!$B$5:$B$47,Sort_Alpha!BQ$5:BQ$47,"",0)</f>
        <v>0</v>
      </c>
      <c r="BR29" s="1">
        <f>_xlfn.XLOOKUP($B29,Sort_Alpha!$B$5:$B$47,Sort_Alpha!BR$5:BR$47,"",0)</f>
        <v>6.7780824251124648E-16</v>
      </c>
      <c r="BS29" s="1">
        <f>_xlfn.XLOOKUP($B29,Sort_Alpha!$B$5:$B$47,Sort_Alpha!BS$5:BS$47,"",0)</f>
        <v>9.1763419743698275E-16</v>
      </c>
      <c r="BT29" s="1">
        <f>_xlfn.XLOOKUP($B29,Sort_Alpha!$B$5:$B$47,Sort_Alpha!BT$5:BT$47,"",0)</f>
        <v>5.2117635919459972E-16</v>
      </c>
      <c r="BU29" s="1">
        <f>_xlfn.XLOOKUP($B29,Sort_Alpha!$B$5:$B$47,Sort_Alpha!BU$5:BU$47,"",0)</f>
        <v>6.8132684223068648E-16</v>
      </c>
      <c r="BV29" s="1">
        <f>_xlfn.XLOOKUP($B29,Sort_Alpha!$B$5:$B$47,Sort_Alpha!BV$5:BV$47,"",0)</f>
        <v>8.2901059624939201E-16</v>
      </c>
      <c r="BW29" s="1">
        <f>_xlfn.XLOOKUP($B29,Sort_Alpha!$B$5:$B$47,Sort_Alpha!BW$5:BW$47,"",0)</f>
        <v>6.949964658899981E-16</v>
      </c>
      <c r="BX29" s="1">
        <f>_xlfn.XLOOKUP($B29,Sort_Alpha!$B$5:$B$47,Sort_Alpha!BX$5:BX$47,"",0)</f>
        <v>6.949964658899981E-16</v>
      </c>
      <c r="BY29" s="1">
        <f>_xlfn.XLOOKUP($B29,Sort_Alpha!$B$5:$B$47,Sort_Alpha!BY$5:BY$47,"",0)</f>
        <v>1.0009440184339026E-15</v>
      </c>
      <c r="BZ29" s="1">
        <f>_xlfn.XLOOKUP($B29,Sort_Alpha!$B$5:$B$47,Sort_Alpha!BZ$5:BZ$47,"",0)</f>
        <v>8.8968667457796935E-16</v>
      </c>
      <c r="CA29" s="1">
        <f>_xlfn.XLOOKUP($B29,Sort_Alpha!$B$5:$B$47,Sort_Alpha!CA$5:CA$47,"",0)</f>
        <v>9.6493436262135036E-16</v>
      </c>
      <c r="CB29" s="1">
        <f>_xlfn.XLOOKUP($B29,Sort_Alpha!$B$5:$B$47,Sort_Alpha!CB$5:CB$47,"",0)</f>
        <v>1.0820158848156126E-15</v>
      </c>
      <c r="CC29" s="1">
        <f>_xlfn.XLOOKUP($B29,Sort_Alpha!$B$5:$B$47,Sort_Alpha!CC$5:CC$47,"",0)</f>
        <v>7.9225011977741302E-16</v>
      </c>
    </row>
    <row r="30" spans="2:81" x14ac:dyDescent="0.15">
      <c r="B30" t="s">
        <v>20</v>
      </c>
      <c r="C30" s="1">
        <f>_xlfn.XLOOKUP($B30,Sort_Alpha!$B$5:$B$47,Sort_Alpha!C$5:C$47,"",0)</f>
        <v>5.3583289013720189E-16</v>
      </c>
      <c r="D30" s="1">
        <f>_xlfn.XLOOKUP($B30,Sort_Alpha!$B$5:$B$47,Sort_Alpha!D$5:D$47,"",0)</f>
        <v>2.2507106216697761E-15</v>
      </c>
      <c r="E30" s="1">
        <f>_xlfn.XLOOKUP($B30,Sort_Alpha!$B$5:$B$47,Sort_Alpha!E$5:E$47,"",0)</f>
        <v>5.470344630832591E-15</v>
      </c>
      <c r="F30" s="1">
        <f>_xlfn.XLOOKUP($B30,Sort_Alpha!$B$5:$B$47,Sort_Alpha!F$5:F$47,"",0)</f>
        <v>4.215138424762371E-15</v>
      </c>
      <c r="G30" s="1">
        <f>_xlfn.XLOOKUP($B30,Sort_Alpha!$B$5:$B$47,Sort_Alpha!G$5:G$47,"",0)</f>
        <v>3.4453425063185074E-16</v>
      </c>
      <c r="H30" s="1">
        <f>_xlfn.XLOOKUP($B30,Sort_Alpha!$B$5:$B$47,Sort_Alpha!H$5:H$47,"",0)</f>
        <v>1.6518273127032934E-15</v>
      </c>
      <c r="I30" s="1">
        <f>_xlfn.XLOOKUP($B30,Sort_Alpha!$B$5:$B$47,Sort_Alpha!I$5:I$47,"",0)</f>
        <v>3.2011879877231922E-14</v>
      </c>
      <c r="J30" s="1">
        <f>_xlfn.XLOOKUP($B30,Sort_Alpha!$B$5:$B$47,Sort_Alpha!J$5:J$47,"",0)</f>
        <v>3.2011879877231922E-14</v>
      </c>
      <c r="K30" s="1">
        <f>_xlfn.XLOOKUP($B30,Sort_Alpha!$B$5:$B$47,Sort_Alpha!K$5:K$47,"",0)</f>
        <v>3.2011879877231922E-14</v>
      </c>
      <c r="L30" s="1">
        <f>_xlfn.XLOOKUP($B30,Sort_Alpha!$B$5:$B$47,Sort_Alpha!L$5:L$47,"",0)</f>
        <v>5.470344630832591E-15</v>
      </c>
      <c r="M30" s="1">
        <f>_xlfn.XLOOKUP($B30,Sort_Alpha!$B$5:$B$47,Sort_Alpha!M$5:M$47,"",0)</f>
        <v>5.470344630832591E-15</v>
      </c>
      <c r="N30" s="1">
        <f>_xlfn.XLOOKUP($B30,Sort_Alpha!$B$5:$B$47,Sort_Alpha!N$5:N$47,"",0)</f>
        <v>5.470344630832591E-15</v>
      </c>
      <c r="O30" s="1">
        <f>_xlfn.XLOOKUP($B30,Sort_Alpha!$B$5:$B$47,Sort_Alpha!O$5:O$47,"",0)</f>
        <v>1.2229439850356681E-15</v>
      </c>
      <c r="P30" s="1">
        <f>_xlfn.XLOOKUP($B30,Sort_Alpha!$B$5:$B$47,Sort_Alpha!P$5:P$47,"",0)</f>
        <v>1.3505911471274291E-16</v>
      </c>
      <c r="Q30" s="1">
        <f>_xlfn.XLOOKUP($B30,Sort_Alpha!$B$5:$B$47,Sort_Alpha!Q$5:Q$47,"",0)</f>
        <v>1.3442344423129594E-15</v>
      </c>
      <c r="R30" s="1">
        <f>_xlfn.XLOOKUP($B30,Sort_Alpha!$B$5:$B$47,Sort_Alpha!R$5:R$47,"",0)</f>
        <v>1.3442344423129594E-15</v>
      </c>
      <c r="S30" s="1">
        <f>_xlfn.XLOOKUP($B30,Sort_Alpha!$B$5:$B$47,Sort_Alpha!S$5:S$47,"",0)</f>
        <v>5.8710935669065248E-16</v>
      </c>
      <c r="T30" s="1">
        <f>_xlfn.XLOOKUP($B30,Sort_Alpha!$B$5:$B$47,Sort_Alpha!T$5:T$47,"",0)</f>
        <v>6.7785205456616589E-15</v>
      </c>
      <c r="U30" s="1">
        <f>_xlfn.XLOOKUP($B30,Sort_Alpha!$B$5:$B$47,Sort_Alpha!U$5:U$47,"",0)</f>
        <v>6.7785205456616589E-15</v>
      </c>
      <c r="V30" s="1">
        <f>_xlfn.XLOOKUP($B30,Sort_Alpha!$B$5:$B$47,Sort_Alpha!V$5:V$47,"",0)</f>
        <v>6.7785205456616589E-15</v>
      </c>
      <c r="W30" s="1">
        <f>_xlfn.XLOOKUP($B30,Sort_Alpha!$B$5:$B$47,Sort_Alpha!W$5:W$47,"",0)</f>
        <v>6.7785205456616589E-15</v>
      </c>
      <c r="X30" s="1">
        <f>_xlfn.XLOOKUP($B30,Sort_Alpha!$B$5:$B$47,Sort_Alpha!X$5:X$47,"",0)</f>
        <v>6.7785205456616589E-15</v>
      </c>
      <c r="Y30" s="1">
        <f>_xlfn.XLOOKUP($B30,Sort_Alpha!$B$5:$B$47,Sort_Alpha!Y$5:Y$47,"",0)</f>
        <v>3.9483939652689677E-16</v>
      </c>
      <c r="Z30" s="1">
        <f>_xlfn.XLOOKUP($B30,Sort_Alpha!$B$5:$B$47,Sort_Alpha!Z$5:Z$47,"",0)</f>
        <v>1.6188603864424278E-15</v>
      </c>
      <c r="AA30" s="1">
        <f>_xlfn.XLOOKUP($B30,Sort_Alpha!$B$5:$B$47,Sort_Alpha!AA$5:AA$47,"",0)</f>
        <v>1.5921573710716106E-15</v>
      </c>
      <c r="AB30" s="1">
        <f>_xlfn.XLOOKUP($B30,Sort_Alpha!$B$5:$B$47,Sort_Alpha!AB$5:AB$47,"",0)</f>
        <v>1.1452880372971547E-14</v>
      </c>
      <c r="AC30" s="1">
        <f>_xlfn.XLOOKUP($B30,Sort_Alpha!$B$5:$B$47,Sort_Alpha!AC$5:AC$47,"",0)</f>
        <v>8.5405514819677353E-16</v>
      </c>
      <c r="AD30" s="1">
        <f>_xlfn.XLOOKUP($B30,Sort_Alpha!$B$5:$B$47,Sort_Alpha!AD$5:AD$47,"",0)</f>
        <v>1.3558008321167332E-16</v>
      </c>
      <c r="AE30" s="1">
        <f>_xlfn.XLOOKUP($B30,Sort_Alpha!$B$5:$B$47,Sort_Alpha!AE$5:AE$47,"",0)</f>
        <v>1.3217529631307189E-16</v>
      </c>
      <c r="AF30" s="1">
        <f>_xlfn.XLOOKUP($B30,Sort_Alpha!$B$5:$B$47,Sort_Alpha!AF$5:AF$47,"",0)</f>
        <v>1.3217529631307189E-16</v>
      </c>
      <c r="AG30" s="1">
        <f>_xlfn.XLOOKUP($B30,Sort_Alpha!$B$5:$B$47,Sort_Alpha!AG$5:AG$47,"",0)</f>
        <v>2.4729723286569825E-15</v>
      </c>
      <c r="AH30" s="1">
        <f>_xlfn.XLOOKUP($B30,Sort_Alpha!$B$5:$B$47,Sort_Alpha!AH$5:AH$47,"",0)</f>
        <v>6.3551450583709928E-15</v>
      </c>
      <c r="AI30" s="1">
        <f>_xlfn.XLOOKUP($B30,Sort_Alpha!$B$5:$B$47,Sort_Alpha!AI$5:AI$47,"",0)</f>
        <v>5.5110419769443111E-15</v>
      </c>
      <c r="AJ30" s="1">
        <f>_xlfn.XLOOKUP($B30,Sort_Alpha!$B$5:$B$47,Sort_Alpha!AJ$5:AJ$47,"",0)</f>
        <v>7.0972879135208773E-15</v>
      </c>
      <c r="AK30" s="1">
        <f>_xlfn.XLOOKUP($B30,Sort_Alpha!$B$5:$B$47,Sort_Alpha!AK$5:AK$47,"",0)</f>
        <v>4.5149927795154003E-15</v>
      </c>
      <c r="AL30" s="1">
        <f>_xlfn.XLOOKUP($B30,Sort_Alpha!$B$5:$B$47,Sort_Alpha!AL$5:AL$47,"",0)</f>
        <v>3.180352093624094E-14</v>
      </c>
      <c r="AM30" s="1">
        <f>_xlfn.XLOOKUP($B30,Sort_Alpha!$B$5:$B$47,Sort_Alpha!AM$5:AM$47,"",0)</f>
        <v>7.3322352413540329E-16</v>
      </c>
      <c r="AN30" s="1">
        <f>_xlfn.XLOOKUP($B30,Sort_Alpha!$B$5:$B$47,Sort_Alpha!AN$5:AN$47,"",0)</f>
        <v>4.4507389957051769E-13</v>
      </c>
      <c r="AO30" s="1">
        <f>_xlfn.XLOOKUP($B30,Sort_Alpha!$B$5:$B$47,Sort_Alpha!AO$5:AO$47,"",0)</f>
        <v>3.5470200115850393E-12</v>
      </c>
      <c r="AP30" s="1">
        <f>_xlfn.XLOOKUP($B30,Sort_Alpha!$B$5:$B$47,Sort_Alpha!AP$5:AP$47,"",0)</f>
        <v>8.1520658532259655E-13</v>
      </c>
      <c r="AQ30" s="1">
        <f>_xlfn.XLOOKUP($B30,Sort_Alpha!$B$5:$B$47,Sort_Alpha!AQ$5:AQ$47,"",0)</f>
        <v>2.1868068097355726E-15</v>
      </c>
      <c r="AR30" s="1">
        <f>_xlfn.XLOOKUP($B30,Sort_Alpha!$B$5:$B$47,Sort_Alpha!AR$5:AR$47,"",0)</f>
        <v>2.1868068097355726E-15</v>
      </c>
      <c r="AS30" s="1">
        <f>_xlfn.XLOOKUP($B30,Sort_Alpha!$B$5:$B$47,Sort_Alpha!AS$5:AS$47,"",0)</f>
        <v>2.3556380173205298E-17</v>
      </c>
      <c r="AT30" s="1">
        <f>_xlfn.XLOOKUP($B30,Sort_Alpha!$B$5:$B$47,Sort_Alpha!AT$5:AT$47,"",0)</f>
        <v>8.9780745781792569E-16</v>
      </c>
      <c r="AU30" s="1">
        <f>_xlfn.XLOOKUP($B30,Sort_Alpha!$B$5:$B$47,Sort_Alpha!AU$5:AU$47,"",0)</f>
        <v>6.6479649785905025E-16</v>
      </c>
      <c r="AV30" s="1">
        <f>_xlfn.XLOOKUP($B30,Sort_Alpha!$B$5:$B$47,Sort_Alpha!AV$5:AV$47,"",0)</f>
        <v>0</v>
      </c>
      <c r="AW30" s="1">
        <f>_xlfn.XLOOKUP($B30,Sort_Alpha!$B$5:$B$47,Sort_Alpha!AW$5:AW$47,"",0)</f>
        <v>3.3602637186412031E-17</v>
      </c>
      <c r="AX30" s="1">
        <f>_xlfn.XLOOKUP($B30,Sort_Alpha!$B$5:$B$47,Sort_Alpha!AX$5:AX$47,"",0)</f>
        <v>2.7358179866076332E-17</v>
      </c>
      <c r="AY30" s="1">
        <f>_xlfn.XLOOKUP($B30,Sort_Alpha!$B$5:$B$47,Sort_Alpha!AY$5:AY$47,"",0)</f>
        <v>2.7358179866076332E-17</v>
      </c>
      <c r="AZ30" s="1">
        <f>_xlfn.XLOOKUP($B30,Sort_Alpha!$B$5:$B$47,Sort_Alpha!AZ$5:AZ$47,"",0)</f>
        <v>3.0218310108906443E-15</v>
      </c>
      <c r="BA30" s="1">
        <f>_xlfn.XLOOKUP($B30,Sort_Alpha!$B$5:$B$47,Sort_Alpha!BA$5:BA$47,"",0)</f>
        <v>5.7469362162701743E-15</v>
      </c>
      <c r="BB30" s="1">
        <f>_xlfn.XLOOKUP($B30,Sort_Alpha!$B$5:$B$47,Sort_Alpha!BB$5:BB$47,"",0)</f>
        <v>1.5672066700806095E-16</v>
      </c>
      <c r="BC30" s="1">
        <f>_xlfn.XLOOKUP($B30,Sort_Alpha!$B$5:$B$47,Sort_Alpha!BC$5:BC$47,"",0)</f>
        <v>1.6018083578027262E-16</v>
      </c>
      <c r="BD30" s="1">
        <f>_xlfn.XLOOKUP($B30,Sort_Alpha!$B$5:$B$47,Sort_Alpha!BD$5:BD$47,"",0)</f>
        <v>1.6018083578027262E-16</v>
      </c>
      <c r="BE30" s="1">
        <f>_xlfn.XLOOKUP($B30,Sort_Alpha!$B$5:$B$47,Sort_Alpha!BE$5:BE$47,"",0)</f>
        <v>2.1094500739011491E-15</v>
      </c>
      <c r="BF30" s="1">
        <f>_xlfn.XLOOKUP($B30,Sort_Alpha!$B$5:$B$47,Sort_Alpha!BF$5:BF$47,"",0)</f>
        <v>3.9530423265770021E-16</v>
      </c>
      <c r="BG30" s="1">
        <f>_xlfn.XLOOKUP($B30,Sort_Alpha!$B$5:$B$47,Sort_Alpha!BG$5:BG$47,"",0)</f>
        <v>3.6154151411173077E-16</v>
      </c>
      <c r="BH30" s="1">
        <f>_xlfn.XLOOKUP($B30,Sort_Alpha!$B$5:$B$47,Sort_Alpha!BH$5:BH$47,"",0)</f>
        <v>2.8481220724531289E-16</v>
      </c>
      <c r="BI30" s="1">
        <f>_xlfn.XLOOKUP($B30,Sort_Alpha!$B$5:$B$47,Sort_Alpha!BI$5:BI$47,"",0)</f>
        <v>2.8481220724531289E-16</v>
      </c>
      <c r="BJ30" s="1">
        <f>_xlfn.XLOOKUP($B30,Sort_Alpha!$B$5:$B$47,Sort_Alpha!BJ$5:BJ$47,"",0)</f>
        <v>2.8481220724531289E-16</v>
      </c>
      <c r="BK30" s="1">
        <f>_xlfn.XLOOKUP($B30,Sort_Alpha!$B$5:$B$47,Sort_Alpha!BK$5:BK$47,"",0)</f>
        <v>2.2196900187365536E-15</v>
      </c>
      <c r="BL30" s="1">
        <f>_xlfn.XLOOKUP($B30,Sort_Alpha!$B$5:$B$47,Sort_Alpha!BL$5:BL$47,"",0)</f>
        <v>2.6107391998265418E-15</v>
      </c>
      <c r="BM30" s="1">
        <f>_xlfn.XLOOKUP($B30,Sort_Alpha!$B$5:$B$47,Sort_Alpha!BM$5:BM$47,"",0)</f>
        <v>2.4272777653887225E-15</v>
      </c>
      <c r="BN30" s="1">
        <f>_xlfn.XLOOKUP($B30,Sort_Alpha!$B$5:$B$47,Sort_Alpha!BN$5:BN$47,"",0)</f>
        <v>2.4272777653887225E-15</v>
      </c>
      <c r="BO30" s="1">
        <f>_xlfn.XLOOKUP($B30,Sort_Alpha!$B$5:$B$47,Sort_Alpha!BO$5:BO$47,"",0)</f>
        <v>1.3331022183059154E-15</v>
      </c>
      <c r="BP30" s="1">
        <f>_xlfn.XLOOKUP($B30,Sort_Alpha!$B$5:$B$47,Sort_Alpha!BP$5:BP$47,"",0)</f>
        <v>1.3331022183059154E-15</v>
      </c>
      <c r="BQ30" s="1">
        <f>_xlfn.XLOOKUP($B30,Sort_Alpha!$B$5:$B$47,Sort_Alpha!BQ$5:BQ$47,"",0)</f>
        <v>0</v>
      </c>
      <c r="BR30" s="1">
        <f>_xlfn.XLOOKUP($B30,Sort_Alpha!$B$5:$B$47,Sort_Alpha!BR$5:BR$47,"",0)</f>
        <v>1.0363093977021597E-14</v>
      </c>
      <c r="BS30" s="1">
        <f>_xlfn.XLOOKUP($B30,Sort_Alpha!$B$5:$B$47,Sort_Alpha!BS$5:BS$47,"",0)</f>
        <v>2.2285409649143884E-14</v>
      </c>
      <c r="BT30" s="1">
        <f>_xlfn.XLOOKUP($B30,Sort_Alpha!$B$5:$B$47,Sort_Alpha!BT$5:BT$47,"",0)</f>
        <v>2.4411687897177645E-15</v>
      </c>
      <c r="BU30" s="1">
        <f>_xlfn.XLOOKUP($B30,Sort_Alpha!$B$5:$B$47,Sort_Alpha!BU$5:BU$47,"",0)</f>
        <v>1.7011430857468082E-15</v>
      </c>
      <c r="BV30" s="1">
        <f>_xlfn.XLOOKUP($B30,Sort_Alpha!$B$5:$B$47,Sort_Alpha!BV$5:BV$47,"",0)</f>
        <v>1.6416829142153391E-15</v>
      </c>
      <c r="BW30" s="1">
        <f>_xlfn.XLOOKUP($B30,Sort_Alpha!$B$5:$B$47,Sort_Alpha!BW$5:BW$47,"",0)</f>
        <v>1.089687836220126E-15</v>
      </c>
      <c r="BX30" s="1">
        <f>_xlfn.XLOOKUP($B30,Sort_Alpha!$B$5:$B$47,Sort_Alpha!BX$5:BX$47,"",0)</f>
        <v>1.089687836220126E-15</v>
      </c>
      <c r="BY30" s="1">
        <f>_xlfn.XLOOKUP($B30,Sort_Alpha!$B$5:$B$47,Sort_Alpha!BY$5:BY$47,"",0)</f>
        <v>2.6941222736225756E-16</v>
      </c>
      <c r="BZ30" s="1">
        <f>_xlfn.XLOOKUP($B30,Sort_Alpha!$B$5:$B$47,Sort_Alpha!BZ$5:BZ$47,"",0)</f>
        <v>2.7713736914323921E-17</v>
      </c>
      <c r="CA30" s="1">
        <f>_xlfn.XLOOKUP($B30,Sort_Alpha!$B$5:$B$47,Sort_Alpha!CA$5:CA$47,"",0)</f>
        <v>2.4961929920295473E-17</v>
      </c>
      <c r="CB30" s="1">
        <f>_xlfn.XLOOKUP($B30,Sort_Alpha!$B$5:$B$47,Sort_Alpha!CB$5:CB$47,"",0)</f>
        <v>2.3582947216698295E-17</v>
      </c>
      <c r="CC30" s="1">
        <f>_xlfn.XLOOKUP($B30,Sort_Alpha!$B$5:$B$47,Sort_Alpha!CC$5:CC$47,"",0)</f>
        <v>7.3013124973988363E-16</v>
      </c>
    </row>
    <row r="31" spans="2:81" x14ac:dyDescent="0.15">
      <c r="B31" t="s">
        <v>21</v>
      </c>
      <c r="C31" s="1">
        <f>_xlfn.XLOOKUP($B31,Sort_Alpha!$B$5:$B$47,Sort_Alpha!C$5:C$47,"",0)</f>
        <v>5.0310922934086377E-16</v>
      </c>
      <c r="D31" s="1">
        <f>_xlfn.XLOOKUP($B31,Sort_Alpha!$B$5:$B$47,Sort_Alpha!D$5:D$47,"",0)</f>
        <v>1.0215306457750732E-16</v>
      </c>
      <c r="E31" s="1">
        <f>_xlfn.XLOOKUP($B31,Sort_Alpha!$B$5:$B$47,Sort_Alpha!E$5:E$47,"",0)</f>
        <v>5.9751145330046609E-16</v>
      </c>
      <c r="F31" s="1">
        <f>_xlfn.XLOOKUP($B31,Sort_Alpha!$B$5:$B$47,Sort_Alpha!F$5:F$47,"",0)</f>
        <v>9.6978510272287512E-16</v>
      </c>
      <c r="G31" s="1">
        <f>_xlfn.XLOOKUP($B31,Sort_Alpha!$B$5:$B$47,Sort_Alpha!G$5:G$47,"",0)</f>
        <v>2.6832008346028588E-15</v>
      </c>
      <c r="H31" s="1">
        <f>_xlfn.XLOOKUP($B31,Sort_Alpha!$B$5:$B$47,Sort_Alpha!H$5:H$47,"",0)</f>
        <v>7.4451237298052319E-16</v>
      </c>
      <c r="I31" s="1">
        <f>_xlfn.XLOOKUP($B31,Sort_Alpha!$B$5:$B$47,Sort_Alpha!I$5:I$47,"",0)</f>
        <v>2.142725260011631E-15</v>
      </c>
      <c r="J31" s="1">
        <f>_xlfn.XLOOKUP($B31,Sort_Alpha!$B$5:$B$47,Sort_Alpha!J$5:J$47,"",0)</f>
        <v>2.142725260011631E-15</v>
      </c>
      <c r="K31" s="1">
        <f>_xlfn.XLOOKUP($B31,Sort_Alpha!$B$5:$B$47,Sort_Alpha!K$5:K$47,"",0)</f>
        <v>2.142725260011631E-15</v>
      </c>
      <c r="L31" s="1">
        <f>_xlfn.XLOOKUP($B31,Sort_Alpha!$B$5:$B$47,Sort_Alpha!L$5:L$47,"",0)</f>
        <v>5.9751145330046609E-16</v>
      </c>
      <c r="M31" s="1">
        <f>_xlfn.XLOOKUP($B31,Sort_Alpha!$B$5:$B$47,Sort_Alpha!M$5:M$47,"",0)</f>
        <v>5.9751145330046609E-16</v>
      </c>
      <c r="N31" s="1">
        <f>_xlfn.XLOOKUP($B31,Sort_Alpha!$B$5:$B$47,Sort_Alpha!N$5:N$47,"",0)</f>
        <v>5.9751145330046609E-16</v>
      </c>
      <c r="O31" s="1">
        <f>_xlfn.XLOOKUP($B31,Sort_Alpha!$B$5:$B$47,Sort_Alpha!O$5:O$47,"",0)</f>
        <v>1.4328906419863945E-15</v>
      </c>
      <c r="P31" s="1">
        <f>_xlfn.XLOOKUP($B31,Sort_Alpha!$B$5:$B$47,Sort_Alpha!P$5:P$47,"",0)</f>
        <v>3.6163535037283468E-17</v>
      </c>
      <c r="Q31" s="1">
        <f>_xlfn.XLOOKUP($B31,Sort_Alpha!$B$5:$B$47,Sort_Alpha!Q$5:Q$47,"",0)</f>
        <v>1.9947353367899709E-15</v>
      </c>
      <c r="R31" s="1">
        <f>_xlfn.XLOOKUP($B31,Sort_Alpha!$B$5:$B$47,Sort_Alpha!R$5:R$47,"",0)</f>
        <v>1.9947353367899709E-15</v>
      </c>
      <c r="S31" s="1">
        <f>_xlfn.XLOOKUP($B31,Sort_Alpha!$B$5:$B$47,Sort_Alpha!S$5:S$47,"",0)</f>
        <v>1.6621597027789783E-14</v>
      </c>
      <c r="T31" s="1">
        <f>_xlfn.XLOOKUP($B31,Sort_Alpha!$B$5:$B$47,Sort_Alpha!T$5:T$47,"",0)</f>
        <v>3.6935437187067174E-14</v>
      </c>
      <c r="U31" s="1">
        <f>_xlfn.XLOOKUP($B31,Sort_Alpha!$B$5:$B$47,Sort_Alpha!U$5:U$47,"",0)</f>
        <v>3.6935437187067174E-14</v>
      </c>
      <c r="V31" s="1">
        <f>_xlfn.XLOOKUP($B31,Sort_Alpha!$B$5:$B$47,Sort_Alpha!V$5:V$47,"",0)</f>
        <v>3.6935437187067174E-14</v>
      </c>
      <c r="W31" s="1">
        <f>_xlfn.XLOOKUP($B31,Sort_Alpha!$B$5:$B$47,Sort_Alpha!W$5:W$47,"",0)</f>
        <v>3.6935437187067174E-14</v>
      </c>
      <c r="X31" s="1">
        <f>_xlfn.XLOOKUP($B31,Sort_Alpha!$B$5:$B$47,Sort_Alpha!X$5:X$47,"",0)</f>
        <v>3.6935437187067174E-14</v>
      </c>
      <c r="Y31" s="1">
        <f>_xlfn.XLOOKUP($B31,Sort_Alpha!$B$5:$B$47,Sort_Alpha!Y$5:Y$47,"",0)</f>
        <v>6.5018167255113706E-15</v>
      </c>
      <c r="Z31" s="1">
        <f>_xlfn.XLOOKUP($B31,Sort_Alpha!$B$5:$B$47,Sort_Alpha!Z$5:Z$47,"",0)</f>
        <v>1.1258740955682519E-16</v>
      </c>
      <c r="AA31" s="1">
        <f>_xlfn.XLOOKUP($B31,Sort_Alpha!$B$5:$B$47,Sort_Alpha!AA$5:AA$47,"",0)</f>
        <v>1.171452618461962E-16</v>
      </c>
      <c r="AB31" s="1">
        <f>_xlfn.XLOOKUP($B31,Sort_Alpha!$B$5:$B$47,Sort_Alpha!AB$5:AB$47,"",0)</f>
        <v>4.8931877703513507E-16</v>
      </c>
      <c r="AC31" s="1">
        <f>_xlfn.XLOOKUP($B31,Sort_Alpha!$B$5:$B$47,Sort_Alpha!AC$5:AC$47,"",0)</f>
        <v>6.2377876598421055E-17</v>
      </c>
      <c r="AD31" s="1">
        <f>_xlfn.XLOOKUP($B31,Sort_Alpha!$B$5:$B$47,Sort_Alpha!AD$5:AD$47,"",0)</f>
        <v>1.7738444304574504E-17</v>
      </c>
      <c r="AE31" s="1">
        <f>_xlfn.XLOOKUP($B31,Sort_Alpha!$B$5:$B$47,Sort_Alpha!AE$5:AE$47,"",0)</f>
        <v>1.59239756743902E-17</v>
      </c>
      <c r="AF31" s="1">
        <f>_xlfn.XLOOKUP($B31,Sort_Alpha!$B$5:$B$47,Sort_Alpha!AF$5:AF$47,"",0)</f>
        <v>1.59239756743902E-17</v>
      </c>
      <c r="AG31" s="1">
        <f>_xlfn.XLOOKUP($B31,Sort_Alpha!$B$5:$B$47,Sort_Alpha!AG$5:AG$47,"",0)</f>
        <v>1.6642737211870389E-16</v>
      </c>
      <c r="AH31" s="1">
        <f>_xlfn.XLOOKUP($B31,Sort_Alpha!$B$5:$B$47,Sort_Alpha!AH$5:AH$47,"",0)</f>
        <v>6.4891179991244827E-16</v>
      </c>
      <c r="AI31" s="1">
        <f>_xlfn.XLOOKUP($B31,Sort_Alpha!$B$5:$B$47,Sort_Alpha!AI$5:AI$47,"",0)</f>
        <v>5.9047951712155795E-16</v>
      </c>
      <c r="AJ31" s="1">
        <f>_xlfn.XLOOKUP($B31,Sort_Alpha!$B$5:$B$47,Sort_Alpha!AJ$5:AJ$47,"",0)</f>
        <v>5.8230483217332444E-14</v>
      </c>
      <c r="AK31" s="1">
        <f>_xlfn.XLOOKUP($B31,Sort_Alpha!$B$5:$B$47,Sort_Alpha!AK$5:AK$47,"",0)</f>
        <v>6.0369360060625962E-16</v>
      </c>
      <c r="AL31" s="1">
        <f>_xlfn.XLOOKUP($B31,Sort_Alpha!$B$5:$B$47,Sort_Alpha!AL$5:AL$47,"",0)</f>
        <v>2.4411432162026495E-15</v>
      </c>
      <c r="AM31" s="1">
        <f>_xlfn.XLOOKUP($B31,Sort_Alpha!$B$5:$B$47,Sort_Alpha!AM$5:AM$47,"",0)</f>
        <v>5.6809909217364555E-16</v>
      </c>
      <c r="AN31" s="1">
        <f>_xlfn.XLOOKUP($B31,Sort_Alpha!$B$5:$B$47,Sort_Alpha!AN$5:AN$47,"",0)</f>
        <v>2.1715224441461975E-15</v>
      </c>
      <c r="AO31" s="1">
        <f>_xlfn.XLOOKUP($B31,Sort_Alpha!$B$5:$B$47,Sort_Alpha!AO$5:AO$47,"",0)</f>
        <v>2.1715224441461975E-15</v>
      </c>
      <c r="AP31" s="1">
        <f>_xlfn.XLOOKUP($B31,Sort_Alpha!$B$5:$B$47,Sort_Alpha!AP$5:AP$47,"",0)</f>
        <v>2.1715224441461975E-15</v>
      </c>
      <c r="AQ31" s="1">
        <f>_xlfn.XLOOKUP($B31,Sort_Alpha!$B$5:$B$47,Sort_Alpha!AQ$5:AQ$47,"",0)</f>
        <v>2.6387323995962818E-13</v>
      </c>
      <c r="AR31" s="1">
        <f>_xlfn.XLOOKUP($B31,Sort_Alpha!$B$5:$B$47,Sort_Alpha!AR$5:AR$47,"",0)</f>
        <v>1.6437912404697045E-12</v>
      </c>
      <c r="AS31" s="1">
        <f>_xlfn.XLOOKUP($B31,Sort_Alpha!$B$5:$B$47,Sort_Alpha!AS$5:AS$47,"",0)</f>
        <v>4.3387132788950959E-18</v>
      </c>
      <c r="AT31" s="1">
        <f>_xlfn.XLOOKUP($B31,Sort_Alpha!$B$5:$B$47,Sort_Alpha!AT$5:AT$47,"",0)</f>
        <v>7.9052006456252744E-17</v>
      </c>
      <c r="AU31" s="1">
        <f>_xlfn.XLOOKUP($B31,Sort_Alpha!$B$5:$B$47,Sort_Alpha!AU$5:AU$47,"",0)</f>
        <v>8.2117420142201952E-15</v>
      </c>
      <c r="AV31" s="1">
        <f>_xlfn.XLOOKUP($B31,Sort_Alpha!$B$5:$B$47,Sort_Alpha!AV$5:AV$47,"",0)</f>
        <v>0</v>
      </c>
      <c r="AW31" s="1">
        <f>_xlfn.XLOOKUP($B31,Sort_Alpha!$B$5:$B$47,Sort_Alpha!AW$5:AW$47,"",0)</f>
        <v>4.4910851166044504E-18</v>
      </c>
      <c r="AX31" s="1">
        <f>_xlfn.XLOOKUP($B31,Sort_Alpha!$B$5:$B$47,Sort_Alpha!AX$5:AX$47,"",0)</f>
        <v>3.8755555571800941E-18</v>
      </c>
      <c r="AY31" s="1">
        <f>_xlfn.XLOOKUP($B31,Sort_Alpha!$B$5:$B$47,Sort_Alpha!AY$5:AY$47,"",0)</f>
        <v>3.8755555571800941E-18</v>
      </c>
      <c r="AZ31" s="1">
        <f>_xlfn.XLOOKUP($B31,Sort_Alpha!$B$5:$B$47,Sort_Alpha!AZ$5:AZ$47,"",0)</f>
        <v>1.2981531903626792E-15</v>
      </c>
      <c r="BA31" s="1">
        <f>_xlfn.XLOOKUP($B31,Sort_Alpha!$B$5:$B$47,Sort_Alpha!BA$5:BA$47,"",0)</f>
        <v>9.3082539296984479E-16</v>
      </c>
      <c r="BB31" s="1">
        <f>_xlfn.XLOOKUP($B31,Sort_Alpha!$B$5:$B$47,Sort_Alpha!BB$5:BB$47,"",0)</f>
        <v>2.4643996819710665E-17</v>
      </c>
      <c r="BC31" s="1">
        <f>_xlfn.XLOOKUP($B31,Sort_Alpha!$B$5:$B$47,Sort_Alpha!BC$5:BC$47,"",0)</f>
        <v>2.3712470936553468E-17</v>
      </c>
      <c r="BD31" s="1">
        <f>_xlfn.XLOOKUP($B31,Sort_Alpha!$B$5:$B$47,Sort_Alpha!BD$5:BD$47,"",0)</f>
        <v>2.3712470936553468E-17</v>
      </c>
      <c r="BE31" s="1">
        <f>_xlfn.XLOOKUP($B31,Sort_Alpha!$B$5:$B$47,Sort_Alpha!BE$5:BE$47,"",0)</f>
        <v>1.7502507111987869E-14</v>
      </c>
      <c r="BF31" s="1">
        <f>_xlfn.XLOOKUP($B31,Sort_Alpha!$B$5:$B$47,Sort_Alpha!BF$5:BF$47,"",0)</f>
        <v>4.3440448016086999E-16</v>
      </c>
      <c r="BG31" s="1">
        <f>_xlfn.XLOOKUP($B31,Sort_Alpha!$B$5:$B$47,Sort_Alpha!BG$5:BG$47,"",0)</f>
        <v>3.4522204785171249E-17</v>
      </c>
      <c r="BH31" s="1">
        <f>_xlfn.XLOOKUP($B31,Sort_Alpha!$B$5:$B$47,Sort_Alpha!BH$5:BH$47,"",0)</f>
        <v>2.936441069267004E-17</v>
      </c>
      <c r="BI31" s="1">
        <f>_xlfn.XLOOKUP($B31,Sort_Alpha!$B$5:$B$47,Sort_Alpha!BI$5:BI$47,"",0)</f>
        <v>2.936441069267004E-17</v>
      </c>
      <c r="BJ31" s="1">
        <f>_xlfn.XLOOKUP($B31,Sort_Alpha!$B$5:$B$47,Sort_Alpha!BJ$5:BJ$47,"",0)</f>
        <v>2.936441069267004E-17</v>
      </c>
      <c r="BK31" s="1">
        <f>_xlfn.XLOOKUP($B31,Sort_Alpha!$B$5:$B$47,Sort_Alpha!BK$5:BK$47,"",0)</f>
        <v>1.2914403076439927E-16</v>
      </c>
      <c r="BL31" s="1">
        <f>_xlfn.XLOOKUP($B31,Sort_Alpha!$B$5:$B$47,Sort_Alpha!BL$5:BL$47,"",0)</f>
        <v>1.2254383164937589E-16</v>
      </c>
      <c r="BM31" s="1">
        <f>_xlfn.XLOOKUP($B31,Sort_Alpha!$B$5:$B$47,Sort_Alpha!BM$5:BM$47,"",0)</f>
        <v>1.1342666990843466E-16</v>
      </c>
      <c r="BN31" s="1">
        <f>_xlfn.XLOOKUP($B31,Sort_Alpha!$B$5:$B$47,Sort_Alpha!BN$5:BN$47,"",0)</f>
        <v>1.1342666990843466E-16</v>
      </c>
      <c r="BO31" s="1">
        <f>_xlfn.XLOOKUP($B31,Sort_Alpha!$B$5:$B$47,Sort_Alpha!BO$5:BO$47,"",0)</f>
        <v>1.1170524453294989E-12</v>
      </c>
      <c r="BP31" s="1">
        <f>_xlfn.XLOOKUP($B31,Sort_Alpha!$B$5:$B$47,Sort_Alpha!BP$5:BP$47,"",0)</f>
        <v>7.0705834051245315E-14</v>
      </c>
      <c r="BQ31" s="1">
        <f>_xlfn.XLOOKUP($B31,Sort_Alpha!$B$5:$B$47,Sort_Alpha!BQ$5:BQ$47,"",0)</f>
        <v>0</v>
      </c>
      <c r="BR31" s="1">
        <f>_xlfn.XLOOKUP($B31,Sort_Alpha!$B$5:$B$47,Sort_Alpha!BR$5:BR$47,"",0)</f>
        <v>1.67654378062353E-15</v>
      </c>
      <c r="BS31" s="1">
        <f>_xlfn.XLOOKUP($B31,Sort_Alpha!$B$5:$B$47,Sort_Alpha!BS$5:BS$47,"",0)</f>
        <v>4.4421010678269792E-15</v>
      </c>
      <c r="BT31" s="1">
        <f>_xlfn.XLOOKUP($B31,Sort_Alpha!$B$5:$B$47,Sort_Alpha!BT$5:BT$47,"",0)</f>
        <v>6.0621814574826697E-13</v>
      </c>
      <c r="BU31" s="1">
        <f>_xlfn.XLOOKUP($B31,Sort_Alpha!$B$5:$B$47,Sort_Alpha!BU$5:BU$47,"",0)</f>
        <v>7.4387710083268164E-14</v>
      </c>
      <c r="BV31" s="1">
        <f>_xlfn.XLOOKUP($B31,Sort_Alpha!$B$5:$B$47,Sort_Alpha!BV$5:BV$47,"",0)</f>
        <v>9.8061699901831082E-16</v>
      </c>
      <c r="BW31" s="1">
        <f>_xlfn.XLOOKUP($B31,Sort_Alpha!$B$5:$B$47,Sort_Alpha!BW$5:BW$47,"",0)</f>
        <v>1.8042235915068735E-15</v>
      </c>
      <c r="BX31" s="1">
        <f>_xlfn.XLOOKUP($B31,Sort_Alpha!$B$5:$B$47,Sort_Alpha!BX$5:BX$47,"",0)</f>
        <v>1.8042235915068735E-15</v>
      </c>
      <c r="BY31" s="1">
        <f>_xlfn.XLOOKUP($B31,Sort_Alpha!$B$5:$B$47,Sort_Alpha!BY$5:BY$47,"",0)</f>
        <v>2.5774283399868198E-17</v>
      </c>
      <c r="BZ31" s="1">
        <f>_xlfn.XLOOKUP($B31,Sort_Alpha!$B$5:$B$47,Sort_Alpha!BZ$5:BZ$47,"",0)</f>
        <v>4.7614895620439843E-18</v>
      </c>
      <c r="CA31" s="1">
        <f>_xlfn.XLOOKUP($B31,Sort_Alpha!$B$5:$B$47,Sort_Alpha!CA$5:CA$47,"",0)</f>
        <v>5.2011456807009226E-18</v>
      </c>
      <c r="CB31" s="1">
        <f>_xlfn.XLOOKUP($B31,Sort_Alpha!$B$5:$B$47,Sort_Alpha!CB$5:CB$47,"",0)</f>
        <v>3.4083622405842085E-18</v>
      </c>
      <c r="CC31" s="1">
        <f>_xlfn.XLOOKUP($B31,Sort_Alpha!$B$5:$B$47,Sort_Alpha!CC$5:CC$47,"",0)</f>
        <v>6.8891349955150728E-16</v>
      </c>
    </row>
    <row r="32" spans="2:81" x14ac:dyDescent="0.15">
      <c r="B32" t="s">
        <v>22</v>
      </c>
      <c r="C32" s="1">
        <f>_xlfn.XLOOKUP($B32,Sort_Alpha!$B$5:$B$47,Sort_Alpha!C$5:C$47,"",0)</f>
        <v>1.1857739523581934E-15</v>
      </c>
      <c r="D32" s="1">
        <f>_xlfn.XLOOKUP($B32,Sort_Alpha!$B$5:$B$47,Sort_Alpha!D$5:D$47,"",0)</f>
        <v>1.4256502594084539E-16</v>
      </c>
      <c r="E32" s="1">
        <f>_xlfn.XLOOKUP($B32,Sort_Alpha!$B$5:$B$47,Sort_Alpha!E$5:E$47,"",0)</f>
        <v>2.9595129550983169E-17</v>
      </c>
      <c r="F32" s="1">
        <f>_xlfn.XLOOKUP($B32,Sort_Alpha!$B$5:$B$47,Sort_Alpha!F$5:F$47,"",0)</f>
        <v>2.7954496376372383E-15</v>
      </c>
      <c r="G32" s="1">
        <f>_xlfn.XLOOKUP($B32,Sort_Alpha!$B$5:$B$47,Sort_Alpha!G$5:G$47,"",0)</f>
        <v>5.3281873549984588E-19</v>
      </c>
      <c r="H32" s="1">
        <f>_xlfn.XLOOKUP($B32,Sort_Alpha!$B$5:$B$47,Sort_Alpha!H$5:H$47,"",0)</f>
        <v>2.4466135356038622E-17</v>
      </c>
      <c r="I32" s="1">
        <f>_xlfn.XLOOKUP($B32,Sort_Alpha!$B$5:$B$47,Sort_Alpha!I$5:I$47,"",0)</f>
        <v>1.705839117110298E-17</v>
      </c>
      <c r="J32" s="1">
        <f>_xlfn.XLOOKUP($B32,Sort_Alpha!$B$5:$B$47,Sort_Alpha!J$5:J$47,"",0)</f>
        <v>1.705839117110298E-17</v>
      </c>
      <c r="K32" s="1">
        <f>_xlfn.XLOOKUP($B32,Sort_Alpha!$B$5:$B$47,Sort_Alpha!K$5:K$47,"",0)</f>
        <v>1.705839117110298E-17</v>
      </c>
      <c r="L32" s="1">
        <f>_xlfn.XLOOKUP($B32,Sort_Alpha!$B$5:$B$47,Sort_Alpha!L$5:L$47,"",0)</f>
        <v>2.9593349549102352E-17</v>
      </c>
      <c r="M32" s="1">
        <f>_xlfn.XLOOKUP($B32,Sort_Alpha!$B$5:$B$47,Sort_Alpha!M$5:M$47,"",0)</f>
        <v>2.9593349549102352E-17</v>
      </c>
      <c r="N32" s="1">
        <f>_xlfn.XLOOKUP($B32,Sort_Alpha!$B$5:$B$47,Sort_Alpha!N$5:N$47,"",0)</f>
        <v>2.9593349549102352E-17</v>
      </c>
      <c r="O32" s="1">
        <f>_xlfn.XLOOKUP($B32,Sort_Alpha!$B$5:$B$47,Sort_Alpha!O$5:O$47,"",0)</f>
        <v>1.0455787468973199E-15</v>
      </c>
      <c r="P32" s="1">
        <f>_xlfn.XLOOKUP($B32,Sort_Alpha!$B$5:$B$47,Sort_Alpha!P$5:P$47,"",0)</f>
        <v>2.7785612106938576E-16</v>
      </c>
      <c r="Q32" s="1">
        <f>_xlfn.XLOOKUP($B32,Sort_Alpha!$B$5:$B$47,Sort_Alpha!Q$5:Q$47,"",0)</f>
        <v>7.8926581582868425E-16</v>
      </c>
      <c r="R32" s="1">
        <f>_xlfn.XLOOKUP($B32,Sort_Alpha!$B$5:$B$47,Sort_Alpha!R$5:R$47,"",0)</f>
        <v>7.8926581582868425E-16</v>
      </c>
      <c r="S32" s="1">
        <f>_xlfn.XLOOKUP($B32,Sort_Alpha!$B$5:$B$47,Sort_Alpha!S$5:S$47,"",0)</f>
        <v>5.1036266503283252E-18</v>
      </c>
      <c r="T32" s="1">
        <f>_xlfn.XLOOKUP($B32,Sort_Alpha!$B$5:$B$47,Sort_Alpha!T$5:T$47,"",0)</f>
        <v>2.9809584174805074E-18</v>
      </c>
      <c r="U32" s="1">
        <f>_xlfn.XLOOKUP($B32,Sort_Alpha!$B$5:$B$47,Sort_Alpha!U$5:U$47,"",0)</f>
        <v>2.9809584174805074E-18</v>
      </c>
      <c r="V32" s="1">
        <f>_xlfn.XLOOKUP($B32,Sort_Alpha!$B$5:$B$47,Sort_Alpha!V$5:V$47,"",0)</f>
        <v>2.9809584174805074E-18</v>
      </c>
      <c r="W32" s="1">
        <f>_xlfn.XLOOKUP($B32,Sort_Alpha!$B$5:$B$47,Sort_Alpha!W$5:W$47,"",0)</f>
        <v>2.9809584174805074E-18</v>
      </c>
      <c r="X32" s="1">
        <f>_xlfn.XLOOKUP($B32,Sort_Alpha!$B$5:$B$47,Sort_Alpha!X$5:X$47,"",0)</f>
        <v>2.9809584174805074E-18</v>
      </c>
      <c r="Y32" s="1">
        <f>_xlfn.XLOOKUP($B32,Sort_Alpha!$B$5:$B$47,Sort_Alpha!Y$5:Y$47,"",0)</f>
        <v>3.7401896718941518E-18</v>
      </c>
      <c r="Z32" s="1">
        <f>_xlfn.XLOOKUP($B32,Sort_Alpha!$B$5:$B$47,Sort_Alpha!Z$5:Z$47,"",0)</f>
        <v>1.65805107496538E-16</v>
      </c>
      <c r="AA32" s="1">
        <f>_xlfn.XLOOKUP($B32,Sort_Alpha!$B$5:$B$47,Sort_Alpha!AA$5:AA$47,"",0)</f>
        <v>1.6075408426300434E-16</v>
      </c>
      <c r="AB32" s="1">
        <f>_xlfn.XLOOKUP($B32,Sort_Alpha!$B$5:$B$47,Sort_Alpha!AB$5:AB$47,"",0)</f>
        <v>3.112042560226801E-17</v>
      </c>
      <c r="AC32" s="1">
        <f>_xlfn.XLOOKUP($B32,Sort_Alpha!$B$5:$B$47,Sort_Alpha!AC$5:AC$47,"",0)</f>
        <v>2.7004287281011589E-16</v>
      </c>
      <c r="AD32" s="1">
        <f>_xlfn.XLOOKUP($B32,Sort_Alpha!$B$5:$B$47,Sort_Alpha!AD$5:AD$47,"",0)</f>
        <v>1.2230494174769451E-15</v>
      </c>
      <c r="AE32" s="1">
        <f>_xlfn.XLOOKUP($B32,Sort_Alpha!$B$5:$B$47,Sort_Alpha!AE$5:AE$47,"",0)</f>
        <v>1.3176145124707578E-15</v>
      </c>
      <c r="AF32" s="1">
        <f>_xlfn.XLOOKUP($B32,Sort_Alpha!$B$5:$B$47,Sort_Alpha!AF$5:AF$47,"",0)</f>
        <v>1.3176145124707578E-15</v>
      </c>
      <c r="AG32" s="1">
        <f>_xlfn.XLOOKUP($B32,Sort_Alpha!$B$5:$B$47,Sort_Alpha!AG$5:AG$47,"",0)</f>
        <v>1.1375345385756273E-16</v>
      </c>
      <c r="AH32" s="1">
        <f>_xlfn.XLOOKUP($B32,Sort_Alpha!$B$5:$B$47,Sort_Alpha!AH$5:AH$47,"",0)</f>
        <v>2.917518271487946E-17</v>
      </c>
      <c r="AI32" s="1">
        <f>_xlfn.XLOOKUP($B32,Sort_Alpha!$B$5:$B$47,Sort_Alpha!AI$5:AI$47,"",0)</f>
        <v>3.0009267251818821E-17</v>
      </c>
      <c r="AJ32" s="1">
        <f>_xlfn.XLOOKUP($B32,Sort_Alpha!$B$5:$B$47,Sort_Alpha!AJ$5:AJ$47,"",0)</f>
        <v>4.420141690971312E-18</v>
      </c>
      <c r="AK32" s="1">
        <f>_xlfn.XLOOKUP($B32,Sort_Alpha!$B$5:$B$47,Sort_Alpha!AK$5:AK$47,"",0)</f>
        <v>3.2130344651855177E-15</v>
      </c>
      <c r="AL32" s="1">
        <f>_xlfn.XLOOKUP($B32,Sort_Alpha!$B$5:$B$47,Sort_Alpha!AL$5:AL$47,"",0)</f>
        <v>1.7149912360017032E-17</v>
      </c>
      <c r="AM32" s="1">
        <f>_xlfn.XLOOKUP($B32,Sort_Alpha!$B$5:$B$47,Sort_Alpha!AM$5:AM$47,"",0)</f>
        <v>1.186463246084405E-15</v>
      </c>
      <c r="AN32" s="1">
        <f>_xlfn.XLOOKUP($B32,Sort_Alpha!$B$5:$B$47,Sort_Alpha!AN$5:AN$47,"",0)</f>
        <v>2.6242576381642005E-17</v>
      </c>
      <c r="AO32" s="1">
        <f>_xlfn.XLOOKUP($B32,Sort_Alpha!$B$5:$B$47,Sort_Alpha!AO$5:AO$47,"",0)</f>
        <v>2.6242576381642005E-17</v>
      </c>
      <c r="AP32" s="1">
        <f>_xlfn.XLOOKUP($B32,Sort_Alpha!$B$5:$B$47,Sort_Alpha!AP$5:AP$47,"",0)</f>
        <v>2.6242595692343234E-17</v>
      </c>
      <c r="AQ32" s="1">
        <f>_xlfn.XLOOKUP($B32,Sort_Alpha!$B$5:$B$47,Sort_Alpha!AQ$5:AQ$47,"",0)</f>
        <v>2.9545469142100039E-18</v>
      </c>
      <c r="AR32" s="1">
        <f>_xlfn.XLOOKUP($B32,Sort_Alpha!$B$5:$B$47,Sort_Alpha!AR$5:AR$47,"",0)</f>
        <v>4.3387132788950959E-18</v>
      </c>
      <c r="AS32" s="1">
        <f>_xlfn.XLOOKUP($B32,Sort_Alpha!$B$5:$B$47,Sort_Alpha!AS$5:AS$47,"",0)</f>
        <v>3.4309706580827867E-12</v>
      </c>
      <c r="AT32" s="1">
        <f>_xlfn.XLOOKUP($B32,Sort_Alpha!$B$5:$B$47,Sort_Alpha!AT$5:AT$47,"",0)</f>
        <v>2.5334565020437158E-16</v>
      </c>
      <c r="AU32" s="1">
        <f>_xlfn.XLOOKUP($B32,Sort_Alpha!$B$5:$B$47,Sort_Alpha!AU$5:AU$47,"",0)</f>
        <v>1.465762483790596E-18</v>
      </c>
      <c r="AV32" s="1">
        <f>_xlfn.XLOOKUP($B32,Sort_Alpha!$B$5:$B$47,Sort_Alpha!AV$5:AV$47,"",0)</f>
        <v>0</v>
      </c>
      <c r="AW32" s="1">
        <f>_xlfn.XLOOKUP($B32,Sort_Alpha!$B$5:$B$47,Sort_Alpha!AW$5:AW$47,"",0)</f>
        <v>1.5630083577810014E-14</v>
      </c>
      <c r="AX32" s="1">
        <f>_xlfn.XLOOKUP($B32,Sort_Alpha!$B$5:$B$47,Sort_Alpha!AX$5:AX$47,"",0)</f>
        <v>2.488133604614468E-14</v>
      </c>
      <c r="AY32" s="1">
        <f>_xlfn.XLOOKUP($B32,Sort_Alpha!$B$5:$B$47,Sort_Alpha!AY$5:AY$47,"",0)</f>
        <v>2.488133604614468E-14</v>
      </c>
      <c r="AZ32" s="1">
        <f>_xlfn.XLOOKUP($B32,Sort_Alpha!$B$5:$B$47,Sort_Alpha!AZ$5:AZ$47,"",0)</f>
        <v>1.8411495674685919E-15</v>
      </c>
      <c r="BA32" s="1">
        <f>_xlfn.XLOOKUP($B32,Sort_Alpha!$B$5:$B$47,Sort_Alpha!BA$5:BA$47,"",0)</f>
        <v>2.9215328269902932E-17</v>
      </c>
      <c r="BB32" s="1">
        <f>_xlfn.XLOOKUP($B32,Sort_Alpha!$B$5:$B$47,Sort_Alpha!BB$5:BB$47,"",0)</f>
        <v>1.1780883677018288E-15</v>
      </c>
      <c r="BC32" s="1">
        <f>_xlfn.XLOOKUP($B32,Sort_Alpha!$B$5:$B$47,Sort_Alpha!BC$5:BC$47,"",0)</f>
        <v>1.2201323865642316E-15</v>
      </c>
      <c r="BD32" s="1">
        <f>_xlfn.XLOOKUP($B32,Sort_Alpha!$B$5:$B$47,Sort_Alpha!BD$5:BD$47,"",0)</f>
        <v>1.2201323865642316E-15</v>
      </c>
      <c r="BE32" s="1">
        <f>_xlfn.XLOOKUP($B32,Sort_Alpha!$B$5:$B$47,Sort_Alpha!BE$5:BE$47,"",0)</f>
        <v>3.5301541723630063E-18</v>
      </c>
      <c r="BF32" s="1">
        <f>_xlfn.XLOOKUP($B32,Sort_Alpha!$B$5:$B$47,Sort_Alpha!BF$5:BF$47,"",0)</f>
        <v>3.658632885392773E-16</v>
      </c>
      <c r="BG32" s="1">
        <f>_xlfn.XLOOKUP($B32,Sort_Alpha!$B$5:$B$47,Sort_Alpha!BG$5:BG$47,"",0)</f>
        <v>4.5985576064350113E-15</v>
      </c>
      <c r="BH32" s="1">
        <f>_xlfn.XLOOKUP($B32,Sort_Alpha!$B$5:$B$47,Sort_Alpha!BH$5:BH$47,"",0)</f>
        <v>4.5236184385406068E-15</v>
      </c>
      <c r="BI32" s="1">
        <f>_xlfn.XLOOKUP($B32,Sort_Alpha!$B$5:$B$47,Sort_Alpha!BI$5:BI$47,"",0)</f>
        <v>4.5236184385406068E-15</v>
      </c>
      <c r="BJ32" s="1">
        <f>_xlfn.XLOOKUP($B32,Sort_Alpha!$B$5:$B$47,Sort_Alpha!BJ$5:BJ$47,"",0)</f>
        <v>4.5236184385406068E-15</v>
      </c>
      <c r="BK32" s="1">
        <f>_xlfn.XLOOKUP($B32,Sort_Alpha!$B$5:$B$47,Sort_Alpha!BK$5:BK$47,"",0)</f>
        <v>9.283113296444297E-17</v>
      </c>
      <c r="BL32" s="1">
        <f>_xlfn.XLOOKUP($B32,Sort_Alpha!$B$5:$B$47,Sort_Alpha!BL$5:BL$47,"",0)</f>
        <v>1.2434680784756023E-16</v>
      </c>
      <c r="BM32" s="1">
        <f>_xlfn.XLOOKUP($B32,Sort_Alpha!$B$5:$B$47,Sort_Alpha!BM$5:BM$47,"",0)</f>
        <v>1.4713285947056546E-16</v>
      </c>
      <c r="BN32" s="1">
        <f>_xlfn.XLOOKUP($B32,Sort_Alpha!$B$5:$B$47,Sort_Alpha!BN$5:BN$47,"",0)</f>
        <v>1.4714734326311519E-16</v>
      </c>
      <c r="BO32" s="1">
        <f>_xlfn.XLOOKUP($B32,Sort_Alpha!$B$5:$B$47,Sort_Alpha!BO$5:BO$47,"",0)</f>
        <v>4.6711024925213606E-18</v>
      </c>
      <c r="BP32" s="1">
        <f>_xlfn.XLOOKUP($B32,Sort_Alpha!$B$5:$B$47,Sort_Alpha!BP$5:BP$47,"",0)</f>
        <v>4.6711024925213606E-18</v>
      </c>
      <c r="BQ32" s="1">
        <f>_xlfn.XLOOKUP($B32,Sort_Alpha!$B$5:$B$47,Sort_Alpha!BQ$5:BQ$47,"",0)</f>
        <v>0</v>
      </c>
      <c r="BR32" s="1">
        <f>_xlfn.XLOOKUP($B32,Sort_Alpha!$B$5:$B$47,Sort_Alpha!BR$5:BR$47,"",0)</f>
        <v>1.310419567006617E-17</v>
      </c>
      <c r="BS32" s="1">
        <f>_xlfn.XLOOKUP($B32,Sort_Alpha!$B$5:$B$47,Sort_Alpha!BS$5:BS$47,"",0)</f>
        <v>7.1861103420690862E-18</v>
      </c>
      <c r="BT32" s="1">
        <f>_xlfn.XLOOKUP($B32,Sort_Alpha!$B$5:$B$47,Sort_Alpha!BT$5:BT$47,"",0)</f>
        <v>5.5524230750137443E-18</v>
      </c>
      <c r="BU32" s="1">
        <f>_xlfn.XLOOKUP($B32,Sort_Alpha!$B$5:$B$47,Sort_Alpha!BU$5:BU$47,"",0)</f>
        <v>3.7914022158286585E-18</v>
      </c>
      <c r="BV32" s="1">
        <f>_xlfn.XLOOKUP($B32,Sort_Alpha!$B$5:$B$47,Sort_Alpha!BV$5:BV$47,"",0)</f>
        <v>1.4092280340434639E-15</v>
      </c>
      <c r="BW32" s="1">
        <f>_xlfn.XLOOKUP($B32,Sort_Alpha!$B$5:$B$47,Sort_Alpha!BW$5:BW$47,"",0)</f>
        <v>9.145865309145067E-16</v>
      </c>
      <c r="BX32" s="1">
        <f>_xlfn.XLOOKUP($B32,Sort_Alpha!$B$5:$B$47,Sort_Alpha!BX$5:BX$47,"",0)</f>
        <v>9.145865309145067E-16</v>
      </c>
      <c r="BY32" s="1">
        <f>_xlfn.XLOOKUP($B32,Sort_Alpha!$B$5:$B$47,Sort_Alpha!BY$5:BY$47,"",0)</f>
        <v>3.6590622548778996E-15</v>
      </c>
      <c r="BZ32" s="1">
        <f>_xlfn.XLOOKUP($B32,Sort_Alpha!$B$5:$B$47,Sort_Alpha!BZ$5:BZ$47,"",0)</f>
        <v>1.0032282347058679E-14</v>
      </c>
      <c r="CA32" s="1">
        <f>_xlfn.XLOOKUP($B32,Sort_Alpha!$B$5:$B$47,Sort_Alpha!CA$5:CA$47,"",0)</f>
        <v>1.2051816215315568E-14</v>
      </c>
      <c r="CB32" s="1">
        <f>_xlfn.XLOOKUP($B32,Sort_Alpha!$B$5:$B$47,Sort_Alpha!CB$5:CB$47,"",0)</f>
        <v>4.0755236074179596E-14</v>
      </c>
      <c r="CC32" s="1">
        <f>_xlfn.XLOOKUP($B32,Sort_Alpha!$B$5:$B$47,Sort_Alpha!CC$5:CC$47,"",0)</f>
        <v>1.0571785227591377E-15</v>
      </c>
    </row>
    <row r="33" spans="2:81" x14ac:dyDescent="0.15">
      <c r="B33" t="s">
        <v>23</v>
      </c>
      <c r="C33" s="1">
        <f>_xlfn.XLOOKUP($B33,Sort_Alpha!$B$5:$B$47,Sort_Alpha!C$5:C$47,"",0)</f>
        <v>6.6370433440014645E-16</v>
      </c>
      <c r="D33" s="1">
        <f>_xlfn.XLOOKUP($B33,Sort_Alpha!$B$5:$B$47,Sort_Alpha!D$5:D$47,"",0)</f>
        <v>7.8284966180309282E-15</v>
      </c>
      <c r="E33" s="1">
        <f>_xlfn.XLOOKUP($B33,Sort_Alpha!$B$5:$B$47,Sort_Alpha!E$5:E$47,"",0)</f>
        <v>7.7418954288445466E-16</v>
      </c>
      <c r="F33" s="1">
        <f>_xlfn.XLOOKUP($B33,Sort_Alpha!$B$5:$B$47,Sort_Alpha!F$5:F$47,"",0)</f>
        <v>3.5979553169731634E-15</v>
      </c>
      <c r="G33" s="1">
        <f>_xlfn.XLOOKUP($B33,Sort_Alpha!$B$5:$B$47,Sort_Alpha!G$5:G$47,"",0)</f>
        <v>2.1096452339171015E-17</v>
      </c>
      <c r="H33" s="1">
        <f>_xlfn.XLOOKUP($B33,Sort_Alpha!$B$5:$B$47,Sort_Alpha!H$5:H$47,"",0)</f>
        <v>6.3605936575315483E-16</v>
      </c>
      <c r="I33" s="1">
        <f>_xlfn.XLOOKUP($B33,Sort_Alpha!$B$5:$B$47,Sort_Alpha!I$5:I$47,"",0)</f>
        <v>4.1067663119762335E-16</v>
      </c>
      <c r="J33" s="1">
        <f>_xlfn.XLOOKUP($B33,Sort_Alpha!$B$5:$B$47,Sort_Alpha!J$5:J$47,"",0)</f>
        <v>4.1067663119762335E-16</v>
      </c>
      <c r="K33" s="1">
        <f>_xlfn.XLOOKUP($B33,Sort_Alpha!$B$5:$B$47,Sort_Alpha!K$5:K$47,"",0)</f>
        <v>4.1067663119762335E-16</v>
      </c>
      <c r="L33" s="1">
        <f>_xlfn.XLOOKUP($B33,Sort_Alpha!$B$5:$B$47,Sort_Alpha!L$5:L$47,"",0)</f>
        <v>7.7418954288445466E-16</v>
      </c>
      <c r="M33" s="1">
        <f>_xlfn.XLOOKUP($B33,Sort_Alpha!$B$5:$B$47,Sort_Alpha!M$5:M$47,"",0)</f>
        <v>7.7418954288445466E-16</v>
      </c>
      <c r="N33" s="1">
        <f>_xlfn.XLOOKUP($B33,Sort_Alpha!$B$5:$B$47,Sort_Alpha!N$5:N$47,"",0)</f>
        <v>7.7418954288445466E-16</v>
      </c>
      <c r="O33" s="1">
        <f>_xlfn.XLOOKUP($B33,Sort_Alpha!$B$5:$B$47,Sort_Alpha!O$5:O$47,"",0)</f>
        <v>1.08366707915948E-15</v>
      </c>
      <c r="P33" s="1">
        <f>_xlfn.XLOOKUP($B33,Sort_Alpha!$B$5:$B$47,Sort_Alpha!P$5:P$47,"",0)</f>
        <v>1.0497574024472321E-16</v>
      </c>
      <c r="Q33" s="1">
        <f>_xlfn.XLOOKUP($B33,Sort_Alpha!$B$5:$B$47,Sort_Alpha!Q$5:Q$47,"",0)</f>
        <v>5.5733205495264651E-16</v>
      </c>
      <c r="R33" s="1">
        <f>_xlfn.XLOOKUP($B33,Sort_Alpha!$B$5:$B$47,Sort_Alpha!R$5:R$47,"",0)</f>
        <v>5.5733205495264651E-16</v>
      </c>
      <c r="S33" s="1">
        <f>_xlfn.XLOOKUP($B33,Sort_Alpha!$B$5:$B$47,Sort_Alpha!S$5:S$47,"",0)</f>
        <v>7.0289654959796115E-17</v>
      </c>
      <c r="T33" s="1">
        <f>_xlfn.XLOOKUP($B33,Sort_Alpha!$B$5:$B$47,Sort_Alpha!T$5:T$47,"",0)</f>
        <v>6.2574143720369711E-17</v>
      </c>
      <c r="U33" s="1">
        <f>_xlfn.XLOOKUP($B33,Sort_Alpha!$B$5:$B$47,Sort_Alpha!U$5:U$47,"",0)</f>
        <v>6.2574143720369711E-17</v>
      </c>
      <c r="V33" s="1">
        <f>_xlfn.XLOOKUP($B33,Sort_Alpha!$B$5:$B$47,Sort_Alpha!V$5:V$47,"",0)</f>
        <v>6.2574143720369711E-17</v>
      </c>
      <c r="W33" s="1">
        <f>_xlfn.XLOOKUP($B33,Sort_Alpha!$B$5:$B$47,Sort_Alpha!W$5:W$47,"",0)</f>
        <v>6.2574143720369711E-17</v>
      </c>
      <c r="X33" s="1">
        <f>_xlfn.XLOOKUP($B33,Sort_Alpha!$B$5:$B$47,Sort_Alpha!X$5:X$47,"",0)</f>
        <v>6.2574143720369711E-17</v>
      </c>
      <c r="Y33" s="1">
        <f>_xlfn.XLOOKUP($B33,Sort_Alpha!$B$5:$B$47,Sort_Alpha!Y$5:Y$47,"",0)</f>
        <v>6.0316519772957718E-17</v>
      </c>
      <c r="Z33" s="1">
        <f>_xlfn.XLOOKUP($B33,Sort_Alpha!$B$5:$B$47,Sort_Alpha!Z$5:Z$47,"",0)</f>
        <v>1.9582583716036017E-14</v>
      </c>
      <c r="AA33" s="1">
        <f>_xlfn.XLOOKUP($B33,Sort_Alpha!$B$5:$B$47,Sort_Alpha!AA$5:AA$47,"",0)</f>
        <v>1.860445626511978E-14</v>
      </c>
      <c r="AB33" s="1">
        <f>_xlfn.XLOOKUP($B33,Sort_Alpha!$B$5:$B$47,Sort_Alpha!AB$5:AB$47,"",0)</f>
        <v>1.1995835985486588E-15</v>
      </c>
      <c r="AC33" s="1">
        <f>_xlfn.XLOOKUP($B33,Sort_Alpha!$B$5:$B$47,Sort_Alpha!AC$5:AC$47,"",0)</f>
        <v>1.0034385527919297E-14</v>
      </c>
      <c r="AD33" s="1">
        <f>_xlfn.XLOOKUP($B33,Sort_Alpha!$B$5:$B$47,Sort_Alpha!AD$5:AD$47,"",0)</f>
        <v>1.7851495087253107E-15</v>
      </c>
      <c r="AE33" s="1">
        <f>_xlfn.XLOOKUP($B33,Sort_Alpha!$B$5:$B$47,Sort_Alpha!AE$5:AE$47,"",0)</f>
        <v>1.7346953968648272E-15</v>
      </c>
      <c r="AF33" s="1">
        <f>_xlfn.XLOOKUP($B33,Sort_Alpha!$B$5:$B$47,Sort_Alpha!AF$5:AF$47,"",0)</f>
        <v>1.7346953968648272E-15</v>
      </c>
      <c r="AG33" s="1">
        <f>_xlfn.XLOOKUP($B33,Sort_Alpha!$B$5:$B$47,Sort_Alpha!AG$5:AG$47,"",0)</f>
        <v>5.4557310717517073E-15</v>
      </c>
      <c r="AH33" s="1">
        <f>_xlfn.XLOOKUP($B33,Sort_Alpha!$B$5:$B$47,Sort_Alpha!AH$5:AH$47,"",0)</f>
        <v>7.6200889526623053E-16</v>
      </c>
      <c r="AI33" s="1">
        <f>_xlfn.XLOOKUP($B33,Sort_Alpha!$B$5:$B$47,Sort_Alpha!AI$5:AI$47,"",0)</f>
        <v>7.7818604372111502E-16</v>
      </c>
      <c r="AJ33" s="1">
        <f>_xlfn.XLOOKUP($B33,Sort_Alpha!$B$5:$B$47,Sort_Alpha!AJ$5:AJ$47,"",0)</f>
        <v>8.554794941280053E-17</v>
      </c>
      <c r="AK33" s="1">
        <f>_xlfn.XLOOKUP($B33,Sort_Alpha!$B$5:$B$47,Sort_Alpha!AK$5:AK$47,"",0)</f>
        <v>4.6427884096022013E-15</v>
      </c>
      <c r="AL33" s="1">
        <f>_xlfn.XLOOKUP($B33,Sort_Alpha!$B$5:$B$47,Sort_Alpha!AL$5:AL$47,"",0)</f>
        <v>3.579647683474028E-16</v>
      </c>
      <c r="AM33" s="1">
        <f>_xlfn.XLOOKUP($B33,Sort_Alpha!$B$5:$B$47,Sort_Alpha!AM$5:AM$47,"",0)</f>
        <v>5.8755086642637825E-16</v>
      </c>
      <c r="AN33" s="1">
        <f>_xlfn.XLOOKUP($B33,Sort_Alpha!$B$5:$B$47,Sort_Alpha!AN$5:AN$47,"",0)</f>
        <v>8.9984589398966656E-16</v>
      </c>
      <c r="AO33" s="1">
        <f>_xlfn.XLOOKUP($B33,Sort_Alpha!$B$5:$B$47,Sort_Alpha!AO$5:AO$47,"",0)</f>
        <v>8.9984589398966656E-16</v>
      </c>
      <c r="AP33" s="1">
        <f>_xlfn.XLOOKUP($B33,Sort_Alpha!$B$5:$B$47,Sort_Alpha!AP$5:AP$47,"",0)</f>
        <v>8.9984589398966656E-16</v>
      </c>
      <c r="AQ33" s="1">
        <f>_xlfn.XLOOKUP($B33,Sort_Alpha!$B$5:$B$47,Sort_Alpha!AQ$5:AQ$47,"",0)</f>
        <v>7.9802738842485421E-17</v>
      </c>
      <c r="AR33" s="1">
        <f>_xlfn.XLOOKUP($B33,Sort_Alpha!$B$5:$B$47,Sort_Alpha!AR$5:AR$47,"",0)</f>
        <v>7.9802738842485421E-17</v>
      </c>
      <c r="AS33" s="1">
        <f>_xlfn.XLOOKUP($B33,Sort_Alpha!$B$5:$B$47,Sort_Alpha!AS$5:AS$47,"",0)</f>
        <v>2.4984699486450609E-16</v>
      </c>
      <c r="AT33" s="1">
        <f>_xlfn.XLOOKUP($B33,Sort_Alpha!$B$5:$B$47,Sort_Alpha!AT$5:AT$47,"",0)</f>
        <v>3.2568563724337247E-13</v>
      </c>
      <c r="AU33" s="1">
        <f>_xlfn.XLOOKUP($B33,Sort_Alpha!$B$5:$B$47,Sort_Alpha!AU$5:AU$47,"",0)</f>
        <v>3.279949191561129E-17</v>
      </c>
      <c r="AV33" s="1">
        <f>_xlfn.XLOOKUP($B33,Sort_Alpha!$B$5:$B$47,Sort_Alpha!AV$5:AV$47,"",0)</f>
        <v>0</v>
      </c>
      <c r="AW33" s="1">
        <f>_xlfn.XLOOKUP($B33,Sort_Alpha!$B$5:$B$47,Sort_Alpha!AW$5:AW$47,"",0)</f>
        <v>3.2381681554725257E-16</v>
      </c>
      <c r="AX33" s="1">
        <f>_xlfn.XLOOKUP($B33,Sort_Alpha!$B$5:$B$47,Sort_Alpha!AX$5:AX$47,"",0)</f>
        <v>2.7286038022983974E-16</v>
      </c>
      <c r="AY33" s="1">
        <f>_xlfn.XLOOKUP($B33,Sort_Alpha!$B$5:$B$47,Sort_Alpha!AY$5:AY$47,"",0)</f>
        <v>2.7286038022983974E-16</v>
      </c>
      <c r="AZ33" s="1">
        <f>_xlfn.XLOOKUP($B33,Sort_Alpha!$B$5:$B$47,Sort_Alpha!AZ$5:AZ$47,"",0)</f>
        <v>1.6085110933379939E-15</v>
      </c>
      <c r="BA33" s="1">
        <f>_xlfn.XLOOKUP($B33,Sort_Alpha!$B$5:$B$47,Sort_Alpha!BA$5:BA$47,"",0)</f>
        <v>7.6374252279628206E-16</v>
      </c>
      <c r="BB33" s="1">
        <f>_xlfn.XLOOKUP($B33,Sort_Alpha!$B$5:$B$47,Sort_Alpha!BB$5:BB$47,"",0)</f>
        <v>3.1009212743983915E-15</v>
      </c>
      <c r="BC33" s="1">
        <f>_xlfn.XLOOKUP($B33,Sort_Alpha!$B$5:$B$47,Sort_Alpha!BC$5:BC$47,"",0)</f>
        <v>3.298136000971264E-15</v>
      </c>
      <c r="BD33" s="1">
        <f>_xlfn.XLOOKUP($B33,Sort_Alpha!$B$5:$B$47,Sort_Alpha!BD$5:BD$47,"",0)</f>
        <v>3.298136000971264E-15</v>
      </c>
      <c r="BE33" s="1">
        <f>_xlfn.XLOOKUP($B33,Sort_Alpha!$B$5:$B$47,Sort_Alpha!BE$5:BE$47,"",0)</f>
        <v>6.0650037243459638E-17</v>
      </c>
      <c r="BF33" s="1">
        <f>_xlfn.XLOOKUP($B33,Sort_Alpha!$B$5:$B$47,Sort_Alpha!BF$5:BF$47,"",0)</f>
        <v>3.5428551225962521E-16</v>
      </c>
      <c r="BG33" s="1">
        <f>_xlfn.XLOOKUP($B33,Sort_Alpha!$B$5:$B$47,Sort_Alpha!BG$5:BG$47,"",0)</f>
        <v>1.0138844430376173E-14</v>
      </c>
      <c r="BH33" s="1">
        <f>_xlfn.XLOOKUP($B33,Sort_Alpha!$B$5:$B$47,Sort_Alpha!BH$5:BH$47,"",0)</f>
        <v>7.5396820510046687E-15</v>
      </c>
      <c r="BI33" s="1">
        <f>_xlfn.XLOOKUP($B33,Sort_Alpha!$B$5:$B$47,Sort_Alpha!BI$5:BI$47,"",0)</f>
        <v>7.5396820510046687E-15</v>
      </c>
      <c r="BJ33" s="1">
        <f>_xlfn.XLOOKUP($B33,Sort_Alpha!$B$5:$B$47,Sort_Alpha!BJ$5:BJ$47,"",0)</f>
        <v>7.5396820510046687E-15</v>
      </c>
      <c r="BK33" s="1">
        <f>_xlfn.XLOOKUP($B33,Sort_Alpha!$B$5:$B$47,Sort_Alpha!BK$5:BK$47,"",0)</f>
        <v>3.1009463915919496E-15</v>
      </c>
      <c r="BL33" s="1">
        <f>_xlfn.XLOOKUP($B33,Sort_Alpha!$B$5:$B$47,Sort_Alpha!BL$5:BL$47,"",0)</f>
        <v>9.6363066095223191E-15</v>
      </c>
      <c r="BM33" s="1">
        <f>_xlfn.XLOOKUP($B33,Sort_Alpha!$B$5:$B$47,Sort_Alpha!BM$5:BM$47,"",0)</f>
        <v>1.5033560964646264E-14</v>
      </c>
      <c r="BN33" s="1">
        <f>_xlfn.XLOOKUP($B33,Sort_Alpha!$B$5:$B$47,Sort_Alpha!BN$5:BN$47,"",0)</f>
        <v>1.5033560964646264E-14</v>
      </c>
      <c r="BO33" s="1">
        <f>_xlfn.XLOOKUP($B33,Sort_Alpha!$B$5:$B$47,Sort_Alpha!BO$5:BO$47,"",0)</f>
        <v>7.9492918627417243E-17</v>
      </c>
      <c r="BP33" s="1">
        <f>_xlfn.XLOOKUP($B33,Sort_Alpha!$B$5:$B$47,Sort_Alpha!BP$5:BP$47,"",0)</f>
        <v>7.9492918627417243E-17</v>
      </c>
      <c r="BQ33" s="1">
        <f>_xlfn.XLOOKUP($B33,Sort_Alpha!$B$5:$B$47,Sort_Alpha!BQ$5:BQ$47,"",0)</f>
        <v>0</v>
      </c>
      <c r="BR33" s="1">
        <f>_xlfn.XLOOKUP($B33,Sort_Alpha!$B$5:$B$47,Sort_Alpha!BR$5:BR$47,"",0)</f>
        <v>2.971749066729857E-16</v>
      </c>
      <c r="BS33" s="1">
        <f>_xlfn.XLOOKUP($B33,Sort_Alpha!$B$5:$B$47,Sort_Alpha!BS$5:BS$47,"",0)</f>
        <v>1.4865518610766803E-16</v>
      </c>
      <c r="BT33" s="1">
        <f>_xlfn.XLOOKUP($B33,Sort_Alpha!$B$5:$B$47,Sort_Alpha!BT$5:BT$47,"",0)</f>
        <v>8.0805468973634119E-17</v>
      </c>
      <c r="BU33" s="1">
        <f>_xlfn.XLOOKUP($B33,Sort_Alpha!$B$5:$B$47,Sort_Alpha!BU$5:BU$47,"",0)</f>
        <v>6.194024349713375E-17</v>
      </c>
      <c r="BV33" s="1">
        <f>_xlfn.XLOOKUP($B33,Sort_Alpha!$B$5:$B$47,Sort_Alpha!BV$5:BV$47,"",0)</f>
        <v>8.884975636122909E-16</v>
      </c>
      <c r="BW33" s="1">
        <f>_xlfn.XLOOKUP($B33,Sort_Alpha!$B$5:$B$47,Sort_Alpha!BW$5:BW$47,"",0)</f>
        <v>8.7823806362727149E-16</v>
      </c>
      <c r="BX33" s="1">
        <f>_xlfn.XLOOKUP($B33,Sort_Alpha!$B$5:$B$47,Sort_Alpha!BX$5:BX$47,"",0)</f>
        <v>8.7823806362727149E-16</v>
      </c>
      <c r="BY33" s="1">
        <f>_xlfn.XLOOKUP($B33,Sort_Alpha!$B$5:$B$47,Sort_Alpha!BY$5:BY$47,"",0)</f>
        <v>7.5412838683937871E-15</v>
      </c>
      <c r="BZ33" s="1">
        <f>_xlfn.XLOOKUP($B33,Sort_Alpha!$B$5:$B$47,Sort_Alpha!BZ$5:BZ$47,"",0)</f>
        <v>2.948865598198523E-16</v>
      </c>
      <c r="CA33" s="1">
        <f>_xlfn.XLOOKUP($B33,Sort_Alpha!$B$5:$B$47,Sort_Alpha!CA$5:CA$47,"",0)</f>
        <v>2.7033417181204543E-16</v>
      </c>
      <c r="CB33" s="1">
        <f>_xlfn.XLOOKUP($B33,Sort_Alpha!$B$5:$B$47,Sort_Alpha!CB$5:CB$47,"",0)</f>
        <v>2.6070294924635349E-16</v>
      </c>
      <c r="CC33" s="1">
        <f>_xlfn.XLOOKUP($B33,Sort_Alpha!$B$5:$B$47,Sort_Alpha!CC$5:CC$47,"",0)</f>
        <v>4.1592164482322328E-16</v>
      </c>
    </row>
    <row r="34" spans="2:81" x14ac:dyDescent="0.15">
      <c r="B34" t="s">
        <v>24</v>
      </c>
      <c r="C34" s="1">
        <f>_xlfn.XLOOKUP($B34,Sort_Alpha!$B$5:$B$47,Sort_Alpha!C$5:C$47,"",0)</f>
        <v>2.9687709076079406E-16</v>
      </c>
      <c r="D34" s="1">
        <f>_xlfn.XLOOKUP($B34,Sort_Alpha!$B$5:$B$47,Sort_Alpha!D$5:D$47,"",0)</f>
        <v>4.8853403706764504E-17</v>
      </c>
      <c r="E34" s="1">
        <f>_xlfn.XLOOKUP($B34,Sort_Alpha!$B$5:$B$47,Sort_Alpha!E$5:E$47,"",0)</f>
        <v>2.2036968394210728E-16</v>
      </c>
      <c r="F34" s="1">
        <f>_xlfn.XLOOKUP($B34,Sort_Alpha!$B$5:$B$47,Sort_Alpha!F$5:F$47,"",0)</f>
        <v>4.9474310130507182E-16</v>
      </c>
      <c r="G34" s="1">
        <f>_xlfn.XLOOKUP($B34,Sort_Alpha!$B$5:$B$47,Sort_Alpha!G$5:G$47,"",0)</f>
        <v>1.8838399462448438E-14</v>
      </c>
      <c r="H34" s="1">
        <f>_xlfn.XLOOKUP($B34,Sort_Alpha!$B$5:$B$47,Sort_Alpha!H$5:H$47,"",0)</f>
        <v>2.9536755103429107E-16</v>
      </c>
      <c r="I34" s="1">
        <f>_xlfn.XLOOKUP($B34,Sort_Alpha!$B$5:$B$47,Sort_Alpha!I$5:I$47,"",0)</f>
        <v>7.6361696386923448E-16</v>
      </c>
      <c r="J34" s="1">
        <f>_xlfn.XLOOKUP($B34,Sort_Alpha!$B$5:$B$47,Sort_Alpha!J$5:J$47,"",0)</f>
        <v>7.6361696386923448E-16</v>
      </c>
      <c r="K34" s="1">
        <f>_xlfn.XLOOKUP($B34,Sort_Alpha!$B$5:$B$47,Sort_Alpha!K$5:K$47,"",0)</f>
        <v>7.6361696386923448E-16</v>
      </c>
      <c r="L34" s="1">
        <f>_xlfn.XLOOKUP($B34,Sort_Alpha!$B$5:$B$47,Sort_Alpha!L$5:L$47,"",0)</f>
        <v>2.2034153441583503E-16</v>
      </c>
      <c r="M34" s="1">
        <f>_xlfn.XLOOKUP($B34,Sort_Alpha!$B$5:$B$47,Sort_Alpha!M$5:M$47,"",0)</f>
        <v>2.2034153441583503E-16</v>
      </c>
      <c r="N34" s="1">
        <f>_xlfn.XLOOKUP($B34,Sort_Alpha!$B$5:$B$47,Sort_Alpha!N$5:N$47,"",0)</f>
        <v>2.2034153441583503E-16</v>
      </c>
      <c r="O34" s="1">
        <f>_xlfn.XLOOKUP($B34,Sort_Alpha!$B$5:$B$47,Sort_Alpha!O$5:O$47,"",0)</f>
        <v>9.2588950155173026E-16</v>
      </c>
      <c r="P34" s="1">
        <f>_xlfn.XLOOKUP($B34,Sort_Alpha!$B$5:$B$47,Sort_Alpha!P$5:P$47,"",0)</f>
        <v>1.6135523755922346E-17</v>
      </c>
      <c r="Q34" s="1">
        <f>_xlfn.XLOOKUP($B34,Sort_Alpha!$B$5:$B$47,Sort_Alpha!Q$5:Q$47,"",0)</f>
        <v>2.8249860072204456E-15</v>
      </c>
      <c r="R34" s="1">
        <f>_xlfn.XLOOKUP($B34,Sort_Alpha!$B$5:$B$47,Sort_Alpha!R$5:R$47,"",0)</f>
        <v>2.8249860072204456E-15</v>
      </c>
      <c r="S34" s="1">
        <f>_xlfn.XLOOKUP($B34,Sort_Alpha!$B$5:$B$47,Sort_Alpha!S$5:S$47,"",0)</f>
        <v>5.1551701138699896E-15</v>
      </c>
      <c r="T34" s="1">
        <f>_xlfn.XLOOKUP($B34,Sort_Alpha!$B$5:$B$47,Sort_Alpha!T$5:T$47,"",0)</f>
        <v>1.9785490495876098E-14</v>
      </c>
      <c r="U34" s="1">
        <f>_xlfn.XLOOKUP($B34,Sort_Alpha!$B$5:$B$47,Sort_Alpha!U$5:U$47,"",0)</f>
        <v>1.9785490495876098E-14</v>
      </c>
      <c r="V34" s="1">
        <f>_xlfn.XLOOKUP($B34,Sort_Alpha!$B$5:$B$47,Sort_Alpha!V$5:V$47,"",0)</f>
        <v>1.9785490495876098E-14</v>
      </c>
      <c r="W34" s="1">
        <f>_xlfn.XLOOKUP($B34,Sort_Alpha!$B$5:$B$47,Sort_Alpha!W$5:W$47,"",0)</f>
        <v>1.9785490495876098E-14</v>
      </c>
      <c r="X34" s="1">
        <f>_xlfn.XLOOKUP($B34,Sort_Alpha!$B$5:$B$47,Sort_Alpha!X$5:X$47,"",0)</f>
        <v>1.9785490495876098E-14</v>
      </c>
      <c r="Y34" s="1">
        <f>_xlfn.XLOOKUP($B34,Sort_Alpha!$B$5:$B$47,Sort_Alpha!Y$5:Y$47,"",0)</f>
        <v>5.1714446998619322E-15</v>
      </c>
      <c r="Z34" s="1">
        <f>_xlfn.XLOOKUP($B34,Sort_Alpha!$B$5:$B$47,Sort_Alpha!Z$5:Z$47,"",0)</f>
        <v>5.3048448403370071E-17</v>
      </c>
      <c r="AA34" s="1">
        <f>_xlfn.XLOOKUP($B34,Sort_Alpha!$B$5:$B$47,Sort_Alpha!AA$5:AA$47,"",0)</f>
        <v>4.6929350355444046E-17</v>
      </c>
      <c r="AB34" s="1">
        <f>_xlfn.XLOOKUP($B34,Sort_Alpha!$B$5:$B$47,Sort_Alpha!AB$5:AB$47,"",0)</f>
        <v>1.6284477825650161E-16</v>
      </c>
      <c r="AC34" s="1">
        <f>_xlfn.XLOOKUP($B34,Sort_Alpha!$B$5:$B$47,Sort_Alpha!AC$5:AC$47,"",0)</f>
        <v>2.8608106945244477E-17</v>
      </c>
      <c r="AD34" s="1">
        <f>_xlfn.XLOOKUP($B34,Sort_Alpha!$B$5:$B$47,Sort_Alpha!AD$5:AD$47,"",0)</f>
        <v>5.11010141334633E-18</v>
      </c>
      <c r="AE34" s="1">
        <f>_xlfn.XLOOKUP($B34,Sort_Alpha!$B$5:$B$47,Sort_Alpha!AE$5:AE$47,"",0)</f>
        <v>1.057345987380187E-17</v>
      </c>
      <c r="AF34" s="1">
        <f>_xlfn.XLOOKUP($B34,Sort_Alpha!$B$5:$B$47,Sort_Alpha!AF$5:AF$47,"",0)</f>
        <v>6.8785266385266083E-18</v>
      </c>
      <c r="AG34" s="1">
        <f>_xlfn.XLOOKUP($B34,Sort_Alpha!$B$5:$B$47,Sort_Alpha!AG$5:AG$47,"",0)</f>
        <v>7.0428788569812991E-17</v>
      </c>
      <c r="AH34" s="1">
        <f>_xlfn.XLOOKUP($B34,Sort_Alpha!$B$5:$B$47,Sort_Alpha!AH$5:AH$47,"",0)</f>
        <v>2.3844573525603441E-16</v>
      </c>
      <c r="AI34" s="1">
        <f>_xlfn.XLOOKUP($B34,Sort_Alpha!$B$5:$B$47,Sort_Alpha!AI$5:AI$47,"",0)</f>
        <v>2.8728640491692342E-16</v>
      </c>
      <c r="AJ34" s="1">
        <f>_xlfn.XLOOKUP($B34,Sort_Alpha!$B$5:$B$47,Sort_Alpha!AJ$5:AJ$47,"",0)</f>
        <v>4.9919950886157905E-15</v>
      </c>
      <c r="AK34" s="1">
        <f>_xlfn.XLOOKUP($B34,Sort_Alpha!$B$5:$B$47,Sort_Alpha!AK$5:AK$47,"",0)</f>
        <v>3.6001159050097649E-16</v>
      </c>
      <c r="AL34" s="1">
        <f>_xlfn.XLOOKUP($B34,Sort_Alpha!$B$5:$B$47,Sort_Alpha!AL$5:AL$47,"",0)</f>
        <v>8.117528602953516E-16</v>
      </c>
      <c r="AM34" s="1">
        <f>_xlfn.XLOOKUP($B34,Sort_Alpha!$B$5:$B$47,Sort_Alpha!AM$5:AM$47,"",0)</f>
        <v>2.9108898440333978E-16</v>
      </c>
      <c r="AN34" s="1">
        <f>_xlfn.XLOOKUP($B34,Sort_Alpha!$B$5:$B$47,Sort_Alpha!AN$5:AN$47,"",0)</f>
        <v>6.3119335936313158E-16</v>
      </c>
      <c r="AO34" s="1">
        <f>_xlfn.XLOOKUP($B34,Sort_Alpha!$B$5:$B$47,Sort_Alpha!AO$5:AO$47,"",0)</f>
        <v>6.3119335936313158E-16</v>
      </c>
      <c r="AP34" s="1">
        <f>_xlfn.XLOOKUP($B34,Sort_Alpha!$B$5:$B$47,Sort_Alpha!AP$5:AP$47,"",0)</f>
        <v>6.3128571519071011E-16</v>
      </c>
      <c r="AQ34" s="1">
        <f>_xlfn.XLOOKUP($B34,Sort_Alpha!$B$5:$B$47,Sort_Alpha!AQ$5:AQ$47,"",0)</f>
        <v>8.6161904678202543E-15</v>
      </c>
      <c r="AR34" s="1">
        <f>_xlfn.XLOOKUP($B34,Sort_Alpha!$B$5:$B$47,Sort_Alpha!AR$5:AR$47,"",0)</f>
        <v>8.6161904678202543E-15</v>
      </c>
      <c r="AS34" s="1">
        <f>_xlfn.XLOOKUP($B34,Sort_Alpha!$B$5:$B$47,Sort_Alpha!AS$5:AS$47,"",0)</f>
        <v>1.465762483790596E-18</v>
      </c>
      <c r="AT34" s="1">
        <f>_xlfn.XLOOKUP($B34,Sort_Alpha!$B$5:$B$47,Sort_Alpha!AT$5:AT$47,"",0)</f>
        <v>1.32422549537249E-17</v>
      </c>
      <c r="AU34" s="1">
        <f>_xlfn.XLOOKUP($B34,Sort_Alpha!$B$5:$B$47,Sort_Alpha!AU$5:AU$47,"",0)</f>
        <v>5.7174490447851929E-11</v>
      </c>
      <c r="AV34" s="1">
        <f>_xlfn.XLOOKUP($B34,Sort_Alpha!$B$5:$B$47,Sort_Alpha!AV$5:AV$47,"",0)</f>
        <v>0</v>
      </c>
      <c r="AW34" s="1">
        <f>_xlfn.XLOOKUP($B34,Sort_Alpha!$B$5:$B$47,Sort_Alpha!AW$5:AW$47,"",0)</f>
        <v>0</v>
      </c>
      <c r="AX34" s="1">
        <f>_xlfn.XLOOKUP($B34,Sort_Alpha!$B$5:$B$47,Sort_Alpha!AX$5:AX$47,"",0)</f>
        <v>0</v>
      </c>
      <c r="AY34" s="1">
        <f>_xlfn.XLOOKUP($B34,Sort_Alpha!$B$5:$B$47,Sort_Alpha!AY$5:AY$47,"",0)</f>
        <v>1.9671651632253126E-18</v>
      </c>
      <c r="AZ34" s="1">
        <f>_xlfn.XLOOKUP($B34,Sort_Alpha!$B$5:$B$47,Sort_Alpha!AZ$5:AZ$47,"",0)</f>
        <v>1.4238672701649294E-15</v>
      </c>
      <c r="BA34" s="1">
        <f>_xlfn.XLOOKUP($B34,Sort_Alpha!$B$5:$B$47,Sort_Alpha!BA$5:BA$47,"",0)</f>
        <v>3.9697021928009331E-16</v>
      </c>
      <c r="BB34" s="1">
        <f>_xlfn.XLOOKUP($B34,Sort_Alpha!$B$5:$B$47,Sort_Alpha!BB$5:BB$47,"",0)</f>
        <v>1.0796901163705895E-17</v>
      </c>
      <c r="BC34" s="1">
        <f>_xlfn.XLOOKUP($B34,Sort_Alpha!$B$5:$B$47,Sort_Alpha!BC$5:BC$47,"",0)</f>
        <v>5.8196396388451209E-18</v>
      </c>
      <c r="BD34" s="1">
        <f>_xlfn.XLOOKUP($B34,Sort_Alpha!$B$5:$B$47,Sort_Alpha!BD$5:BD$47,"",0)</f>
        <v>9.5488957897627915E-18</v>
      </c>
      <c r="BE34" s="1">
        <f>_xlfn.XLOOKUP($B34,Sort_Alpha!$B$5:$B$47,Sort_Alpha!BE$5:BE$47,"",0)</f>
        <v>8.0486939117520517E-15</v>
      </c>
      <c r="BF34" s="1">
        <f>_xlfn.XLOOKUP($B34,Sort_Alpha!$B$5:$B$47,Sort_Alpha!BF$5:BF$47,"",0)</f>
        <v>3.8057315088073477E-16</v>
      </c>
      <c r="BG34" s="1">
        <f>_xlfn.XLOOKUP($B34,Sort_Alpha!$B$5:$B$47,Sort_Alpha!BG$5:BG$47,"",0)</f>
        <v>8.8014022824940536E-18</v>
      </c>
      <c r="BH34" s="1">
        <f>_xlfn.XLOOKUP($B34,Sort_Alpha!$B$5:$B$47,Sort_Alpha!BH$5:BH$47,"",0)</f>
        <v>1.088406955290124E-17</v>
      </c>
      <c r="BI34" s="1">
        <f>_xlfn.XLOOKUP($B34,Sort_Alpha!$B$5:$B$47,Sort_Alpha!BI$5:BI$47,"",0)</f>
        <v>1.088406955290124E-17</v>
      </c>
      <c r="BJ34" s="1">
        <f>_xlfn.XLOOKUP($B34,Sort_Alpha!$B$5:$B$47,Sort_Alpha!BJ$5:BJ$47,"",0)</f>
        <v>1.088406955290124E-17</v>
      </c>
      <c r="BK34" s="1">
        <f>_xlfn.XLOOKUP($B34,Sort_Alpha!$B$5:$B$47,Sort_Alpha!BK$5:BK$47,"",0)</f>
        <v>6.1521009385033758E-17</v>
      </c>
      <c r="BL34" s="1">
        <f>_xlfn.XLOOKUP($B34,Sort_Alpha!$B$5:$B$47,Sort_Alpha!BL$5:BL$47,"",0)</f>
        <v>4.6010561240631135E-17</v>
      </c>
      <c r="BM34" s="1">
        <f>_xlfn.XLOOKUP($B34,Sort_Alpha!$B$5:$B$47,Sort_Alpha!BM$5:BM$47,"",0)</f>
        <v>3.4195744670409743E-17</v>
      </c>
      <c r="BN34" s="1">
        <f>_xlfn.XLOOKUP($B34,Sort_Alpha!$B$5:$B$47,Sort_Alpha!BN$5:BN$47,"",0)</f>
        <v>4.7325990430212522E-17</v>
      </c>
      <c r="BO34" s="1">
        <f>_xlfn.XLOOKUP($B34,Sort_Alpha!$B$5:$B$47,Sort_Alpha!BO$5:BO$47,"",0)</f>
        <v>6.0593204469947452E-15</v>
      </c>
      <c r="BP34" s="1">
        <f>_xlfn.XLOOKUP($B34,Sort_Alpha!$B$5:$B$47,Sort_Alpha!BP$5:BP$47,"",0)</f>
        <v>6.0593204469947452E-15</v>
      </c>
      <c r="BQ34" s="1">
        <f>_xlfn.XLOOKUP($B34,Sort_Alpha!$B$5:$B$47,Sort_Alpha!BQ$5:BQ$47,"",0)</f>
        <v>0</v>
      </c>
      <c r="BR34" s="1">
        <f>_xlfn.XLOOKUP($B34,Sort_Alpha!$B$5:$B$47,Sort_Alpha!BR$5:BR$47,"",0)</f>
        <v>6.5431579813439466E-16</v>
      </c>
      <c r="BS34" s="1">
        <f>_xlfn.XLOOKUP($B34,Sort_Alpha!$B$5:$B$47,Sort_Alpha!BS$5:BS$47,"",0)</f>
        <v>1.4200251570779034E-15</v>
      </c>
      <c r="BT34" s="1">
        <f>_xlfn.XLOOKUP($B34,Sort_Alpha!$B$5:$B$47,Sort_Alpha!BT$5:BT$47,"",0)</f>
        <v>8.8041142440964697E-15</v>
      </c>
      <c r="BU34" s="1">
        <f>_xlfn.XLOOKUP($B34,Sort_Alpha!$B$5:$B$47,Sort_Alpha!BU$5:BU$47,"",0)</f>
        <v>1.4102163620489818E-14</v>
      </c>
      <c r="BV34" s="1">
        <f>_xlfn.XLOOKUP($B34,Sort_Alpha!$B$5:$B$47,Sort_Alpha!BV$5:BV$47,"",0)</f>
        <v>1.0775279907361997E-15</v>
      </c>
      <c r="BW34" s="1">
        <f>_xlfn.XLOOKUP($B34,Sort_Alpha!$B$5:$B$47,Sort_Alpha!BW$5:BW$47,"",0)</f>
        <v>2.9179582456148411E-15</v>
      </c>
      <c r="BX34" s="1">
        <f>_xlfn.XLOOKUP($B34,Sort_Alpha!$B$5:$B$47,Sort_Alpha!BX$5:BX$47,"",0)</f>
        <v>2.9179582456148411E-15</v>
      </c>
      <c r="BY34" s="1">
        <f>_xlfn.XLOOKUP($B34,Sort_Alpha!$B$5:$B$47,Sort_Alpha!BY$5:BY$47,"",0)</f>
        <v>9.0104801986149326E-18</v>
      </c>
      <c r="BZ34" s="1">
        <f>_xlfn.XLOOKUP($B34,Sort_Alpha!$B$5:$B$47,Sort_Alpha!BZ$5:BZ$47,"",0)</f>
        <v>0</v>
      </c>
      <c r="CA34" s="1">
        <f>_xlfn.XLOOKUP($B34,Sort_Alpha!$B$5:$B$47,Sort_Alpha!CA$5:CA$47,"",0)</f>
        <v>1.8864113749241544E-18</v>
      </c>
      <c r="CB34" s="1">
        <f>_xlfn.XLOOKUP($B34,Sort_Alpha!$B$5:$B$47,Sort_Alpha!CB$5:CB$47,"",0)</f>
        <v>1.9189424315371447E-18</v>
      </c>
      <c r="CC34" s="1">
        <f>_xlfn.XLOOKUP($B34,Sort_Alpha!$B$5:$B$47,Sort_Alpha!CC$5:CC$47,"",0)</f>
        <v>8.6300835378809577E-16</v>
      </c>
    </row>
    <row r="35" spans="2:81" x14ac:dyDescent="0.15">
      <c r="B35" t="s">
        <v>25</v>
      </c>
      <c r="C35" s="1">
        <f>_xlfn.XLOOKUP($B35,Sort_Alpha!$B$5:$B$47,Sort_Alpha!C$5:C$47,"",0)</f>
        <v>0</v>
      </c>
      <c r="D35" s="1">
        <f>_xlfn.XLOOKUP($B35,Sort_Alpha!$B$5:$B$47,Sort_Alpha!D$5:D$47,"",0)</f>
        <v>0</v>
      </c>
      <c r="E35" s="1">
        <f>_xlfn.XLOOKUP($B35,Sort_Alpha!$B$5:$B$47,Sort_Alpha!E$5:E$47,"",0)</f>
        <v>0</v>
      </c>
      <c r="F35" s="1">
        <f>_xlfn.XLOOKUP($B35,Sort_Alpha!$B$5:$B$47,Sort_Alpha!F$5:F$47,"",0)</f>
        <v>0</v>
      </c>
      <c r="G35" s="1">
        <f>_xlfn.XLOOKUP($B35,Sort_Alpha!$B$5:$B$47,Sort_Alpha!G$5:G$47,"",0)</f>
        <v>0</v>
      </c>
      <c r="H35" s="1">
        <f>_xlfn.XLOOKUP($B35,Sort_Alpha!$B$5:$B$47,Sort_Alpha!H$5:H$47,"",0)</f>
        <v>0</v>
      </c>
      <c r="I35" s="1">
        <f>_xlfn.XLOOKUP($B35,Sort_Alpha!$B$5:$B$47,Sort_Alpha!I$5:I$47,"",0)</f>
        <v>0</v>
      </c>
      <c r="J35" s="1">
        <f>_xlfn.XLOOKUP($B35,Sort_Alpha!$B$5:$B$47,Sort_Alpha!J$5:J$47,"",0)</f>
        <v>0</v>
      </c>
      <c r="K35" s="1">
        <f>_xlfn.XLOOKUP($B35,Sort_Alpha!$B$5:$B$47,Sort_Alpha!K$5:K$47,"",0)</f>
        <v>0</v>
      </c>
      <c r="L35" s="1">
        <f>_xlfn.XLOOKUP($B35,Sort_Alpha!$B$5:$B$47,Sort_Alpha!L$5:L$47,"",0)</f>
        <v>0</v>
      </c>
      <c r="M35" s="1">
        <f>_xlfn.XLOOKUP($B35,Sort_Alpha!$B$5:$B$47,Sort_Alpha!M$5:M$47,"",0)</f>
        <v>0</v>
      </c>
      <c r="N35" s="1">
        <f>_xlfn.XLOOKUP($B35,Sort_Alpha!$B$5:$B$47,Sort_Alpha!N$5:N$47,"",0)</f>
        <v>0</v>
      </c>
      <c r="O35" s="1">
        <f>_xlfn.XLOOKUP($B35,Sort_Alpha!$B$5:$B$47,Sort_Alpha!O$5:O$47,"",0)</f>
        <v>0</v>
      </c>
      <c r="P35" s="1">
        <f>_xlfn.XLOOKUP($B35,Sort_Alpha!$B$5:$B$47,Sort_Alpha!P$5:P$47,"",0)</f>
        <v>0</v>
      </c>
      <c r="Q35" s="1">
        <f>_xlfn.XLOOKUP($B35,Sort_Alpha!$B$5:$B$47,Sort_Alpha!Q$5:Q$47,"",0)</f>
        <v>0</v>
      </c>
      <c r="R35" s="1">
        <f>_xlfn.XLOOKUP($B35,Sort_Alpha!$B$5:$B$47,Sort_Alpha!R$5:R$47,"",0)</f>
        <v>0</v>
      </c>
      <c r="S35" s="1">
        <f>_xlfn.XLOOKUP($B35,Sort_Alpha!$B$5:$B$47,Sort_Alpha!S$5:S$47,"",0)</f>
        <v>0</v>
      </c>
      <c r="T35" s="1">
        <f>_xlfn.XLOOKUP($B35,Sort_Alpha!$B$5:$B$47,Sort_Alpha!T$5:T$47,"",0)</f>
        <v>0</v>
      </c>
      <c r="U35" s="1">
        <f>_xlfn.XLOOKUP($B35,Sort_Alpha!$B$5:$B$47,Sort_Alpha!U$5:U$47,"",0)</f>
        <v>0</v>
      </c>
      <c r="V35" s="1">
        <f>_xlfn.XLOOKUP($B35,Sort_Alpha!$B$5:$B$47,Sort_Alpha!V$5:V$47,"",0)</f>
        <v>0</v>
      </c>
      <c r="W35" s="1">
        <f>_xlfn.XLOOKUP($B35,Sort_Alpha!$B$5:$B$47,Sort_Alpha!W$5:W$47,"",0)</f>
        <v>0</v>
      </c>
      <c r="X35" s="1">
        <f>_xlfn.XLOOKUP($B35,Sort_Alpha!$B$5:$B$47,Sort_Alpha!X$5:X$47,"",0)</f>
        <v>0</v>
      </c>
      <c r="Y35" s="1">
        <f>_xlfn.XLOOKUP($B35,Sort_Alpha!$B$5:$B$47,Sort_Alpha!Y$5:Y$47,"",0)</f>
        <v>0</v>
      </c>
      <c r="Z35" s="1">
        <f>_xlfn.XLOOKUP($B35,Sort_Alpha!$B$5:$B$47,Sort_Alpha!Z$5:Z$47,"",0)</f>
        <v>0</v>
      </c>
      <c r="AA35" s="1">
        <f>_xlfn.XLOOKUP($B35,Sort_Alpha!$B$5:$B$47,Sort_Alpha!AA$5:AA$47,"",0)</f>
        <v>0</v>
      </c>
      <c r="AB35" s="1">
        <f>_xlfn.XLOOKUP($B35,Sort_Alpha!$B$5:$B$47,Sort_Alpha!AB$5:AB$47,"",0)</f>
        <v>0</v>
      </c>
      <c r="AC35" s="1">
        <f>_xlfn.XLOOKUP($B35,Sort_Alpha!$B$5:$B$47,Sort_Alpha!AC$5:AC$47,"",0)</f>
        <v>0</v>
      </c>
      <c r="AD35" s="1">
        <f>_xlfn.XLOOKUP($B35,Sort_Alpha!$B$5:$B$47,Sort_Alpha!AD$5:AD$47,"",0)</f>
        <v>0</v>
      </c>
      <c r="AE35" s="1">
        <f>_xlfn.XLOOKUP($B35,Sort_Alpha!$B$5:$B$47,Sort_Alpha!AE$5:AE$47,"",0)</f>
        <v>0</v>
      </c>
      <c r="AF35" s="1">
        <f>_xlfn.XLOOKUP($B35,Sort_Alpha!$B$5:$B$47,Sort_Alpha!AF$5:AF$47,"",0)</f>
        <v>0</v>
      </c>
      <c r="AG35" s="1">
        <f>_xlfn.XLOOKUP($B35,Sort_Alpha!$B$5:$B$47,Sort_Alpha!AG$5:AG$47,"",0)</f>
        <v>0</v>
      </c>
      <c r="AH35" s="1">
        <f>_xlfn.XLOOKUP($B35,Sort_Alpha!$B$5:$B$47,Sort_Alpha!AH$5:AH$47,"",0)</f>
        <v>0</v>
      </c>
      <c r="AI35" s="1">
        <f>_xlfn.XLOOKUP($B35,Sort_Alpha!$B$5:$B$47,Sort_Alpha!AI$5:AI$47,"",0)</f>
        <v>0</v>
      </c>
      <c r="AJ35" s="1">
        <f>_xlfn.XLOOKUP($B35,Sort_Alpha!$B$5:$B$47,Sort_Alpha!AJ$5:AJ$47,"",0)</f>
        <v>0</v>
      </c>
      <c r="AK35" s="1">
        <f>_xlfn.XLOOKUP($B35,Sort_Alpha!$B$5:$B$47,Sort_Alpha!AK$5:AK$47,"",0)</f>
        <v>0</v>
      </c>
      <c r="AL35" s="1">
        <f>_xlfn.XLOOKUP($B35,Sort_Alpha!$B$5:$B$47,Sort_Alpha!AL$5:AL$47,"",0)</f>
        <v>0</v>
      </c>
      <c r="AM35" s="1">
        <f>_xlfn.XLOOKUP($B35,Sort_Alpha!$B$5:$B$47,Sort_Alpha!AM$5:AM$47,"",0)</f>
        <v>0</v>
      </c>
      <c r="AN35" s="1">
        <f>_xlfn.XLOOKUP($B35,Sort_Alpha!$B$5:$B$47,Sort_Alpha!AN$5:AN$47,"",0)</f>
        <v>0</v>
      </c>
      <c r="AO35" s="1">
        <f>_xlfn.XLOOKUP($B35,Sort_Alpha!$B$5:$B$47,Sort_Alpha!AO$5:AO$47,"",0)</f>
        <v>0</v>
      </c>
      <c r="AP35" s="1">
        <f>_xlfn.XLOOKUP($B35,Sort_Alpha!$B$5:$B$47,Sort_Alpha!AP$5:AP$47,"",0)</f>
        <v>0</v>
      </c>
      <c r="AQ35" s="1">
        <f>_xlfn.XLOOKUP($B35,Sort_Alpha!$B$5:$B$47,Sort_Alpha!AQ$5:AQ$47,"",0)</f>
        <v>0</v>
      </c>
      <c r="AR35" s="1">
        <f>_xlfn.XLOOKUP($B35,Sort_Alpha!$B$5:$B$47,Sort_Alpha!AR$5:AR$47,"",0)</f>
        <v>0</v>
      </c>
      <c r="AS35" s="1">
        <f>_xlfn.XLOOKUP($B35,Sort_Alpha!$B$5:$B$47,Sort_Alpha!AS$5:AS$47,"",0)</f>
        <v>0</v>
      </c>
      <c r="AT35" s="1">
        <f>_xlfn.XLOOKUP($B35,Sort_Alpha!$B$5:$B$47,Sort_Alpha!AT$5:AT$47,"",0)</f>
        <v>0</v>
      </c>
      <c r="AU35" s="1">
        <f>_xlfn.XLOOKUP($B35,Sort_Alpha!$B$5:$B$47,Sort_Alpha!AU$5:AU$47,"",0)</f>
        <v>0</v>
      </c>
      <c r="AV35" s="1">
        <f>_xlfn.XLOOKUP($B35,Sort_Alpha!$B$5:$B$47,Sort_Alpha!AV$5:AV$47,"",0)</f>
        <v>0</v>
      </c>
      <c r="AW35" s="1">
        <f>_xlfn.XLOOKUP($B35,Sort_Alpha!$B$5:$B$47,Sort_Alpha!AW$5:AW$47,"",0)</f>
        <v>0</v>
      </c>
      <c r="AX35" s="1">
        <f>_xlfn.XLOOKUP($B35,Sort_Alpha!$B$5:$B$47,Sort_Alpha!AX$5:AX$47,"",0)</f>
        <v>0</v>
      </c>
      <c r="AY35" s="1">
        <f>_xlfn.XLOOKUP($B35,Sort_Alpha!$B$5:$B$47,Sort_Alpha!AY$5:AY$47,"",0)</f>
        <v>0</v>
      </c>
      <c r="AZ35" s="1">
        <f>_xlfn.XLOOKUP($B35,Sort_Alpha!$B$5:$B$47,Sort_Alpha!AZ$5:AZ$47,"",0)</f>
        <v>0</v>
      </c>
      <c r="BA35" s="1">
        <f>_xlfn.XLOOKUP($B35,Sort_Alpha!$B$5:$B$47,Sort_Alpha!BA$5:BA$47,"",0)</f>
        <v>0</v>
      </c>
      <c r="BB35" s="1">
        <f>_xlfn.XLOOKUP($B35,Sort_Alpha!$B$5:$B$47,Sort_Alpha!BB$5:BB$47,"",0)</f>
        <v>0</v>
      </c>
      <c r="BC35" s="1">
        <f>_xlfn.XLOOKUP($B35,Sort_Alpha!$B$5:$B$47,Sort_Alpha!BC$5:BC$47,"",0)</f>
        <v>0</v>
      </c>
      <c r="BD35" s="1">
        <f>_xlfn.XLOOKUP($B35,Sort_Alpha!$B$5:$B$47,Sort_Alpha!BD$5:BD$47,"",0)</f>
        <v>0</v>
      </c>
      <c r="BE35" s="1">
        <f>_xlfn.XLOOKUP($B35,Sort_Alpha!$B$5:$B$47,Sort_Alpha!BE$5:BE$47,"",0)</f>
        <v>0</v>
      </c>
      <c r="BF35" s="1">
        <f>_xlfn.XLOOKUP($B35,Sort_Alpha!$B$5:$B$47,Sort_Alpha!BF$5:BF$47,"",0)</f>
        <v>0</v>
      </c>
      <c r="BG35" s="1">
        <f>_xlfn.XLOOKUP($B35,Sort_Alpha!$B$5:$B$47,Sort_Alpha!BG$5:BG$47,"",0)</f>
        <v>0</v>
      </c>
      <c r="BH35" s="1">
        <f>_xlfn.XLOOKUP($B35,Sort_Alpha!$B$5:$B$47,Sort_Alpha!BH$5:BH$47,"",0)</f>
        <v>0</v>
      </c>
      <c r="BI35" s="1">
        <f>_xlfn.XLOOKUP($B35,Sort_Alpha!$B$5:$B$47,Sort_Alpha!BI$5:BI$47,"",0)</f>
        <v>0</v>
      </c>
      <c r="BJ35" s="1">
        <f>_xlfn.XLOOKUP($B35,Sort_Alpha!$B$5:$B$47,Sort_Alpha!BJ$5:BJ$47,"",0)</f>
        <v>0</v>
      </c>
      <c r="BK35" s="1">
        <f>_xlfn.XLOOKUP($B35,Sort_Alpha!$B$5:$B$47,Sort_Alpha!BK$5:BK$47,"",0)</f>
        <v>0</v>
      </c>
      <c r="BL35" s="1">
        <f>_xlfn.XLOOKUP($B35,Sort_Alpha!$B$5:$B$47,Sort_Alpha!BL$5:BL$47,"",0)</f>
        <v>0</v>
      </c>
      <c r="BM35" s="1">
        <f>_xlfn.XLOOKUP($B35,Sort_Alpha!$B$5:$B$47,Sort_Alpha!BM$5:BM$47,"",0)</f>
        <v>0</v>
      </c>
      <c r="BN35" s="1">
        <f>_xlfn.XLOOKUP($B35,Sort_Alpha!$B$5:$B$47,Sort_Alpha!BN$5:BN$47,"",0)</f>
        <v>0</v>
      </c>
      <c r="BO35" s="1">
        <f>_xlfn.XLOOKUP($B35,Sort_Alpha!$B$5:$B$47,Sort_Alpha!BO$5:BO$47,"",0)</f>
        <v>0</v>
      </c>
      <c r="BP35" s="1">
        <f>_xlfn.XLOOKUP($B35,Sort_Alpha!$B$5:$B$47,Sort_Alpha!BP$5:BP$47,"",0)</f>
        <v>0</v>
      </c>
      <c r="BQ35" s="1">
        <f>_xlfn.XLOOKUP($B35,Sort_Alpha!$B$5:$B$47,Sort_Alpha!BQ$5:BQ$47,"",0)</f>
        <v>0</v>
      </c>
      <c r="BR35" s="1">
        <f>_xlfn.XLOOKUP($B35,Sort_Alpha!$B$5:$B$47,Sort_Alpha!BR$5:BR$47,"",0)</f>
        <v>0</v>
      </c>
      <c r="BS35" s="1">
        <f>_xlfn.XLOOKUP($B35,Sort_Alpha!$B$5:$B$47,Sort_Alpha!BS$5:BS$47,"",0)</f>
        <v>0</v>
      </c>
      <c r="BT35" s="1">
        <f>_xlfn.XLOOKUP($B35,Sort_Alpha!$B$5:$B$47,Sort_Alpha!BT$5:BT$47,"",0)</f>
        <v>0</v>
      </c>
      <c r="BU35" s="1">
        <f>_xlfn.XLOOKUP($B35,Sort_Alpha!$B$5:$B$47,Sort_Alpha!BU$5:BU$47,"",0)</f>
        <v>0</v>
      </c>
      <c r="BV35" s="1">
        <f>_xlfn.XLOOKUP($B35,Sort_Alpha!$B$5:$B$47,Sort_Alpha!BV$5:BV$47,"",0)</f>
        <v>0</v>
      </c>
      <c r="BW35" s="1">
        <f>_xlfn.XLOOKUP($B35,Sort_Alpha!$B$5:$B$47,Sort_Alpha!BW$5:BW$47,"",0)</f>
        <v>0</v>
      </c>
      <c r="BX35" s="1">
        <f>_xlfn.XLOOKUP($B35,Sort_Alpha!$B$5:$B$47,Sort_Alpha!BX$5:BX$47,"",0)</f>
        <v>0</v>
      </c>
      <c r="BY35" s="1">
        <f>_xlfn.XLOOKUP($B35,Sort_Alpha!$B$5:$B$47,Sort_Alpha!BY$5:BY$47,"",0)</f>
        <v>0</v>
      </c>
      <c r="BZ35" s="1">
        <f>_xlfn.XLOOKUP($B35,Sort_Alpha!$B$5:$B$47,Sort_Alpha!BZ$5:BZ$47,"",0)</f>
        <v>0</v>
      </c>
      <c r="CA35" s="1">
        <f>_xlfn.XLOOKUP($B35,Sort_Alpha!$B$5:$B$47,Sort_Alpha!CA$5:CA$47,"",0)</f>
        <v>0</v>
      </c>
      <c r="CB35" s="1">
        <f>_xlfn.XLOOKUP($B35,Sort_Alpha!$B$5:$B$47,Sort_Alpha!CB$5:CB$47,"",0)</f>
        <v>0</v>
      </c>
      <c r="CC35" s="1">
        <f>_xlfn.XLOOKUP($B35,Sort_Alpha!$B$5:$B$47,Sort_Alpha!CC$5:CC$47,"",0)</f>
        <v>0</v>
      </c>
    </row>
    <row r="36" spans="2:81" x14ac:dyDescent="0.15">
      <c r="B36" t="s">
        <v>26</v>
      </c>
      <c r="C36" s="1">
        <f>_xlfn.XLOOKUP($B36,Sort_Alpha!$B$5:$B$47,Sort_Alpha!C$5:C$47,"",0)</f>
        <v>1.1384819717591117E-15</v>
      </c>
      <c r="D36" s="1">
        <f>_xlfn.XLOOKUP($B36,Sort_Alpha!$B$5:$B$47,Sort_Alpha!D$5:D$47,"",0)</f>
        <v>1.6718668310517917E-16</v>
      </c>
      <c r="E36" s="1">
        <f>_xlfn.XLOOKUP($B36,Sort_Alpha!$B$5:$B$47,Sort_Alpha!E$5:E$47,"",0)</f>
        <v>3.4268554803233243E-17</v>
      </c>
      <c r="F36" s="1">
        <f>_xlfn.XLOOKUP($B36,Sort_Alpha!$B$5:$B$47,Sort_Alpha!F$5:F$47,"",0)</f>
        <v>2.8097615258449436E-15</v>
      </c>
      <c r="G36" s="1">
        <f>_xlfn.XLOOKUP($B36,Sort_Alpha!$B$5:$B$47,Sort_Alpha!G$5:G$47,"",0)</f>
        <v>1.3093956043653464E-18</v>
      </c>
      <c r="H36" s="1">
        <f>_xlfn.XLOOKUP($B36,Sort_Alpha!$B$5:$B$47,Sort_Alpha!H$5:H$47,"",0)</f>
        <v>2.518774550519299E-17</v>
      </c>
      <c r="I36" s="1">
        <f>_xlfn.XLOOKUP($B36,Sort_Alpha!$B$5:$B$47,Sort_Alpha!I$5:I$47,"",0)</f>
        <v>1.9293069024446672E-17</v>
      </c>
      <c r="J36" s="1">
        <f>_xlfn.XLOOKUP($B36,Sort_Alpha!$B$5:$B$47,Sort_Alpha!J$5:J$47,"",0)</f>
        <v>1.9293069024446672E-17</v>
      </c>
      <c r="K36" s="1">
        <f>_xlfn.XLOOKUP($B36,Sort_Alpha!$B$5:$B$47,Sort_Alpha!K$5:K$47,"",0)</f>
        <v>1.9293069024446672E-17</v>
      </c>
      <c r="L36" s="1">
        <f>_xlfn.XLOOKUP($B36,Sort_Alpha!$B$5:$B$47,Sort_Alpha!L$5:L$47,"",0)</f>
        <v>3.4270333945842931E-17</v>
      </c>
      <c r="M36" s="1">
        <f>_xlfn.XLOOKUP($B36,Sort_Alpha!$B$5:$B$47,Sort_Alpha!M$5:M$47,"",0)</f>
        <v>3.4270333945842931E-17</v>
      </c>
      <c r="N36" s="1">
        <f>_xlfn.XLOOKUP($B36,Sort_Alpha!$B$5:$B$47,Sort_Alpha!N$5:N$47,"",0)</f>
        <v>3.4270333945842931E-17</v>
      </c>
      <c r="O36" s="1">
        <f>_xlfn.XLOOKUP($B36,Sort_Alpha!$B$5:$B$47,Sort_Alpha!O$5:O$47,"",0)</f>
        <v>9.5374884036836311E-16</v>
      </c>
      <c r="P36" s="1">
        <f>_xlfn.XLOOKUP($B36,Sort_Alpha!$B$5:$B$47,Sort_Alpha!P$5:P$47,"",0)</f>
        <v>2.4553261472252334E-16</v>
      </c>
      <c r="Q36" s="1">
        <f>_xlfn.XLOOKUP($B36,Sort_Alpha!$B$5:$B$47,Sort_Alpha!Q$5:Q$47,"",0)</f>
        <v>6.2017326798600723E-16</v>
      </c>
      <c r="R36" s="1">
        <f>_xlfn.XLOOKUP($B36,Sort_Alpha!$B$5:$B$47,Sort_Alpha!R$5:R$47,"",0)</f>
        <v>6.2017326798600723E-16</v>
      </c>
      <c r="S36" s="1">
        <f>_xlfn.XLOOKUP($B36,Sort_Alpha!$B$5:$B$47,Sort_Alpha!S$5:S$47,"",0)</f>
        <v>4.9171185097070136E-18</v>
      </c>
      <c r="T36" s="1">
        <f>_xlfn.XLOOKUP($B36,Sort_Alpha!$B$5:$B$47,Sort_Alpha!T$5:T$47,"",0)</f>
        <v>3.5896857958849095E-18</v>
      </c>
      <c r="U36" s="1">
        <f>_xlfn.XLOOKUP($B36,Sort_Alpha!$B$5:$B$47,Sort_Alpha!U$5:U$47,"",0)</f>
        <v>3.5896857958849095E-18</v>
      </c>
      <c r="V36" s="1">
        <f>_xlfn.XLOOKUP($B36,Sort_Alpha!$B$5:$B$47,Sort_Alpha!V$5:V$47,"",0)</f>
        <v>3.5896857958849095E-18</v>
      </c>
      <c r="W36" s="1">
        <f>_xlfn.XLOOKUP($B36,Sort_Alpha!$B$5:$B$47,Sort_Alpha!W$5:W$47,"",0)</f>
        <v>3.5896857958849095E-18</v>
      </c>
      <c r="X36" s="1">
        <f>_xlfn.XLOOKUP($B36,Sort_Alpha!$B$5:$B$47,Sort_Alpha!X$5:X$47,"",0)</f>
        <v>3.5896857958849095E-18</v>
      </c>
      <c r="Y36" s="1">
        <f>_xlfn.XLOOKUP($B36,Sort_Alpha!$B$5:$B$47,Sort_Alpha!Y$5:Y$47,"",0)</f>
        <v>4.3639524559666688E-18</v>
      </c>
      <c r="Z36" s="1">
        <f>_xlfn.XLOOKUP($B36,Sort_Alpha!$B$5:$B$47,Sort_Alpha!Z$5:Z$47,"",0)</f>
        <v>1.7662530732593471E-16</v>
      </c>
      <c r="AA36" s="1">
        <f>_xlfn.XLOOKUP($B36,Sort_Alpha!$B$5:$B$47,Sort_Alpha!AA$5:AA$47,"",0)</f>
        <v>1.7521382106796913E-16</v>
      </c>
      <c r="AB36" s="1">
        <f>_xlfn.XLOOKUP($B36,Sort_Alpha!$B$5:$B$47,Sort_Alpha!AB$5:AB$47,"",0)</f>
        <v>3.9315451467580142E-17</v>
      </c>
      <c r="AC36" s="1">
        <f>_xlfn.XLOOKUP($B36,Sort_Alpha!$B$5:$B$47,Sort_Alpha!AC$5:AC$47,"",0)</f>
        <v>3.034703633965603E-16</v>
      </c>
      <c r="AD36" s="1">
        <f>_xlfn.XLOOKUP($B36,Sort_Alpha!$B$5:$B$47,Sort_Alpha!AD$5:AD$47,"",0)</f>
        <v>1.7988034594172907E-15</v>
      </c>
      <c r="AE36" s="1">
        <f>_xlfn.XLOOKUP($B36,Sort_Alpha!$B$5:$B$47,Sort_Alpha!AE$5:AE$47,"",0)</f>
        <v>2.2449294666845159E-15</v>
      </c>
      <c r="AF36" s="1">
        <f>_xlfn.XLOOKUP($B36,Sort_Alpha!$B$5:$B$47,Sort_Alpha!AF$5:AF$47,"",0)</f>
        <v>2.2449294666845159E-15</v>
      </c>
      <c r="AG36" s="1">
        <f>_xlfn.XLOOKUP($B36,Sort_Alpha!$B$5:$B$47,Sort_Alpha!AG$5:AG$47,"",0)</f>
        <v>1.2202929995122356E-16</v>
      </c>
      <c r="AH36" s="1">
        <f>_xlfn.XLOOKUP($B36,Sort_Alpha!$B$5:$B$47,Sort_Alpha!AH$5:AH$47,"",0)</f>
        <v>3.3774333826979981E-17</v>
      </c>
      <c r="AI36" s="1">
        <f>_xlfn.XLOOKUP($B36,Sort_Alpha!$B$5:$B$47,Sort_Alpha!AI$5:AI$47,"",0)</f>
        <v>3.4382307064712408E-17</v>
      </c>
      <c r="AJ36" s="1">
        <f>_xlfn.XLOOKUP($B36,Sort_Alpha!$B$5:$B$47,Sort_Alpha!AJ$5:AJ$47,"",0)</f>
        <v>3.9019639120915443E-18</v>
      </c>
      <c r="AK36" s="1">
        <f>_xlfn.XLOOKUP($B36,Sort_Alpha!$B$5:$B$47,Sort_Alpha!AK$5:AK$47,"",0)</f>
        <v>3.6643943074820573E-15</v>
      </c>
      <c r="AL36" s="1">
        <f>_xlfn.XLOOKUP($B36,Sort_Alpha!$B$5:$B$47,Sort_Alpha!AL$5:AL$47,"",0)</f>
        <v>1.6751926040986505E-17</v>
      </c>
      <c r="AM36" s="1">
        <f>_xlfn.XLOOKUP($B36,Sort_Alpha!$B$5:$B$47,Sort_Alpha!AM$5:AM$47,"",0)</f>
        <v>1.0904054399564795E-15</v>
      </c>
      <c r="AN36" s="1">
        <f>_xlfn.XLOOKUP($B36,Sort_Alpha!$B$5:$B$47,Sort_Alpha!AN$5:AN$47,"",0)</f>
        <v>2.7183281402678194E-17</v>
      </c>
      <c r="AO36" s="1">
        <f>_xlfn.XLOOKUP($B36,Sort_Alpha!$B$5:$B$47,Sort_Alpha!AO$5:AO$47,"",0)</f>
        <v>2.7183281402678194E-17</v>
      </c>
      <c r="AP36" s="1">
        <f>_xlfn.XLOOKUP($B36,Sort_Alpha!$B$5:$B$47,Sort_Alpha!AP$5:AP$47,"",0)</f>
        <v>2.7183281402678194E-17</v>
      </c>
      <c r="AQ36" s="1">
        <f>_xlfn.XLOOKUP($B36,Sort_Alpha!$B$5:$B$47,Sort_Alpha!AQ$5:AQ$47,"",0)</f>
        <v>4.7174924365431701E-18</v>
      </c>
      <c r="AR36" s="1">
        <f>_xlfn.XLOOKUP($B36,Sort_Alpha!$B$5:$B$47,Sort_Alpha!AR$5:AR$47,"",0)</f>
        <v>4.7174924365431701E-18</v>
      </c>
      <c r="AS36" s="1">
        <f>_xlfn.XLOOKUP($B36,Sort_Alpha!$B$5:$B$47,Sort_Alpha!AS$5:AS$47,"",0)</f>
        <v>2.4945344611826274E-14</v>
      </c>
      <c r="AT36" s="1">
        <f>_xlfn.XLOOKUP($B36,Sort_Alpha!$B$5:$B$47,Sort_Alpha!AT$5:AT$47,"",0)</f>
        <v>2.736797651452631E-16</v>
      </c>
      <c r="AU36" s="1">
        <f>_xlfn.XLOOKUP($B36,Sort_Alpha!$B$5:$B$47,Sort_Alpha!AU$5:AU$47,"",0)</f>
        <v>1.9671651632253126E-18</v>
      </c>
      <c r="AV36" s="1">
        <f>_xlfn.XLOOKUP($B36,Sort_Alpha!$B$5:$B$47,Sort_Alpha!AV$5:AV$47,"",0)</f>
        <v>0</v>
      </c>
      <c r="AW36" s="1">
        <f>_xlfn.XLOOKUP($B36,Sort_Alpha!$B$5:$B$47,Sort_Alpha!AW$5:AW$47,"",0)</f>
        <v>5.817054031088854E-14</v>
      </c>
      <c r="AX36" s="1">
        <f>_xlfn.XLOOKUP($B36,Sort_Alpha!$B$5:$B$47,Sort_Alpha!AX$5:AX$47,"",0)</f>
        <v>1.5202795002973217E-12</v>
      </c>
      <c r="AY36" s="1">
        <f>_xlfn.XLOOKUP($B36,Sort_Alpha!$B$5:$B$47,Sort_Alpha!AY$5:AY$47,"",0)</f>
        <v>4.4123834285594382E-13</v>
      </c>
      <c r="AZ36" s="1">
        <f>_xlfn.XLOOKUP($B36,Sort_Alpha!$B$5:$B$47,Sort_Alpha!AZ$5:AZ$47,"",0)</f>
        <v>1.7507587423267307E-15</v>
      </c>
      <c r="BA36" s="1">
        <f>_xlfn.XLOOKUP($B36,Sort_Alpha!$B$5:$B$47,Sort_Alpha!BA$5:BA$47,"",0)</f>
        <v>3.3820743573443909E-17</v>
      </c>
      <c r="BB36" s="1">
        <f>_xlfn.XLOOKUP($B36,Sort_Alpha!$B$5:$B$47,Sort_Alpha!BB$5:BB$47,"",0)</f>
        <v>1.0721442750194655E-15</v>
      </c>
      <c r="BC36" s="1">
        <f>_xlfn.XLOOKUP($B36,Sort_Alpha!$B$5:$B$47,Sort_Alpha!BC$5:BC$47,"",0)</f>
        <v>1.0913628286430142E-15</v>
      </c>
      <c r="BD36" s="1">
        <f>_xlfn.XLOOKUP($B36,Sort_Alpha!$B$5:$B$47,Sort_Alpha!BD$5:BD$47,"",0)</f>
        <v>1.0913628286430142E-15</v>
      </c>
      <c r="BE36" s="1">
        <f>_xlfn.XLOOKUP($B36,Sort_Alpha!$B$5:$B$47,Sort_Alpha!BE$5:BE$47,"",0)</f>
        <v>3.6944759958209223E-18</v>
      </c>
      <c r="BF36" s="1">
        <f>_xlfn.XLOOKUP($B36,Sort_Alpha!$B$5:$B$47,Sort_Alpha!BF$5:BF$47,"",0)</f>
        <v>3.7876608031935802E-16</v>
      </c>
      <c r="BG36" s="1">
        <f>_xlfn.XLOOKUP($B36,Sort_Alpha!$B$5:$B$47,Sort_Alpha!BG$5:BG$47,"",0)</f>
        <v>4.9484245216996008E-15</v>
      </c>
      <c r="BH36" s="1">
        <f>_xlfn.XLOOKUP($B36,Sort_Alpha!$B$5:$B$47,Sort_Alpha!BH$5:BH$47,"",0)</f>
        <v>4.3561142911665436E-15</v>
      </c>
      <c r="BI36" s="1">
        <f>_xlfn.XLOOKUP($B36,Sort_Alpha!$B$5:$B$47,Sort_Alpha!BI$5:BI$47,"",0)</f>
        <v>4.3561142911665436E-15</v>
      </c>
      <c r="BJ36" s="1">
        <f>_xlfn.XLOOKUP($B36,Sort_Alpha!$B$5:$B$47,Sort_Alpha!BJ$5:BJ$47,"",0)</f>
        <v>4.3561142911665436E-15</v>
      </c>
      <c r="BK36" s="1">
        <f>_xlfn.XLOOKUP($B36,Sort_Alpha!$B$5:$B$47,Sort_Alpha!BK$5:BK$47,"",0)</f>
        <v>1.0849664338819247E-16</v>
      </c>
      <c r="BL36" s="1">
        <f>_xlfn.XLOOKUP($B36,Sort_Alpha!$B$5:$B$47,Sort_Alpha!BL$5:BL$47,"",0)</f>
        <v>1.3516507725260443E-16</v>
      </c>
      <c r="BM36" s="1">
        <f>_xlfn.XLOOKUP($B36,Sort_Alpha!$B$5:$B$47,Sort_Alpha!BM$5:BM$47,"",0)</f>
        <v>1.7069083765646641E-16</v>
      </c>
      <c r="BN36" s="1">
        <f>_xlfn.XLOOKUP($B36,Sort_Alpha!$B$5:$B$47,Sort_Alpha!BN$5:BN$47,"",0)</f>
        <v>1.7069083765646641E-16</v>
      </c>
      <c r="BO36" s="1">
        <f>_xlfn.XLOOKUP($B36,Sort_Alpha!$B$5:$B$47,Sort_Alpha!BO$5:BO$47,"",0)</f>
        <v>4.9364465642257883E-18</v>
      </c>
      <c r="BP36" s="1">
        <f>_xlfn.XLOOKUP($B36,Sort_Alpha!$B$5:$B$47,Sort_Alpha!BP$5:BP$47,"",0)</f>
        <v>4.9364465642257883E-18</v>
      </c>
      <c r="BQ36" s="1">
        <f>_xlfn.XLOOKUP($B36,Sort_Alpha!$B$5:$B$47,Sort_Alpha!BQ$5:BQ$47,"",0)</f>
        <v>0</v>
      </c>
      <c r="BR36" s="1">
        <f>_xlfn.XLOOKUP($B36,Sort_Alpha!$B$5:$B$47,Sort_Alpha!BR$5:BR$47,"",0)</f>
        <v>1.3189314611552305E-17</v>
      </c>
      <c r="BS36" s="1">
        <f>_xlfn.XLOOKUP($B36,Sort_Alpha!$B$5:$B$47,Sort_Alpha!BS$5:BS$47,"",0)</f>
        <v>7.4279495664375188E-18</v>
      </c>
      <c r="BT36" s="1">
        <f>_xlfn.XLOOKUP($B36,Sort_Alpha!$B$5:$B$47,Sort_Alpha!BT$5:BT$47,"",0)</f>
        <v>3.8216057276027972E-18</v>
      </c>
      <c r="BU36" s="1">
        <f>_xlfn.XLOOKUP($B36,Sort_Alpha!$B$5:$B$47,Sort_Alpha!BU$5:BU$47,"",0)</f>
        <v>3.4280921090838612E-18</v>
      </c>
      <c r="BV36" s="1">
        <f>_xlfn.XLOOKUP($B36,Sort_Alpha!$B$5:$B$47,Sort_Alpha!BV$5:BV$47,"",0)</f>
        <v>1.2552646084654563E-15</v>
      </c>
      <c r="BW36" s="1">
        <f>_xlfn.XLOOKUP($B36,Sort_Alpha!$B$5:$B$47,Sort_Alpha!BW$5:BW$47,"",0)</f>
        <v>7.5742470610445618E-16</v>
      </c>
      <c r="BX36" s="1">
        <f>_xlfn.XLOOKUP($B36,Sort_Alpha!$B$5:$B$47,Sort_Alpha!BX$5:BX$47,"",0)</f>
        <v>7.5742470610445618E-16</v>
      </c>
      <c r="BY36" s="1">
        <f>_xlfn.XLOOKUP($B36,Sort_Alpha!$B$5:$B$47,Sort_Alpha!BY$5:BY$47,"",0)</f>
        <v>5.0153306991212705E-15</v>
      </c>
      <c r="BZ36" s="1">
        <f>_xlfn.XLOOKUP($B36,Sort_Alpha!$B$5:$B$47,Sort_Alpha!BZ$5:BZ$47,"",0)</f>
        <v>1.0514941180591547E-14</v>
      </c>
      <c r="CA36" s="1">
        <f>_xlfn.XLOOKUP($B36,Sort_Alpha!$B$5:$B$47,Sort_Alpha!CA$5:CA$47,"",0)</f>
        <v>1.24308427625519E-14</v>
      </c>
      <c r="CB36" s="1">
        <f>_xlfn.XLOOKUP($B36,Sort_Alpha!$B$5:$B$47,Sort_Alpha!CB$5:CB$47,"",0)</f>
        <v>3.0177036939593974E-14</v>
      </c>
      <c r="CC36" s="1">
        <f>_xlfn.XLOOKUP($B36,Sort_Alpha!$B$5:$B$47,Sort_Alpha!CC$5:CC$47,"",0)</f>
        <v>8.6000701509948659E-16</v>
      </c>
    </row>
    <row r="37" spans="2:81" x14ac:dyDescent="0.15">
      <c r="B37" t="s">
        <v>27</v>
      </c>
      <c r="C37" s="1">
        <f>_xlfn.XLOOKUP($B37,Sort_Alpha!$B$5:$B$47,Sort_Alpha!C$5:C$47,"",0)</f>
        <v>6.8089792844615756E-16</v>
      </c>
      <c r="D37" s="1">
        <f>_xlfn.XLOOKUP($B37,Sort_Alpha!$B$5:$B$47,Sort_Alpha!D$5:D$47,"",0)</f>
        <v>3.0005176900607112E-15</v>
      </c>
      <c r="E37" s="1">
        <f>_xlfn.XLOOKUP($B37,Sort_Alpha!$B$5:$B$47,Sort_Alpha!E$5:E$47,"",0)</f>
        <v>2.0651380387407293E-15</v>
      </c>
      <c r="F37" s="1">
        <f>_xlfn.XLOOKUP($B37,Sort_Alpha!$B$5:$B$47,Sort_Alpha!F$5:F$47,"",0)</f>
        <v>6.5391044312220024E-15</v>
      </c>
      <c r="G37" s="1">
        <f>_xlfn.XLOOKUP($B37,Sort_Alpha!$B$5:$B$47,Sort_Alpha!G$5:G$47,"",0)</f>
        <v>9.4805968587298377E-16</v>
      </c>
      <c r="H37" s="1">
        <f>_xlfn.XLOOKUP($B37,Sort_Alpha!$B$5:$B$47,Sort_Alpha!H$5:H$47,"",0)</f>
        <v>8.5928435452252975E-16</v>
      </c>
      <c r="I37" s="1">
        <f>_xlfn.XLOOKUP($B37,Sort_Alpha!$B$5:$B$47,Sort_Alpha!I$5:I$47,"",0)</f>
        <v>2.3158583956084413E-15</v>
      </c>
      <c r="J37" s="1">
        <f>_xlfn.XLOOKUP($B37,Sort_Alpha!$B$5:$B$47,Sort_Alpha!J$5:J$47,"",0)</f>
        <v>2.3158583956084413E-15</v>
      </c>
      <c r="K37" s="1">
        <f>_xlfn.XLOOKUP($B37,Sort_Alpha!$B$5:$B$47,Sort_Alpha!K$5:K$47,"",0)</f>
        <v>2.3158583956084413E-15</v>
      </c>
      <c r="L37" s="1">
        <f>_xlfn.XLOOKUP($B37,Sort_Alpha!$B$5:$B$47,Sort_Alpha!L$5:L$47,"",0)</f>
        <v>2.0651380387407293E-15</v>
      </c>
      <c r="M37" s="1">
        <f>_xlfn.XLOOKUP($B37,Sort_Alpha!$B$5:$B$47,Sort_Alpha!M$5:M$47,"",0)</f>
        <v>2.0651380387407293E-15</v>
      </c>
      <c r="N37" s="1">
        <f>_xlfn.XLOOKUP($B37,Sort_Alpha!$B$5:$B$47,Sort_Alpha!N$5:N$47,"",0)</f>
        <v>2.0651380387407293E-15</v>
      </c>
      <c r="O37" s="1">
        <f>_xlfn.XLOOKUP($B37,Sort_Alpha!$B$5:$B$47,Sort_Alpha!O$5:O$47,"",0)</f>
        <v>4.5619106406593472E-15</v>
      </c>
      <c r="P37" s="1">
        <f>_xlfn.XLOOKUP($B37,Sort_Alpha!$B$5:$B$47,Sort_Alpha!P$5:P$47,"",0)</f>
        <v>2.1448361997591292E-16</v>
      </c>
      <c r="Q37" s="1">
        <f>_xlfn.XLOOKUP($B37,Sort_Alpha!$B$5:$B$47,Sort_Alpha!Q$5:Q$47,"",0)</f>
        <v>2.3197203944184124E-15</v>
      </c>
      <c r="R37" s="1">
        <f>_xlfn.XLOOKUP($B37,Sort_Alpha!$B$5:$B$47,Sort_Alpha!R$5:R$47,"",0)</f>
        <v>1.970204848879432E-15</v>
      </c>
      <c r="S37" s="1">
        <f>_xlfn.XLOOKUP($B37,Sort_Alpha!$B$5:$B$47,Sort_Alpha!S$5:S$47,"",0)</f>
        <v>6.2999967906469164E-16</v>
      </c>
      <c r="T37" s="1">
        <f>_xlfn.XLOOKUP($B37,Sort_Alpha!$B$5:$B$47,Sort_Alpha!T$5:T$47,"",0)</f>
        <v>1.6978523469148054E-15</v>
      </c>
      <c r="U37" s="1">
        <f>_xlfn.XLOOKUP($B37,Sort_Alpha!$B$5:$B$47,Sort_Alpha!U$5:U$47,"",0)</f>
        <v>1.6978523469148054E-15</v>
      </c>
      <c r="V37" s="1">
        <f>_xlfn.XLOOKUP($B37,Sort_Alpha!$B$5:$B$47,Sort_Alpha!V$5:V$47,"",0)</f>
        <v>1.6978523469148054E-15</v>
      </c>
      <c r="W37" s="1">
        <f>_xlfn.XLOOKUP($B37,Sort_Alpha!$B$5:$B$47,Sort_Alpha!W$5:W$47,"",0)</f>
        <v>1.6978523469148054E-15</v>
      </c>
      <c r="X37" s="1">
        <f>_xlfn.XLOOKUP($B37,Sort_Alpha!$B$5:$B$47,Sort_Alpha!X$5:X$47,"",0)</f>
        <v>1.6978523469148054E-15</v>
      </c>
      <c r="Y37" s="1">
        <f>_xlfn.XLOOKUP($B37,Sort_Alpha!$B$5:$B$47,Sort_Alpha!Y$5:Y$47,"",0)</f>
        <v>5.8111024335299465E-16</v>
      </c>
      <c r="Z37" s="1">
        <f>_xlfn.XLOOKUP($B37,Sort_Alpha!$B$5:$B$47,Sort_Alpha!Z$5:Z$47,"",0)</f>
        <v>2.1175528527514283E-15</v>
      </c>
      <c r="AA37" s="1">
        <f>_xlfn.XLOOKUP($B37,Sort_Alpha!$B$5:$B$47,Sort_Alpha!AA$5:AA$47,"",0)</f>
        <v>2.1122920636272861E-15</v>
      </c>
      <c r="AB37" s="1">
        <f>_xlfn.XLOOKUP($B37,Sort_Alpha!$B$5:$B$47,Sort_Alpha!AB$5:AB$47,"",0)</f>
        <v>1.8283182793559716E-15</v>
      </c>
      <c r="AC37" s="1">
        <f>_xlfn.XLOOKUP($B37,Sort_Alpha!$B$5:$B$47,Sort_Alpha!AC$5:AC$47,"",0)</f>
        <v>1.7084868356459129E-15</v>
      </c>
      <c r="AD37" s="1">
        <f>_xlfn.XLOOKUP($B37,Sort_Alpha!$B$5:$B$47,Sort_Alpha!AD$5:AD$47,"",0)</f>
        <v>1.3842481478266666E-15</v>
      </c>
      <c r="AE37" s="1">
        <f>_xlfn.XLOOKUP($B37,Sort_Alpha!$B$5:$B$47,Sort_Alpha!AE$5:AE$47,"",0)</f>
        <v>1.4165479162292325E-15</v>
      </c>
      <c r="AF37" s="1">
        <f>_xlfn.XLOOKUP($B37,Sort_Alpha!$B$5:$B$47,Sort_Alpha!AF$5:AF$47,"",0)</f>
        <v>1.4165479162292325E-15</v>
      </c>
      <c r="AG37" s="1">
        <f>_xlfn.XLOOKUP($B37,Sort_Alpha!$B$5:$B$47,Sort_Alpha!AG$5:AG$47,"",0)</f>
        <v>1.5514976820926112E-15</v>
      </c>
      <c r="AH37" s="1">
        <f>_xlfn.XLOOKUP($B37,Sort_Alpha!$B$5:$B$47,Sort_Alpha!AH$5:AH$47,"",0)</f>
        <v>2.0735008372955921E-15</v>
      </c>
      <c r="AI37" s="1">
        <f>_xlfn.XLOOKUP($B37,Sort_Alpha!$B$5:$B$47,Sort_Alpha!AI$5:AI$47,"",0)</f>
        <v>2.0528096797797362E-15</v>
      </c>
      <c r="AJ37" s="1">
        <f>_xlfn.XLOOKUP($B37,Sort_Alpha!$B$5:$B$47,Sort_Alpha!AJ$5:AJ$47,"",0)</f>
        <v>1.5128829308803537E-15</v>
      </c>
      <c r="AK37" s="1">
        <f>_xlfn.XLOOKUP($B37,Sort_Alpha!$B$5:$B$47,Sort_Alpha!AK$5:AK$47,"",0)</f>
        <v>1.7260877224958727E-15</v>
      </c>
      <c r="AL37" s="1">
        <f>_xlfn.XLOOKUP($B37,Sort_Alpha!$B$5:$B$47,Sort_Alpha!AL$5:AL$47,"",0)</f>
        <v>2.2779464405853211E-15</v>
      </c>
      <c r="AM37" s="1">
        <f>_xlfn.XLOOKUP($B37,Sort_Alpha!$B$5:$B$47,Sort_Alpha!AM$5:AM$47,"",0)</f>
        <v>9.652147277270885E-16</v>
      </c>
      <c r="AN37" s="1">
        <f>_xlfn.XLOOKUP($B37,Sort_Alpha!$B$5:$B$47,Sort_Alpha!AN$5:AN$47,"",0)</f>
        <v>3.0294157835201859E-15</v>
      </c>
      <c r="AO37" s="1">
        <f>_xlfn.XLOOKUP($B37,Sort_Alpha!$B$5:$B$47,Sort_Alpha!AO$5:AO$47,"",0)</f>
        <v>3.0294157835201859E-15</v>
      </c>
      <c r="AP37" s="1">
        <f>_xlfn.XLOOKUP($B37,Sort_Alpha!$B$5:$B$47,Sort_Alpha!AP$5:AP$47,"",0)</f>
        <v>3.0294157835201859E-15</v>
      </c>
      <c r="AQ37" s="1">
        <f>_xlfn.XLOOKUP($B37,Sort_Alpha!$B$5:$B$47,Sort_Alpha!AQ$5:AQ$47,"",0)</f>
        <v>1.3031648270064231E-15</v>
      </c>
      <c r="AR37" s="1">
        <f>_xlfn.XLOOKUP($B37,Sort_Alpha!$B$5:$B$47,Sort_Alpha!AR$5:AR$47,"",0)</f>
        <v>1.3031648270064231E-15</v>
      </c>
      <c r="AS37" s="1">
        <f>_xlfn.XLOOKUP($B37,Sort_Alpha!$B$5:$B$47,Sort_Alpha!AS$5:AS$47,"",0)</f>
        <v>1.8331685143086593E-15</v>
      </c>
      <c r="AT37" s="1">
        <f>_xlfn.XLOOKUP($B37,Sort_Alpha!$B$5:$B$47,Sort_Alpha!AT$5:AT$47,"",0)</f>
        <v>1.6052602421713597E-15</v>
      </c>
      <c r="AU37" s="1">
        <f>_xlfn.XLOOKUP($B37,Sort_Alpha!$B$5:$B$47,Sort_Alpha!AU$5:AU$47,"",0)</f>
        <v>1.4530003509650913E-15</v>
      </c>
      <c r="AV37" s="1">
        <f>_xlfn.XLOOKUP($B37,Sort_Alpha!$B$5:$B$47,Sort_Alpha!AV$5:AV$47,"",0)</f>
        <v>0</v>
      </c>
      <c r="AW37" s="1">
        <f>_xlfn.XLOOKUP($B37,Sort_Alpha!$B$5:$B$47,Sort_Alpha!AW$5:AW$47,"",0)</f>
        <v>1.9029940400893119E-15</v>
      </c>
      <c r="AX37" s="1">
        <f>_xlfn.XLOOKUP($B37,Sort_Alpha!$B$5:$B$47,Sort_Alpha!AX$5:AX$47,"",0)</f>
        <v>1.734657307858939E-15</v>
      </c>
      <c r="AY37" s="1">
        <f>_xlfn.XLOOKUP($B37,Sort_Alpha!$B$5:$B$47,Sort_Alpha!AY$5:AY$47,"",0)</f>
        <v>1.734657307858939E-15</v>
      </c>
      <c r="AZ37" s="1">
        <f>_xlfn.XLOOKUP($B37,Sort_Alpha!$B$5:$B$47,Sort_Alpha!AZ$5:AZ$47,"",0)</f>
        <v>2.2108406635233027E-14</v>
      </c>
      <c r="BA37" s="1">
        <f>_xlfn.XLOOKUP($B37,Sort_Alpha!$B$5:$B$47,Sort_Alpha!BA$5:BA$47,"",0)</f>
        <v>2.063575463198048E-15</v>
      </c>
      <c r="BB37" s="1">
        <f>_xlfn.XLOOKUP($B37,Sort_Alpha!$B$5:$B$47,Sort_Alpha!BB$5:BB$47,"",0)</f>
        <v>1.4281646256983224E-15</v>
      </c>
      <c r="BC37" s="1">
        <f>_xlfn.XLOOKUP($B37,Sort_Alpha!$B$5:$B$47,Sort_Alpha!BC$5:BC$47,"",0)</f>
        <v>1.4418634726314066E-15</v>
      </c>
      <c r="BD37" s="1">
        <f>_xlfn.XLOOKUP($B37,Sort_Alpha!$B$5:$B$47,Sort_Alpha!BD$5:BD$47,"",0)</f>
        <v>1.4418634726314066E-15</v>
      </c>
      <c r="BE37" s="1">
        <f>_xlfn.XLOOKUP($B37,Sort_Alpha!$B$5:$B$47,Sort_Alpha!BE$5:BE$47,"",0)</f>
        <v>1.2029528326056263E-15</v>
      </c>
      <c r="BF37" s="1">
        <f>_xlfn.XLOOKUP($B37,Sort_Alpha!$B$5:$B$47,Sort_Alpha!BF$5:BF$47,"",0)</f>
        <v>4.0743591024541721E-16</v>
      </c>
      <c r="BG37" s="1">
        <f>_xlfn.XLOOKUP($B37,Sort_Alpha!$B$5:$B$47,Sort_Alpha!BG$5:BG$47,"",0)</f>
        <v>1.6427246507312156E-15</v>
      </c>
      <c r="BH37" s="1">
        <f>_xlfn.XLOOKUP($B37,Sort_Alpha!$B$5:$B$47,Sort_Alpha!BH$5:BH$47,"",0)</f>
        <v>1.8799211327184263E-15</v>
      </c>
      <c r="BI37" s="1">
        <f>_xlfn.XLOOKUP($B37,Sort_Alpha!$B$5:$B$47,Sort_Alpha!BI$5:BI$47,"",0)</f>
        <v>1.8799211327184263E-15</v>
      </c>
      <c r="BJ37" s="1">
        <f>_xlfn.XLOOKUP($B37,Sort_Alpha!$B$5:$B$47,Sort_Alpha!BJ$5:BJ$47,"",0)</f>
        <v>1.8799211327184263E-15</v>
      </c>
      <c r="BK37" s="1">
        <f>_xlfn.XLOOKUP($B37,Sort_Alpha!$B$5:$B$47,Sort_Alpha!BK$5:BK$47,"",0)</f>
        <v>1.5561997893841254E-15</v>
      </c>
      <c r="BL37" s="1">
        <f>_xlfn.XLOOKUP($B37,Sort_Alpha!$B$5:$B$47,Sort_Alpha!BL$5:BL$47,"",0)</f>
        <v>1.1973381456757444E-15</v>
      </c>
      <c r="BM37" s="1">
        <f>_xlfn.XLOOKUP($B37,Sort_Alpha!$B$5:$B$47,Sort_Alpha!BM$5:BM$47,"",0)</f>
        <v>1.1753679436724094E-15</v>
      </c>
      <c r="BN37" s="1">
        <f>_xlfn.XLOOKUP($B37,Sort_Alpha!$B$5:$B$47,Sort_Alpha!BN$5:BN$47,"",0)</f>
        <v>1.1753679436724094E-15</v>
      </c>
      <c r="BO37" s="1">
        <f>_xlfn.XLOOKUP($B37,Sort_Alpha!$B$5:$B$47,Sort_Alpha!BO$5:BO$47,"",0)</f>
        <v>1.2540954079730407E-15</v>
      </c>
      <c r="BP37" s="1">
        <f>_xlfn.XLOOKUP($B37,Sort_Alpha!$B$5:$B$47,Sort_Alpha!BP$5:BP$47,"",0)</f>
        <v>1.2540954079730407E-15</v>
      </c>
      <c r="BQ37" s="1">
        <f>_xlfn.XLOOKUP($B37,Sort_Alpha!$B$5:$B$47,Sort_Alpha!BQ$5:BQ$47,"",0)</f>
        <v>0</v>
      </c>
      <c r="BR37" s="1">
        <f>_xlfn.XLOOKUP($B37,Sort_Alpha!$B$5:$B$47,Sort_Alpha!BR$5:BR$47,"",0)</f>
        <v>2.5940496442461129E-15</v>
      </c>
      <c r="BS37" s="1">
        <f>_xlfn.XLOOKUP($B37,Sort_Alpha!$B$5:$B$47,Sort_Alpha!BS$5:BS$47,"",0)</f>
        <v>1.779144060549773E-15</v>
      </c>
      <c r="BT37" s="1">
        <f>_xlfn.XLOOKUP($B37,Sort_Alpha!$B$5:$B$47,Sort_Alpha!BT$5:BT$47,"",0)</f>
        <v>1.3371063045148971E-15</v>
      </c>
      <c r="BU37" s="1">
        <f>_xlfn.XLOOKUP($B37,Sort_Alpha!$B$5:$B$47,Sort_Alpha!BU$5:BU$47,"",0)</f>
        <v>1.3498097415131062E-15</v>
      </c>
      <c r="BV37" s="1">
        <f>_xlfn.XLOOKUP($B37,Sort_Alpha!$B$5:$B$47,Sort_Alpha!BV$5:BV$47,"",0)</f>
        <v>1.1309044836324867E-14</v>
      </c>
      <c r="BW37" s="1">
        <f>_xlfn.XLOOKUP($B37,Sort_Alpha!$B$5:$B$47,Sort_Alpha!BW$5:BW$47,"",0)</f>
        <v>9.9111289328721629E-15</v>
      </c>
      <c r="BX37" s="1">
        <f>_xlfn.XLOOKUP($B37,Sort_Alpha!$B$5:$B$47,Sort_Alpha!BX$5:BX$47,"",0)</f>
        <v>8.7033960762147418E-15</v>
      </c>
      <c r="BY37" s="1">
        <f>_xlfn.XLOOKUP($B37,Sort_Alpha!$B$5:$B$47,Sort_Alpha!BY$5:BY$47,"",0)</f>
        <v>3.3230043942864952E-15</v>
      </c>
      <c r="BZ37" s="1">
        <f>_xlfn.XLOOKUP($B37,Sort_Alpha!$B$5:$B$47,Sort_Alpha!BZ$5:BZ$47,"",0)</f>
        <v>1.4830748243003671E-15</v>
      </c>
      <c r="CA37" s="1">
        <f>_xlfn.XLOOKUP($B37,Sort_Alpha!$B$5:$B$47,Sort_Alpha!CA$5:CA$47,"",0)</f>
        <v>1.6415153320676959E-15</v>
      </c>
      <c r="CB37" s="1">
        <f>_xlfn.XLOOKUP($B37,Sort_Alpha!$B$5:$B$47,Sort_Alpha!CB$5:CB$47,"",0)</f>
        <v>1.7148038623032361E-15</v>
      </c>
      <c r="CC37" s="1">
        <f>_xlfn.XLOOKUP($B37,Sort_Alpha!$B$5:$B$47,Sort_Alpha!CC$5:CC$47,"",0)</f>
        <v>7.9020913747328613E-15</v>
      </c>
    </row>
    <row r="38" spans="2:81" x14ac:dyDescent="0.15">
      <c r="B38" t="s">
        <v>28</v>
      </c>
      <c r="C38" s="1">
        <f>_xlfn.XLOOKUP($B38,Sort_Alpha!$B$5:$B$47,Sort_Alpha!C$5:C$47,"",0)</f>
        <v>8.3951479156880456E-16</v>
      </c>
      <c r="D38" s="1">
        <f>_xlfn.XLOOKUP($B38,Sort_Alpha!$B$5:$B$47,Sort_Alpha!D$5:D$47,"",0)</f>
        <v>1.2078682355989783E-15</v>
      </c>
      <c r="E38" s="1">
        <f>_xlfn.XLOOKUP($B38,Sort_Alpha!$B$5:$B$47,Sort_Alpha!E$5:E$47,"",0)</f>
        <v>1.809351765479795E-16</v>
      </c>
      <c r="F38" s="1">
        <f>_xlfn.XLOOKUP($B38,Sort_Alpha!$B$5:$B$47,Sort_Alpha!F$5:F$47,"",0)</f>
        <v>3.0330892159954808E-15</v>
      </c>
      <c r="G38" s="1">
        <f>_xlfn.XLOOKUP($B38,Sort_Alpha!$B$5:$B$47,Sort_Alpha!G$5:G$47,"",0)</f>
        <v>7.2354753710348176E-18</v>
      </c>
      <c r="H38" s="1">
        <f>_xlfn.XLOOKUP($B38,Sort_Alpha!$B$5:$B$47,Sort_Alpha!H$5:H$47,"",0)</f>
        <v>1.4790935176902148E-16</v>
      </c>
      <c r="I38" s="1">
        <f>_xlfn.XLOOKUP($B38,Sort_Alpha!$B$5:$B$47,Sort_Alpha!I$5:I$47,"",0)</f>
        <v>1.0345421226083611E-16</v>
      </c>
      <c r="J38" s="1">
        <f>_xlfn.XLOOKUP($B38,Sort_Alpha!$B$5:$B$47,Sort_Alpha!J$5:J$47,"",0)</f>
        <v>1.0345421226083611E-16</v>
      </c>
      <c r="K38" s="1">
        <f>_xlfn.XLOOKUP($B38,Sort_Alpha!$B$5:$B$47,Sort_Alpha!K$5:K$47,"",0)</f>
        <v>1.0345421226083611E-16</v>
      </c>
      <c r="L38" s="1">
        <f>_xlfn.XLOOKUP($B38,Sort_Alpha!$B$5:$B$47,Sort_Alpha!L$5:L$47,"",0)</f>
        <v>1.809351765479795E-16</v>
      </c>
      <c r="M38" s="1">
        <f>_xlfn.XLOOKUP($B38,Sort_Alpha!$B$5:$B$47,Sort_Alpha!M$5:M$47,"",0)</f>
        <v>1.809351765479795E-16</v>
      </c>
      <c r="N38" s="1">
        <f>_xlfn.XLOOKUP($B38,Sort_Alpha!$B$5:$B$47,Sort_Alpha!N$5:N$47,"",0)</f>
        <v>1.809351765479795E-16</v>
      </c>
      <c r="O38" s="1">
        <f>_xlfn.XLOOKUP($B38,Sort_Alpha!$B$5:$B$47,Sort_Alpha!O$5:O$47,"",0)</f>
        <v>8.6425160968706243E-16</v>
      </c>
      <c r="P38" s="1">
        <f>_xlfn.XLOOKUP($B38,Sort_Alpha!$B$5:$B$47,Sort_Alpha!P$5:P$47,"",0)</f>
        <v>1.2127759268815354E-16</v>
      </c>
      <c r="Q38" s="1">
        <f>_xlfn.XLOOKUP($B38,Sort_Alpha!$B$5:$B$47,Sort_Alpha!Q$5:Q$47,"",0)</f>
        <v>5.0755266700422542E-16</v>
      </c>
      <c r="R38" s="1">
        <f>_xlfn.XLOOKUP($B38,Sort_Alpha!$B$5:$B$47,Sort_Alpha!R$5:R$47,"",0)</f>
        <v>5.0755266700422542E-16</v>
      </c>
      <c r="S38" s="1">
        <f>_xlfn.XLOOKUP($B38,Sort_Alpha!$B$5:$B$47,Sort_Alpha!S$5:S$47,"",0)</f>
        <v>2.4811141180895668E-17</v>
      </c>
      <c r="T38" s="1">
        <f>_xlfn.XLOOKUP($B38,Sort_Alpha!$B$5:$B$47,Sort_Alpha!T$5:T$47,"",0)</f>
        <v>2.0406257031068516E-17</v>
      </c>
      <c r="U38" s="1">
        <f>_xlfn.XLOOKUP($B38,Sort_Alpha!$B$5:$B$47,Sort_Alpha!U$5:U$47,"",0)</f>
        <v>2.0406257031068516E-17</v>
      </c>
      <c r="V38" s="1">
        <f>_xlfn.XLOOKUP($B38,Sort_Alpha!$B$5:$B$47,Sort_Alpha!V$5:V$47,"",0)</f>
        <v>2.0406257031068516E-17</v>
      </c>
      <c r="W38" s="1">
        <f>_xlfn.XLOOKUP($B38,Sort_Alpha!$B$5:$B$47,Sort_Alpha!W$5:W$47,"",0)</f>
        <v>2.0406257031068516E-17</v>
      </c>
      <c r="X38" s="1">
        <f>_xlfn.XLOOKUP($B38,Sort_Alpha!$B$5:$B$47,Sort_Alpha!X$5:X$47,"",0)</f>
        <v>2.0406257031068516E-17</v>
      </c>
      <c r="Y38" s="1">
        <f>_xlfn.XLOOKUP($B38,Sort_Alpha!$B$5:$B$47,Sort_Alpha!Y$5:Y$47,"",0)</f>
        <v>2.0988996942257478E-17</v>
      </c>
      <c r="Z38" s="1">
        <f>_xlfn.XLOOKUP($B38,Sort_Alpha!$B$5:$B$47,Sort_Alpha!Z$5:Z$47,"",0)</f>
        <v>1.7705898228064838E-15</v>
      </c>
      <c r="AA38" s="1">
        <f>_xlfn.XLOOKUP($B38,Sort_Alpha!$B$5:$B$47,Sort_Alpha!AA$5:AA$47,"",0)</f>
        <v>1.7471901435109657E-15</v>
      </c>
      <c r="AB38" s="1">
        <f>_xlfn.XLOOKUP($B38,Sort_Alpha!$B$5:$B$47,Sort_Alpha!AB$5:AB$47,"",0)</f>
        <v>2.0375024353704484E-16</v>
      </c>
      <c r="AC38" s="1">
        <f>_xlfn.XLOOKUP($B38,Sort_Alpha!$B$5:$B$47,Sort_Alpha!AC$5:AC$47,"",0)</f>
        <v>3.4885998368752998E-15</v>
      </c>
      <c r="AD38" s="1">
        <f>_xlfn.XLOOKUP($B38,Sort_Alpha!$B$5:$B$47,Sort_Alpha!AD$5:AD$47,"",0)</f>
        <v>2.5593907587702722E-15</v>
      </c>
      <c r="AE38" s="1">
        <f>_xlfn.XLOOKUP($B38,Sort_Alpha!$B$5:$B$47,Sort_Alpha!AE$5:AE$47,"",0)</f>
        <v>2.8357182050111681E-15</v>
      </c>
      <c r="AF38" s="1">
        <f>_xlfn.XLOOKUP($B38,Sort_Alpha!$B$5:$B$47,Sort_Alpha!AF$5:AF$47,"",0)</f>
        <v>2.8357182050111681E-15</v>
      </c>
      <c r="AG38" s="1">
        <f>_xlfn.XLOOKUP($B38,Sort_Alpha!$B$5:$B$47,Sort_Alpha!AG$5:AG$47,"",0)</f>
        <v>1.2945227715772346E-15</v>
      </c>
      <c r="AH38" s="1">
        <f>_xlfn.XLOOKUP($B38,Sort_Alpha!$B$5:$B$47,Sort_Alpha!AH$5:AH$47,"",0)</f>
        <v>1.7840078433016759E-16</v>
      </c>
      <c r="AI38" s="1">
        <f>_xlfn.XLOOKUP($B38,Sort_Alpha!$B$5:$B$47,Sort_Alpha!AI$5:AI$47,"",0)</f>
        <v>1.7708451213375107E-16</v>
      </c>
      <c r="AJ38" s="1">
        <f>_xlfn.XLOOKUP($B38,Sort_Alpha!$B$5:$B$47,Sort_Alpha!AJ$5:AJ$47,"",0)</f>
        <v>2.7537897643977148E-17</v>
      </c>
      <c r="AK38" s="1">
        <f>_xlfn.XLOOKUP($B38,Sort_Alpha!$B$5:$B$47,Sort_Alpha!AK$5:AK$47,"",0)</f>
        <v>3.3421664597238658E-15</v>
      </c>
      <c r="AL38" s="1">
        <f>_xlfn.XLOOKUP($B38,Sort_Alpha!$B$5:$B$47,Sort_Alpha!AL$5:AL$47,"",0)</f>
        <v>9.0842024082397925E-17</v>
      </c>
      <c r="AM38" s="1">
        <f>_xlfn.XLOOKUP($B38,Sort_Alpha!$B$5:$B$47,Sort_Alpha!AM$5:AM$47,"",0)</f>
        <v>9.2958941726233306E-16</v>
      </c>
      <c r="AN38" s="1">
        <f>_xlfn.XLOOKUP($B38,Sort_Alpha!$B$5:$B$47,Sort_Alpha!AN$5:AN$47,"",0)</f>
        <v>1.5956058560844459E-16</v>
      </c>
      <c r="AO38" s="1">
        <f>_xlfn.XLOOKUP($B38,Sort_Alpha!$B$5:$B$47,Sort_Alpha!AO$5:AO$47,"",0)</f>
        <v>1.5956058560844459E-16</v>
      </c>
      <c r="AP38" s="1">
        <f>_xlfn.XLOOKUP($B38,Sort_Alpha!$B$5:$B$47,Sort_Alpha!AP$5:AP$47,"",0)</f>
        <v>1.5956058560844459E-16</v>
      </c>
      <c r="AQ38" s="1">
        <f>_xlfn.XLOOKUP($B38,Sort_Alpha!$B$5:$B$47,Sort_Alpha!AQ$5:AQ$47,"",0)</f>
        <v>2.5770456368246446E-17</v>
      </c>
      <c r="AR38" s="1">
        <f>_xlfn.XLOOKUP($B38,Sort_Alpha!$B$5:$B$47,Sort_Alpha!AR$5:AR$47,"",0)</f>
        <v>2.5770456368246446E-17</v>
      </c>
      <c r="AS38" s="1">
        <f>_xlfn.XLOOKUP($B38,Sort_Alpha!$B$5:$B$47,Sort_Alpha!AS$5:AS$47,"",0)</f>
        <v>1.1917726283196193E-15</v>
      </c>
      <c r="AT38" s="1">
        <f>_xlfn.XLOOKUP($B38,Sort_Alpha!$B$5:$B$47,Sort_Alpha!AT$5:AT$47,"",0)</f>
        <v>3.2769114524061235E-15</v>
      </c>
      <c r="AU38" s="1">
        <f>_xlfn.XLOOKUP($B38,Sort_Alpha!$B$5:$B$47,Sort_Alpha!AU$5:AU$47,"",0)</f>
        <v>9.5497947644396941E-18</v>
      </c>
      <c r="AV38" s="1">
        <f>_xlfn.XLOOKUP($B38,Sort_Alpha!$B$5:$B$47,Sort_Alpha!AV$5:AV$47,"",0)</f>
        <v>0</v>
      </c>
      <c r="AW38" s="1">
        <f>_xlfn.XLOOKUP($B38,Sort_Alpha!$B$5:$B$47,Sort_Alpha!AW$5:AW$47,"",0)</f>
        <v>1.1769673020856908E-15</v>
      </c>
      <c r="AX38" s="1">
        <f>_xlfn.XLOOKUP($B38,Sort_Alpha!$B$5:$B$47,Sort_Alpha!AX$5:AX$47,"",0)</f>
        <v>1.0778596838235692E-15</v>
      </c>
      <c r="AY38" s="1">
        <f>_xlfn.XLOOKUP($B38,Sort_Alpha!$B$5:$B$47,Sort_Alpha!AY$5:AY$47,"",0)</f>
        <v>1.0778596838235692E-15</v>
      </c>
      <c r="AZ38" s="1">
        <f>_xlfn.XLOOKUP($B38,Sort_Alpha!$B$5:$B$47,Sort_Alpha!AZ$5:AZ$47,"",0)</f>
        <v>1.4428266248931394E-15</v>
      </c>
      <c r="BA38" s="1">
        <f>_xlfn.XLOOKUP($B38,Sort_Alpha!$B$5:$B$47,Sort_Alpha!BA$5:BA$47,"",0)</f>
        <v>1.7855376994686058E-16</v>
      </c>
      <c r="BB38" s="1">
        <f>_xlfn.XLOOKUP($B38,Sort_Alpha!$B$5:$B$47,Sort_Alpha!BB$5:BB$47,"",0)</f>
        <v>4.0229207696868383E-14</v>
      </c>
      <c r="BC38" s="1">
        <f>_xlfn.XLOOKUP($B38,Sort_Alpha!$B$5:$B$47,Sort_Alpha!BC$5:BC$47,"",0)</f>
        <v>8.9249925178270372E-13</v>
      </c>
      <c r="BD38" s="1">
        <f>_xlfn.XLOOKUP($B38,Sort_Alpha!$B$5:$B$47,Sort_Alpha!BD$5:BD$47,"",0)</f>
        <v>2.1774465473982783E-13</v>
      </c>
      <c r="BE38" s="1">
        <f>_xlfn.XLOOKUP($B38,Sort_Alpha!$B$5:$B$47,Sort_Alpha!BE$5:BE$47,"",0)</f>
        <v>1.9885979454545154E-17</v>
      </c>
      <c r="BF38" s="1">
        <f>_xlfn.XLOOKUP($B38,Sort_Alpha!$B$5:$B$47,Sort_Alpha!BF$5:BF$47,"",0)</f>
        <v>3.9380386266663075E-16</v>
      </c>
      <c r="BG38" s="1">
        <f>_xlfn.XLOOKUP($B38,Sort_Alpha!$B$5:$B$47,Sort_Alpha!BG$5:BG$47,"",0)</f>
        <v>3.9929813971333073E-15</v>
      </c>
      <c r="BH38" s="1">
        <f>_xlfn.XLOOKUP($B38,Sort_Alpha!$B$5:$B$47,Sort_Alpha!BH$5:BH$47,"",0)</f>
        <v>5.5056333873531749E-15</v>
      </c>
      <c r="BI38" s="1">
        <f>_xlfn.XLOOKUP($B38,Sort_Alpha!$B$5:$B$47,Sort_Alpha!BI$5:BI$47,"",0)</f>
        <v>5.5056333873531749E-15</v>
      </c>
      <c r="BJ38" s="1">
        <f>_xlfn.XLOOKUP($B38,Sort_Alpha!$B$5:$B$47,Sort_Alpha!BJ$5:BJ$47,"",0)</f>
        <v>5.5056333873531749E-15</v>
      </c>
      <c r="BK38" s="1">
        <f>_xlfn.XLOOKUP($B38,Sort_Alpha!$B$5:$B$47,Sort_Alpha!BK$5:BK$47,"",0)</f>
        <v>3.5588109492944692E-16</v>
      </c>
      <c r="BL38" s="1">
        <f>_xlfn.XLOOKUP($B38,Sort_Alpha!$B$5:$B$47,Sort_Alpha!BL$5:BL$47,"",0)</f>
        <v>6.2144898179468228E-16</v>
      </c>
      <c r="BM38" s="1">
        <f>_xlfn.XLOOKUP($B38,Sort_Alpha!$B$5:$B$47,Sort_Alpha!BM$5:BM$47,"",0)</f>
        <v>8.598158703229484E-16</v>
      </c>
      <c r="BN38" s="1">
        <f>_xlfn.XLOOKUP($B38,Sort_Alpha!$B$5:$B$47,Sort_Alpha!BN$5:BN$47,"",0)</f>
        <v>8.598158703229484E-16</v>
      </c>
      <c r="BO38" s="1">
        <f>_xlfn.XLOOKUP($B38,Sort_Alpha!$B$5:$B$47,Sort_Alpha!BO$5:BO$47,"",0)</f>
        <v>2.5059345475455196E-17</v>
      </c>
      <c r="BP38" s="1">
        <f>_xlfn.XLOOKUP($B38,Sort_Alpha!$B$5:$B$47,Sort_Alpha!BP$5:BP$47,"",0)</f>
        <v>2.5059345475455196E-17</v>
      </c>
      <c r="BQ38" s="1">
        <f>_xlfn.XLOOKUP($B38,Sort_Alpha!$B$5:$B$47,Sort_Alpha!BQ$5:BQ$47,"",0)</f>
        <v>0</v>
      </c>
      <c r="BR38" s="1">
        <f>_xlfn.XLOOKUP($B38,Sort_Alpha!$B$5:$B$47,Sort_Alpha!BR$5:BR$47,"",0)</f>
        <v>8.2812193811555268E-17</v>
      </c>
      <c r="BS38" s="1">
        <f>_xlfn.XLOOKUP($B38,Sort_Alpha!$B$5:$B$47,Sort_Alpha!BS$5:BS$47,"",0)</f>
        <v>4.4783610088315752E-17</v>
      </c>
      <c r="BT38" s="1">
        <f>_xlfn.XLOOKUP($B38,Sort_Alpha!$B$5:$B$47,Sort_Alpha!BT$5:BT$47,"",0)</f>
        <v>2.5531646122691564E-17</v>
      </c>
      <c r="BU38" s="1">
        <f>_xlfn.XLOOKUP($B38,Sort_Alpha!$B$5:$B$47,Sort_Alpha!BU$5:BU$47,"",0)</f>
        <v>1.9545523325303993E-17</v>
      </c>
      <c r="BV38" s="1">
        <f>_xlfn.XLOOKUP($B38,Sort_Alpha!$B$5:$B$47,Sort_Alpha!BV$5:BV$47,"",0)</f>
        <v>9.0676132118089157E-16</v>
      </c>
      <c r="BW38" s="1">
        <f>_xlfn.XLOOKUP($B38,Sort_Alpha!$B$5:$B$47,Sort_Alpha!BW$5:BW$47,"",0)</f>
        <v>7.5412703390163971E-16</v>
      </c>
      <c r="BX38" s="1">
        <f>_xlfn.XLOOKUP($B38,Sort_Alpha!$B$5:$B$47,Sort_Alpha!BX$5:BX$47,"",0)</f>
        <v>7.5412703390163971E-16</v>
      </c>
      <c r="BY38" s="1">
        <f>_xlfn.XLOOKUP($B38,Sort_Alpha!$B$5:$B$47,Sort_Alpha!BY$5:BY$47,"",0)</f>
        <v>5.0590279652764919E-15</v>
      </c>
      <c r="BZ38" s="1">
        <f>_xlfn.XLOOKUP($B38,Sort_Alpha!$B$5:$B$47,Sort_Alpha!BZ$5:BZ$47,"",0)</f>
        <v>1.8187953638622302E-15</v>
      </c>
      <c r="CA38" s="1">
        <f>_xlfn.XLOOKUP($B38,Sort_Alpha!$B$5:$B$47,Sort_Alpha!CA$5:CA$47,"",0)</f>
        <v>1.5871535792662644E-15</v>
      </c>
      <c r="CB38" s="1">
        <f>_xlfn.XLOOKUP($B38,Sort_Alpha!$B$5:$B$47,Sort_Alpha!CB$5:CB$47,"",0)</f>
        <v>1.1795315527732427E-15</v>
      </c>
      <c r="CC38" s="1">
        <f>_xlfn.XLOOKUP($B38,Sort_Alpha!$B$5:$B$47,Sort_Alpha!CC$5:CC$47,"",0)</f>
        <v>5.3232510219712692E-16</v>
      </c>
    </row>
    <row r="39" spans="2:81" x14ac:dyDescent="0.15">
      <c r="B39" t="s">
        <v>29</v>
      </c>
      <c r="C39" s="1">
        <f>_xlfn.XLOOKUP($B39,Sort_Alpha!$B$5:$B$47,Sort_Alpha!C$5:C$47,"",0)</f>
        <v>5.0812387471840314E-16</v>
      </c>
      <c r="D39" s="1">
        <f>_xlfn.XLOOKUP($B39,Sort_Alpha!$B$5:$B$47,Sort_Alpha!D$5:D$47,"",0)</f>
        <v>8.3914014969480237E-17</v>
      </c>
      <c r="E39" s="1">
        <f>_xlfn.XLOOKUP($B39,Sort_Alpha!$B$5:$B$47,Sort_Alpha!E$5:E$47,"",0)</f>
        <v>5.7811584559601732E-16</v>
      </c>
      <c r="F39" s="1">
        <f>_xlfn.XLOOKUP($B39,Sort_Alpha!$B$5:$B$47,Sort_Alpha!F$5:F$47,"",0)</f>
        <v>4.3575032648580603E-16</v>
      </c>
      <c r="G39" s="1">
        <f>_xlfn.XLOOKUP($B39,Sort_Alpha!$B$5:$B$47,Sort_Alpha!G$5:G$47,"",0)</f>
        <v>3.4217434044047165E-15</v>
      </c>
      <c r="H39" s="1">
        <f>_xlfn.XLOOKUP($B39,Sort_Alpha!$B$5:$B$47,Sort_Alpha!H$5:H$47,"",0)</f>
        <v>5.8073627675810257E-16</v>
      </c>
      <c r="I39" s="1">
        <f>_xlfn.XLOOKUP($B39,Sort_Alpha!$B$5:$B$47,Sort_Alpha!I$5:I$47,"",0)</f>
        <v>1.94484411624794E-15</v>
      </c>
      <c r="J39" s="1">
        <f>_xlfn.XLOOKUP($B39,Sort_Alpha!$B$5:$B$47,Sort_Alpha!J$5:J$47,"",0)</f>
        <v>1.94484411624794E-15</v>
      </c>
      <c r="K39" s="1">
        <f>_xlfn.XLOOKUP($B39,Sort_Alpha!$B$5:$B$47,Sort_Alpha!K$5:K$47,"",0)</f>
        <v>1.94484411624794E-15</v>
      </c>
      <c r="L39" s="1">
        <f>_xlfn.XLOOKUP($B39,Sort_Alpha!$B$5:$B$47,Sort_Alpha!L$5:L$47,"",0)</f>
        <v>5.7811584559601732E-16</v>
      </c>
      <c r="M39" s="1">
        <f>_xlfn.XLOOKUP($B39,Sort_Alpha!$B$5:$B$47,Sort_Alpha!M$5:M$47,"",0)</f>
        <v>5.7811584559601732E-16</v>
      </c>
      <c r="N39" s="1">
        <f>_xlfn.XLOOKUP($B39,Sort_Alpha!$B$5:$B$47,Sort_Alpha!N$5:N$47,"",0)</f>
        <v>5.7811584559601732E-16</v>
      </c>
      <c r="O39" s="1">
        <f>_xlfn.XLOOKUP($B39,Sort_Alpha!$B$5:$B$47,Sort_Alpha!O$5:O$47,"",0)</f>
        <v>1.0098887678498034E-15</v>
      </c>
      <c r="P39" s="1">
        <f>_xlfn.XLOOKUP($B39,Sort_Alpha!$B$5:$B$47,Sort_Alpha!P$5:P$47,"",0)</f>
        <v>3.6123703793924633E-17</v>
      </c>
      <c r="Q39" s="1">
        <f>_xlfn.XLOOKUP($B39,Sort_Alpha!$B$5:$B$47,Sort_Alpha!Q$5:Q$47,"",0)</f>
        <v>1.489285269749728E-15</v>
      </c>
      <c r="R39" s="1">
        <f>_xlfn.XLOOKUP($B39,Sort_Alpha!$B$5:$B$47,Sort_Alpha!R$5:R$47,"",0)</f>
        <v>1.489285269749728E-15</v>
      </c>
      <c r="S39" s="1">
        <f>_xlfn.XLOOKUP($B39,Sort_Alpha!$B$5:$B$47,Sort_Alpha!S$5:S$47,"",0)</f>
        <v>3.5493076636135976E-15</v>
      </c>
      <c r="T39" s="1">
        <f>_xlfn.XLOOKUP($B39,Sort_Alpha!$B$5:$B$47,Sort_Alpha!T$5:T$47,"",0)</f>
        <v>1.6894134197729559E-14</v>
      </c>
      <c r="U39" s="1">
        <f>_xlfn.XLOOKUP($B39,Sort_Alpha!$B$5:$B$47,Sort_Alpha!U$5:U$47,"",0)</f>
        <v>1.6894134197729559E-14</v>
      </c>
      <c r="V39" s="1">
        <f>_xlfn.XLOOKUP($B39,Sort_Alpha!$B$5:$B$47,Sort_Alpha!V$5:V$47,"",0)</f>
        <v>1.6894134197729559E-14</v>
      </c>
      <c r="W39" s="1">
        <f>_xlfn.XLOOKUP($B39,Sort_Alpha!$B$5:$B$47,Sort_Alpha!W$5:W$47,"",0)</f>
        <v>1.6894134197729559E-14</v>
      </c>
      <c r="X39" s="1">
        <f>_xlfn.XLOOKUP($B39,Sort_Alpha!$B$5:$B$47,Sort_Alpha!X$5:X$47,"",0)</f>
        <v>1.6894134197729559E-14</v>
      </c>
      <c r="Y39" s="1">
        <f>_xlfn.XLOOKUP($B39,Sort_Alpha!$B$5:$B$47,Sort_Alpha!Y$5:Y$47,"",0)</f>
        <v>2.9402349700375209E-15</v>
      </c>
      <c r="Z39" s="1">
        <f>_xlfn.XLOOKUP($B39,Sort_Alpha!$B$5:$B$47,Sort_Alpha!Z$5:Z$47,"",0)</f>
        <v>8.5046550929961881E-17</v>
      </c>
      <c r="AA39" s="1">
        <f>_xlfn.XLOOKUP($B39,Sort_Alpha!$B$5:$B$47,Sort_Alpha!AA$5:AA$47,"",0)</f>
        <v>8.5270121666431826E-17</v>
      </c>
      <c r="AB39" s="1">
        <f>_xlfn.XLOOKUP($B39,Sort_Alpha!$B$5:$B$47,Sort_Alpha!AB$5:AB$47,"",0)</f>
        <v>4.1298196346482229E-16</v>
      </c>
      <c r="AC39" s="1">
        <f>_xlfn.XLOOKUP($B39,Sort_Alpha!$B$5:$B$47,Sort_Alpha!AC$5:AC$47,"",0)</f>
        <v>5.2938265892325278E-17</v>
      </c>
      <c r="AD39" s="1">
        <f>_xlfn.XLOOKUP($B39,Sort_Alpha!$B$5:$B$47,Sort_Alpha!AD$5:AD$47,"",0)</f>
        <v>1.3881718125572817E-17</v>
      </c>
      <c r="AE39" s="1">
        <f>_xlfn.XLOOKUP($B39,Sort_Alpha!$B$5:$B$47,Sort_Alpha!AE$5:AE$47,"",0)</f>
        <v>1.224447601912287E-17</v>
      </c>
      <c r="AF39" s="1">
        <f>_xlfn.XLOOKUP($B39,Sort_Alpha!$B$5:$B$47,Sort_Alpha!AF$5:AF$47,"",0)</f>
        <v>1.224447601912287E-17</v>
      </c>
      <c r="AG39" s="1">
        <f>_xlfn.XLOOKUP($B39,Sort_Alpha!$B$5:$B$47,Sort_Alpha!AG$5:AG$47,"",0)</f>
        <v>1.332063810330997E-16</v>
      </c>
      <c r="AH39" s="1">
        <f>_xlfn.XLOOKUP($B39,Sort_Alpha!$B$5:$B$47,Sort_Alpha!AH$5:AH$47,"",0)</f>
        <v>6.2359950705049E-16</v>
      </c>
      <c r="AI39" s="1">
        <f>_xlfn.XLOOKUP($B39,Sort_Alpha!$B$5:$B$47,Sort_Alpha!AI$5:AI$47,"",0)</f>
        <v>5.5841779571740787E-16</v>
      </c>
      <c r="AJ39" s="1">
        <f>_xlfn.XLOOKUP($B39,Sort_Alpha!$B$5:$B$47,Sort_Alpha!AJ$5:AJ$47,"",0)</f>
        <v>2.6777461183553232E-14</v>
      </c>
      <c r="AK39" s="1">
        <f>_xlfn.XLOOKUP($B39,Sort_Alpha!$B$5:$B$47,Sort_Alpha!AK$5:AK$47,"",0)</f>
        <v>1.2758972802923972E-15</v>
      </c>
      <c r="AL39" s="1">
        <f>_xlfn.XLOOKUP($B39,Sort_Alpha!$B$5:$B$47,Sort_Alpha!AL$5:AL$47,"",0)</f>
        <v>2.3207143801207113E-15</v>
      </c>
      <c r="AM39" s="1">
        <f>_xlfn.XLOOKUP($B39,Sort_Alpha!$B$5:$B$47,Sort_Alpha!AM$5:AM$47,"",0)</f>
        <v>5.5893819146415946E-16</v>
      </c>
      <c r="AN39" s="1">
        <f>_xlfn.XLOOKUP($B39,Sort_Alpha!$B$5:$B$47,Sort_Alpha!AN$5:AN$47,"",0)</f>
        <v>2.086897747635541E-15</v>
      </c>
      <c r="AO39" s="1">
        <f>_xlfn.XLOOKUP($B39,Sort_Alpha!$B$5:$B$47,Sort_Alpha!AO$5:AO$47,"",0)</f>
        <v>2.086897747635541E-15</v>
      </c>
      <c r="AP39" s="1">
        <f>_xlfn.XLOOKUP($B39,Sort_Alpha!$B$5:$B$47,Sort_Alpha!AP$5:AP$47,"",0)</f>
        <v>2.086897747635541E-15</v>
      </c>
      <c r="AQ39" s="1">
        <f>_xlfn.XLOOKUP($B39,Sort_Alpha!$B$5:$B$47,Sort_Alpha!AQ$5:AQ$47,"",0)</f>
        <v>1.7513538337551988E-14</v>
      </c>
      <c r="AR39" s="1">
        <f>_xlfn.XLOOKUP($B39,Sort_Alpha!$B$5:$B$47,Sort_Alpha!AR$5:AR$47,"",0)</f>
        <v>1.9537995886096446E-14</v>
      </c>
      <c r="AS39" s="1">
        <f>_xlfn.XLOOKUP($B39,Sort_Alpha!$B$5:$B$47,Sort_Alpha!AS$5:AS$47,"",0)</f>
        <v>3.5301541723630063E-18</v>
      </c>
      <c r="AT39" s="1">
        <f>_xlfn.XLOOKUP($B39,Sort_Alpha!$B$5:$B$47,Sort_Alpha!AT$5:AT$47,"",0)</f>
        <v>5.7824029071000011E-17</v>
      </c>
      <c r="AU39" s="1">
        <f>_xlfn.XLOOKUP($B39,Sort_Alpha!$B$5:$B$47,Sort_Alpha!AU$5:AU$47,"",0)</f>
        <v>8.0774608483831175E-15</v>
      </c>
      <c r="AV39" s="1">
        <f>_xlfn.XLOOKUP($B39,Sort_Alpha!$B$5:$B$47,Sort_Alpha!AV$5:AV$47,"",0)</f>
        <v>0</v>
      </c>
      <c r="AW39" s="1">
        <f>_xlfn.XLOOKUP($B39,Sort_Alpha!$B$5:$B$47,Sort_Alpha!AW$5:AW$47,"",0)</f>
        <v>3.5497653023265041E-18</v>
      </c>
      <c r="AX39" s="1">
        <f>_xlfn.XLOOKUP($B39,Sort_Alpha!$B$5:$B$47,Sort_Alpha!AX$5:AX$47,"",0)</f>
        <v>3.2822980755668054E-18</v>
      </c>
      <c r="AY39" s="1">
        <f>_xlfn.XLOOKUP($B39,Sort_Alpha!$B$5:$B$47,Sort_Alpha!AY$5:AY$47,"",0)</f>
        <v>3.6944759958209223E-18</v>
      </c>
      <c r="AZ39" s="1">
        <f>_xlfn.XLOOKUP($B39,Sort_Alpha!$B$5:$B$47,Sort_Alpha!AZ$5:AZ$47,"",0)</f>
        <v>1.1911271803743616E-15</v>
      </c>
      <c r="BA39" s="1">
        <f>_xlfn.XLOOKUP($B39,Sort_Alpha!$B$5:$B$47,Sort_Alpha!BA$5:BA$47,"",0)</f>
        <v>7.3399496545806176E-16</v>
      </c>
      <c r="BB39" s="1">
        <f>_xlfn.XLOOKUP($B39,Sort_Alpha!$B$5:$B$47,Sort_Alpha!BB$5:BB$47,"",0)</f>
        <v>1.8154753752891194E-17</v>
      </c>
      <c r="BC39" s="1">
        <f>_xlfn.XLOOKUP($B39,Sort_Alpha!$B$5:$B$47,Sort_Alpha!BC$5:BC$47,"",0)</f>
        <v>1.82532416360237E-17</v>
      </c>
      <c r="BD39" s="1">
        <f>_xlfn.XLOOKUP($B39,Sort_Alpha!$B$5:$B$47,Sort_Alpha!BD$5:BD$47,"",0)</f>
        <v>1.825474734937581E-17</v>
      </c>
      <c r="BE39" s="1">
        <f>_xlfn.XLOOKUP($B39,Sort_Alpha!$B$5:$B$47,Sort_Alpha!BE$5:BE$47,"",0)</f>
        <v>5.9896079266454502E-13</v>
      </c>
      <c r="BF39" s="1">
        <f>_xlfn.XLOOKUP($B39,Sort_Alpha!$B$5:$B$47,Sort_Alpha!BF$5:BF$47,"",0)</f>
        <v>5.1535852773826077E-16</v>
      </c>
      <c r="BG39" s="1">
        <f>_xlfn.XLOOKUP($B39,Sort_Alpha!$B$5:$B$47,Sort_Alpha!BG$5:BG$47,"",0)</f>
        <v>2.8025501370440201E-17</v>
      </c>
      <c r="BH39" s="1">
        <f>_xlfn.XLOOKUP($B39,Sort_Alpha!$B$5:$B$47,Sort_Alpha!BH$5:BH$47,"",0)</f>
        <v>2.2730735992478682E-17</v>
      </c>
      <c r="BI39" s="1">
        <f>_xlfn.XLOOKUP($B39,Sort_Alpha!$B$5:$B$47,Sort_Alpha!BI$5:BI$47,"",0)</f>
        <v>2.2730735992478682E-17</v>
      </c>
      <c r="BJ39" s="1">
        <f>_xlfn.XLOOKUP($B39,Sort_Alpha!$B$5:$B$47,Sort_Alpha!BJ$5:BJ$47,"",0)</f>
        <v>2.2730735992478682E-17</v>
      </c>
      <c r="BK39" s="1">
        <f>_xlfn.XLOOKUP($B39,Sort_Alpha!$B$5:$B$47,Sort_Alpha!BK$5:BK$47,"",0)</f>
        <v>1.3311149545812358E-16</v>
      </c>
      <c r="BL39" s="1">
        <f>_xlfn.XLOOKUP($B39,Sort_Alpha!$B$5:$B$47,Sort_Alpha!BL$5:BL$47,"",0)</f>
        <v>1.0590111029850318E-16</v>
      </c>
      <c r="BM39" s="1">
        <f>_xlfn.XLOOKUP($B39,Sort_Alpha!$B$5:$B$47,Sort_Alpha!BM$5:BM$47,"",0)</f>
        <v>9.2369204614487255E-17</v>
      </c>
      <c r="BN39" s="1">
        <f>_xlfn.XLOOKUP($B39,Sort_Alpha!$B$5:$B$47,Sort_Alpha!BN$5:BN$47,"",0)</f>
        <v>9.2367575097301188E-17</v>
      </c>
      <c r="BO39" s="1">
        <f>_xlfn.XLOOKUP($B39,Sort_Alpha!$B$5:$B$47,Sort_Alpha!BO$5:BO$47,"",0)</f>
        <v>9.720254476894332E-15</v>
      </c>
      <c r="BP39" s="1">
        <f>_xlfn.XLOOKUP($B39,Sort_Alpha!$B$5:$B$47,Sort_Alpha!BP$5:BP$47,"",0)</f>
        <v>9.7167350216251508E-15</v>
      </c>
      <c r="BQ39" s="1">
        <f>_xlfn.XLOOKUP($B39,Sort_Alpha!$B$5:$B$47,Sort_Alpha!BQ$5:BQ$47,"",0)</f>
        <v>0</v>
      </c>
      <c r="BR39" s="1">
        <f>_xlfn.XLOOKUP($B39,Sort_Alpha!$B$5:$B$47,Sort_Alpha!BR$5:BR$47,"",0)</f>
        <v>1.401972479491074E-15</v>
      </c>
      <c r="BS39" s="1">
        <f>_xlfn.XLOOKUP($B39,Sort_Alpha!$B$5:$B$47,Sort_Alpha!BS$5:BS$47,"",0)</f>
        <v>4.3636974098602769E-15</v>
      </c>
      <c r="BT39" s="1">
        <f>_xlfn.XLOOKUP($B39,Sort_Alpha!$B$5:$B$47,Sort_Alpha!BT$5:BT$47,"",0)</f>
        <v>1.9604565826124768E-14</v>
      </c>
      <c r="BU39" s="1">
        <f>_xlfn.XLOOKUP($B39,Sort_Alpha!$B$5:$B$47,Sort_Alpha!BU$5:BU$47,"",0)</f>
        <v>1.9061961205212828E-14</v>
      </c>
      <c r="BV39" s="1">
        <f>_xlfn.XLOOKUP($B39,Sort_Alpha!$B$5:$B$47,Sort_Alpha!BV$5:BV$47,"",0)</f>
        <v>8.6876592820477224E-16</v>
      </c>
      <c r="BW39" s="1">
        <f>_xlfn.XLOOKUP($B39,Sort_Alpha!$B$5:$B$47,Sort_Alpha!BW$5:BW$47,"",0)</f>
        <v>1.548389922441241E-15</v>
      </c>
      <c r="BX39" s="1">
        <f>_xlfn.XLOOKUP($B39,Sort_Alpha!$B$5:$B$47,Sort_Alpha!BX$5:BX$47,"",0)</f>
        <v>1.548389922441241E-15</v>
      </c>
      <c r="BY39" s="1">
        <f>_xlfn.XLOOKUP($B39,Sort_Alpha!$B$5:$B$47,Sort_Alpha!BY$5:BY$47,"",0)</f>
        <v>2.0579213263538498E-17</v>
      </c>
      <c r="BZ39" s="1">
        <f>_xlfn.XLOOKUP($B39,Sort_Alpha!$B$5:$B$47,Sort_Alpha!BZ$5:BZ$47,"",0)</f>
        <v>3.7083814996231703E-18</v>
      </c>
      <c r="CA39" s="1">
        <f>_xlfn.XLOOKUP($B39,Sort_Alpha!$B$5:$B$47,Sort_Alpha!CA$5:CA$47,"",0)</f>
        <v>3.1163355027440747E-18</v>
      </c>
      <c r="CB39" s="1">
        <f>_xlfn.XLOOKUP($B39,Sort_Alpha!$B$5:$B$47,Sort_Alpha!CB$5:CB$47,"",0)</f>
        <v>2.7024045272628708E-18</v>
      </c>
      <c r="CC39" s="1">
        <f>_xlfn.XLOOKUP($B39,Sort_Alpha!$B$5:$B$47,Sort_Alpha!CC$5:CC$47,"",0)</f>
        <v>5.8864441545460883E-16</v>
      </c>
    </row>
    <row r="40" spans="2:81" x14ac:dyDescent="0.15">
      <c r="B40" t="s">
        <v>30</v>
      </c>
      <c r="C40" s="1">
        <f>_xlfn.XLOOKUP($B40,Sort_Alpha!$B$5:$B$47,Sort_Alpha!C$5:C$47,"",0)</f>
        <v>7.6398695998359354E-16</v>
      </c>
      <c r="D40" s="1">
        <f>_xlfn.XLOOKUP($B40,Sort_Alpha!$B$5:$B$47,Sort_Alpha!D$5:D$47,"",0)</f>
        <v>3.5685860207491688E-16</v>
      </c>
      <c r="E40" s="1">
        <f>_xlfn.XLOOKUP($B40,Sort_Alpha!$B$5:$B$47,Sort_Alpha!E$5:E$47,"",0)</f>
        <v>4.4530816974505541E-16</v>
      </c>
      <c r="F40" s="1">
        <f>_xlfn.XLOOKUP($B40,Sort_Alpha!$B$5:$B$47,Sort_Alpha!F$5:F$47,"",0)</f>
        <v>9.5088044005485098E-16</v>
      </c>
      <c r="G40" s="1">
        <f>_xlfn.XLOOKUP($B40,Sort_Alpha!$B$5:$B$47,Sort_Alpha!G$5:G$47,"",0)</f>
        <v>3.2535109803257223E-16</v>
      </c>
      <c r="H40" s="1">
        <f>_xlfn.XLOOKUP($B40,Sort_Alpha!$B$5:$B$47,Sort_Alpha!H$5:H$47,"",0)</f>
        <v>7.5524243028952978E-16</v>
      </c>
      <c r="I40" s="1">
        <f>_xlfn.XLOOKUP($B40,Sort_Alpha!$B$5:$B$47,Sort_Alpha!I$5:I$47,"",0)</f>
        <v>4.0680417360800618E-16</v>
      </c>
      <c r="J40" s="1">
        <f>_xlfn.XLOOKUP($B40,Sort_Alpha!$B$5:$B$47,Sort_Alpha!J$5:J$47,"",0)</f>
        <v>4.0680417360800618E-16</v>
      </c>
      <c r="K40" s="1">
        <f>_xlfn.XLOOKUP($B40,Sort_Alpha!$B$5:$B$47,Sort_Alpha!K$5:K$47,"",0)</f>
        <v>4.0680417360800618E-16</v>
      </c>
      <c r="L40" s="1">
        <f>_xlfn.XLOOKUP($B40,Sort_Alpha!$B$5:$B$47,Sort_Alpha!L$5:L$47,"",0)</f>
        <v>4.4530816974505541E-16</v>
      </c>
      <c r="M40" s="1">
        <f>_xlfn.XLOOKUP($B40,Sort_Alpha!$B$5:$B$47,Sort_Alpha!M$5:M$47,"",0)</f>
        <v>4.4530816974505541E-16</v>
      </c>
      <c r="N40" s="1">
        <f>_xlfn.XLOOKUP($B40,Sort_Alpha!$B$5:$B$47,Sort_Alpha!N$5:N$47,"",0)</f>
        <v>4.4530816974505541E-16</v>
      </c>
      <c r="O40" s="1">
        <f>_xlfn.XLOOKUP($B40,Sort_Alpha!$B$5:$B$47,Sort_Alpha!O$5:O$47,"",0)</f>
        <v>4.5707451006647142E-16</v>
      </c>
      <c r="P40" s="1">
        <f>_xlfn.XLOOKUP($B40,Sort_Alpha!$B$5:$B$47,Sort_Alpha!P$5:P$47,"",0)</f>
        <v>4.9408179845114863E-16</v>
      </c>
      <c r="Q40" s="1">
        <f>_xlfn.XLOOKUP($B40,Sort_Alpha!$B$5:$B$47,Sort_Alpha!Q$5:Q$47,"",0)</f>
        <v>4.6973458050530279E-16</v>
      </c>
      <c r="R40" s="1">
        <f>_xlfn.XLOOKUP($B40,Sort_Alpha!$B$5:$B$47,Sort_Alpha!R$5:R$47,"",0)</f>
        <v>4.6973458050530279E-16</v>
      </c>
      <c r="S40" s="1">
        <f>_xlfn.XLOOKUP($B40,Sort_Alpha!$B$5:$B$47,Sort_Alpha!S$5:S$47,"",0)</f>
        <v>5.3245082661214923E-16</v>
      </c>
      <c r="T40" s="1">
        <f>_xlfn.XLOOKUP($B40,Sort_Alpha!$B$5:$B$47,Sort_Alpha!T$5:T$47,"",0)</f>
        <v>3.8035451723684382E-16</v>
      </c>
      <c r="U40" s="1">
        <f>_xlfn.XLOOKUP($B40,Sort_Alpha!$B$5:$B$47,Sort_Alpha!U$5:U$47,"",0)</f>
        <v>3.8035451723684382E-16</v>
      </c>
      <c r="V40" s="1">
        <f>_xlfn.XLOOKUP($B40,Sort_Alpha!$B$5:$B$47,Sort_Alpha!V$5:V$47,"",0)</f>
        <v>3.8035451723684382E-16</v>
      </c>
      <c r="W40" s="1">
        <f>_xlfn.XLOOKUP($B40,Sort_Alpha!$B$5:$B$47,Sort_Alpha!W$5:W$47,"",0)</f>
        <v>3.8035451723684382E-16</v>
      </c>
      <c r="X40" s="1">
        <f>_xlfn.XLOOKUP($B40,Sort_Alpha!$B$5:$B$47,Sort_Alpha!X$5:X$47,"",0)</f>
        <v>3.8035451723684382E-16</v>
      </c>
      <c r="Y40" s="1">
        <f>_xlfn.XLOOKUP($B40,Sort_Alpha!$B$5:$B$47,Sort_Alpha!Y$5:Y$47,"",0)</f>
        <v>5.8286990648406061E-16</v>
      </c>
      <c r="Z40" s="1">
        <f>_xlfn.XLOOKUP($B40,Sort_Alpha!$B$5:$B$47,Sort_Alpha!Z$5:Z$47,"",0)</f>
        <v>3.3592769026729796E-16</v>
      </c>
      <c r="AA40" s="1">
        <f>_xlfn.XLOOKUP($B40,Sort_Alpha!$B$5:$B$47,Sort_Alpha!AA$5:AA$47,"",0)</f>
        <v>3.4004331566902933E-16</v>
      </c>
      <c r="AB40" s="1">
        <f>_xlfn.XLOOKUP($B40,Sort_Alpha!$B$5:$B$47,Sort_Alpha!AB$5:AB$47,"",0)</f>
        <v>3.9225336296869554E-16</v>
      </c>
      <c r="AC40" s="1">
        <f>_xlfn.XLOOKUP($B40,Sort_Alpha!$B$5:$B$47,Sort_Alpha!AC$5:AC$47,"",0)</f>
        <v>3.8110929358013663E-16</v>
      </c>
      <c r="AD40" s="1">
        <f>_xlfn.XLOOKUP($B40,Sort_Alpha!$B$5:$B$47,Sort_Alpha!AD$5:AD$47,"",0)</f>
        <v>3.6782683706444922E-16</v>
      </c>
      <c r="AE40" s="1">
        <f>_xlfn.XLOOKUP($B40,Sort_Alpha!$B$5:$B$47,Sort_Alpha!AE$5:AE$47,"",0)</f>
        <v>3.7070450763966922E-16</v>
      </c>
      <c r="AF40" s="1">
        <f>_xlfn.XLOOKUP($B40,Sort_Alpha!$B$5:$B$47,Sort_Alpha!AF$5:AF$47,"",0)</f>
        <v>3.7070450763966922E-16</v>
      </c>
      <c r="AG40" s="1">
        <f>_xlfn.XLOOKUP($B40,Sort_Alpha!$B$5:$B$47,Sort_Alpha!AG$5:AG$47,"",0)</f>
        <v>4.0880205947109596E-16</v>
      </c>
      <c r="AH40" s="1">
        <f>_xlfn.XLOOKUP($B40,Sort_Alpha!$B$5:$B$47,Sort_Alpha!AH$5:AH$47,"",0)</f>
        <v>4.4404043649621866E-16</v>
      </c>
      <c r="AI40" s="1">
        <f>_xlfn.XLOOKUP($B40,Sort_Alpha!$B$5:$B$47,Sort_Alpha!AI$5:AI$47,"",0)</f>
        <v>4.4401423307841645E-16</v>
      </c>
      <c r="AJ40" s="1">
        <f>_xlfn.XLOOKUP($B40,Sort_Alpha!$B$5:$B$47,Sort_Alpha!AJ$5:AJ$47,"",0)</f>
        <v>4.4023798789531654E-16</v>
      </c>
      <c r="AK40" s="1">
        <f>_xlfn.XLOOKUP($B40,Sort_Alpha!$B$5:$B$47,Sort_Alpha!AK$5:AK$47,"",0)</f>
        <v>4.4816413059388379E-16</v>
      </c>
      <c r="AL40" s="1">
        <f>_xlfn.XLOOKUP($B40,Sort_Alpha!$B$5:$B$47,Sort_Alpha!AL$5:AL$47,"",0)</f>
        <v>4.0603453661793344E-16</v>
      </c>
      <c r="AM40" s="1">
        <f>_xlfn.XLOOKUP($B40,Sort_Alpha!$B$5:$B$47,Sort_Alpha!AM$5:AM$47,"",0)</f>
        <v>4.7544461073040113E-16</v>
      </c>
      <c r="AN40" s="1">
        <f>_xlfn.XLOOKUP($B40,Sort_Alpha!$B$5:$B$47,Sort_Alpha!AN$5:AN$47,"",0)</f>
        <v>3.7865748550585921E-16</v>
      </c>
      <c r="AO40" s="1">
        <f>_xlfn.XLOOKUP($B40,Sort_Alpha!$B$5:$B$47,Sort_Alpha!AO$5:AO$47,"",0)</f>
        <v>3.7865748550585921E-16</v>
      </c>
      <c r="AP40" s="1">
        <f>_xlfn.XLOOKUP($B40,Sort_Alpha!$B$5:$B$47,Sort_Alpha!AP$5:AP$47,"",0)</f>
        <v>3.7865748550585921E-16</v>
      </c>
      <c r="AQ40" s="1">
        <f>_xlfn.XLOOKUP($B40,Sort_Alpha!$B$5:$B$47,Sort_Alpha!AQ$5:AQ$47,"",0)</f>
        <v>4.1645418137528381E-16</v>
      </c>
      <c r="AR40" s="1">
        <f>_xlfn.XLOOKUP($B40,Sort_Alpha!$B$5:$B$47,Sort_Alpha!AR$5:AR$47,"",0)</f>
        <v>4.1645418137528381E-16</v>
      </c>
      <c r="AS40" s="1">
        <f>_xlfn.XLOOKUP($B40,Sort_Alpha!$B$5:$B$47,Sort_Alpha!AS$5:AS$47,"",0)</f>
        <v>3.4030716675992686E-16</v>
      </c>
      <c r="AT40" s="1">
        <f>_xlfn.XLOOKUP($B40,Sort_Alpha!$B$5:$B$47,Sort_Alpha!AT$5:AT$47,"",0)</f>
        <v>3.4007721225452089E-16</v>
      </c>
      <c r="AU40" s="1">
        <f>_xlfn.XLOOKUP($B40,Sort_Alpha!$B$5:$B$47,Sort_Alpha!AU$5:AU$47,"",0)</f>
        <v>3.0735477549456701E-16</v>
      </c>
      <c r="AV40" s="1">
        <f>_xlfn.XLOOKUP($B40,Sort_Alpha!$B$5:$B$47,Sort_Alpha!AV$5:AV$47,"",0)</f>
        <v>0</v>
      </c>
      <c r="AW40" s="1">
        <f>_xlfn.XLOOKUP($B40,Sort_Alpha!$B$5:$B$47,Sort_Alpha!AW$5:AW$47,"",0)</f>
        <v>3.530886732156503E-16</v>
      </c>
      <c r="AX40" s="1">
        <f>_xlfn.XLOOKUP($B40,Sort_Alpha!$B$5:$B$47,Sort_Alpha!AX$5:AX$47,"",0)</f>
        <v>3.5976795157515323E-16</v>
      </c>
      <c r="AY40" s="1">
        <f>_xlfn.XLOOKUP($B40,Sort_Alpha!$B$5:$B$47,Sort_Alpha!AY$5:AY$47,"",0)</f>
        <v>3.5976795157515323E-16</v>
      </c>
      <c r="AZ40" s="1">
        <f>_xlfn.XLOOKUP($B40,Sort_Alpha!$B$5:$B$47,Sort_Alpha!AZ$5:AZ$47,"",0)</f>
        <v>3.9215415453145223E-16</v>
      </c>
      <c r="BA40" s="1">
        <f>_xlfn.XLOOKUP($B40,Sort_Alpha!$B$5:$B$47,Sort_Alpha!BA$5:BA$47,"",0)</f>
        <v>4.4404051746235641E-16</v>
      </c>
      <c r="BB40" s="1">
        <f>_xlfn.XLOOKUP($B40,Sort_Alpha!$B$5:$B$47,Sort_Alpha!BB$5:BB$47,"",0)</f>
        <v>3.7076963367144866E-16</v>
      </c>
      <c r="BC40" s="1">
        <f>_xlfn.XLOOKUP($B40,Sort_Alpha!$B$5:$B$47,Sort_Alpha!BC$5:BC$47,"",0)</f>
        <v>3.7811798102774568E-16</v>
      </c>
      <c r="BD40" s="1">
        <f>_xlfn.XLOOKUP($B40,Sort_Alpha!$B$5:$B$47,Sort_Alpha!BD$5:BD$47,"",0)</f>
        <v>3.7811798102774568E-16</v>
      </c>
      <c r="BE40" s="1">
        <f>_xlfn.XLOOKUP($B40,Sort_Alpha!$B$5:$B$47,Sort_Alpha!BE$5:BE$47,"",0)</f>
        <v>5.0710309136605202E-16</v>
      </c>
      <c r="BF40" s="1">
        <f>_xlfn.XLOOKUP($B40,Sort_Alpha!$B$5:$B$47,Sort_Alpha!BF$5:BF$47,"",0)</f>
        <v>1.4472060002583155E-14</v>
      </c>
      <c r="BG40" s="1">
        <f>_xlfn.XLOOKUP($B40,Sort_Alpha!$B$5:$B$47,Sort_Alpha!BG$5:BG$47,"",0)</f>
        <v>3.5143292581401363E-16</v>
      </c>
      <c r="BH40" s="1">
        <f>_xlfn.XLOOKUP($B40,Sort_Alpha!$B$5:$B$47,Sort_Alpha!BH$5:BH$47,"",0)</f>
        <v>3.5159764095109179E-16</v>
      </c>
      <c r="BI40" s="1">
        <f>_xlfn.XLOOKUP($B40,Sort_Alpha!$B$5:$B$47,Sort_Alpha!BI$5:BI$47,"",0)</f>
        <v>3.5159764095109179E-16</v>
      </c>
      <c r="BJ40" s="1">
        <f>_xlfn.XLOOKUP($B40,Sort_Alpha!$B$5:$B$47,Sort_Alpha!BJ$5:BJ$47,"",0)</f>
        <v>3.5159764095109179E-16</v>
      </c>
      <c r="BK40" s="1">
        <f>_xlfn.XLOOKUP($B40,Sort_Alpha!$B$5:$B$47,Sort_Alpha!BK$5:BK$47,"",0)</f>
        <v>4.7828809671554861E-16</v>
      </c>
      <c r="BL40" s="1">
        <f>_xlfn.XLOOKUP($B40,Sort_Alpha!$B$5:$B$47,Sort_Alpha!BL$5:BL$47,"",0)</f>
        <v>3.9286135188744546E-16</v>
      </c>
      <c r="BM40" s="1">
        <f>_xlfn.XLOOKUP($B40,Sort_Alpha!$B$5:$B$47,Sort_Alpha!BM$5:BM$47,"",0)</f>
        <v>3.9872620664891948E-16</v>
      </c>
      <c r="BN40" s="1">
        <f>_xlfn.XLOOKUP($B40,Sort_Alpha!$B$5:$B$47,Sort_Alpha!BN$5:BN$47,"",0)</f>
        <v>3.9872620664891948E-16</v>
      </c>
      <c r="BO40" s="1">
        <f>_xlfn.XLOOKUP($B40,Sort_Alpha!$B$5:$B$47,Sort_Alpha!BO$5:BO$47,"",0)</f>
        <v>4.2270319399237472E-16</v>
      </c>
      <c r="BP40" s="1">
        <f>_xlfn.XLOOKUP($B40,Sort_Alpha!$B$5:$B$47,Sort_Alpha!BP$5:BP$47,"",0)</f>
        <v>4.2270319399237472E-16</v>
      </c>
      <c r="BQ40" s="1">
        <f>_xlfn.XLOOKUP($B40,Sort_Alpha!$B$5:$B$47,Sort_Alpha!BQ$5:BQ$47,"",0)</f>
        <v>0</v>
      </c>
      <c r="BR40" s="1">
        <f>_xlfn.XLOOKUP($B40,Sort_Alpha!$B$5:$B$47,Sort_Alpha!BR$5:BR$47,"",0)</f>
        <v>4.3645944543120123E-16</v>
      </c>
      <c r="BS40" s="1">
        <f>_xlfn.XLOOKUP($B40,Sort_Alpha!$B$5:$B$47,Sort_Alpha!BS$5:BS$47,"",0)</f>
        <v>4.873208192375222E-16</v>
      </c>
      <c r="BT40" s="1">
        <f>_xlfn.XLOOKUP($B40,Sort_Alpha!$B$5:$B$47,Sort_Alpha!BT$5:BT$47,"",0)</f>
        <v>3.9872455382253721E-16</v>
      </c>
      <c r="BU40" s="1">
        <f>_xlfn.XLOOKUP($B40,Sort_Alpha!$B$5:$B$47,Sort_Alpha!BU$5:BU$47,"",0)</f>
        <v>3.8112159122338154E-16</v>
      </c>
      <c r="BV40" s="1">
        <f>_xlfn.XLOOKUP($B40,Sort_Alpha!$B$5:$B$47,Sort_Alpha!BV$5:BV$47,"",0)</f>
        <v>4.3420777161519686E-16</v>
      </c>
      <c r="BW40" s="1">
        <f>_xlfn.XLOOKUP($B40,Sort_Alpha!$B$5:$B$47,Sort_Alpha!BW$5:BW$47,"",0)</f>
        <v>4.362423531543039E-16</v>
      </c>
      <c r="BX40" s="1">
        <f>_xlfn.XLOOKUP($B40,Sort_Alpha!$B$5:$B$47,Sort_Alpha!BX$5:BX$47,"",0)</f>
        <v>4.362423531543039E-16</v>
      </c>
      <c r="BY40" s="1">
        <f>_xlfn.XLOOKUP($B40,Sort_Alpha!$B$5:$B$47,Sort_Alpha!BY$5:BY$47,"",0)</f>
        <v>3.1830756864813511E-16</v>
      </c>
      <c r="BZ40" s="1">
        <f>_xlfn.XLOOKUP($B40,Sort_Alpha!$B$5:$B$47,Sort_Alpha!BZ$5:BZ$47,"",0)</f>
        <v>3.8868618089591254E-16</v>
      </c>
      <c r="CA40" s="1">
        <f>_xlfn.XLOOKUP($B40,Sort_Alpha!$B$5:$B$47,Sort_Alpha!CA$5:CA$47,"",0)</f>
        <v>4.108160519414752E-16</v>
      </c>
      <c r="CB40" s="1">
        <f>_xlfn.XLOOKUP($B40,Sort_Alpha!$B$5:$B$47,Sort_Alpha!CB$5:CB$47,"",0)</f>
        <v>3.4341491088280881E-16</v>
      </c>
      <c r="CC40" s="1">
        <f>_xlfn.XLOOKUP($B40,Sort_Alpha!$B$5:$B$47,Sort_Alpha!CC$5:CC$47,"",0)</f>
        <v>4.6284431309148076E-16</v>
      </c>
    </row>
    <row r="41" spans="2:81" x14ac:dyDescent="0.15">
      <c r="B41" t="s">
        <v>31</v>
      </c>
      <c r="C41" s="1">
        <f>_xlfn.XLOOKUP($B41,Sort_Alpha!$B$5:$B$47,Sort_Alpha!C$5:C$47,"",0)</f>
        <v>9.5055962902201785E-16</v>
      </c>
      <c r="D41" s="1">
        <f>_xlfn.XLOOKUP($B41,Sort_Alpha!$B$5:$B$47,Sort_Alpha!D$5:D$47,"",0)</f>
        <v>2.3779820905244289E-15</v>
      </c>
      <c r="E41" s="1">
        <f>_xlfn.XLOOKUP($B41,Sort_Alpha!$B$5:$B$47,Sort_Alpha!E$5:E$47,"",0)</f>
        <v>2.720201651772812E-16</v>
      </c>
      <c r="F41" s="1">
        <f>_xlfn.XLOOKUP($B41,Sort_Alpha!$B$5:$B$47,Sort_Alpha!F$5:F$47,"",0)</f>
        <v>3.3003271244359548E-15</v>
      </c>
      <c r="G41" s="1">
        <f>_xlfn.XLOOKUP($B41,Sort_Alpha!$B$5:$B$47,Sort_Alpha!G$5:G$47,"",0)</f>
        <v>8.4999804522750513E-18</v>
      </c>
      <c r="H41" s="1">
        <f>_xlfn.XLOOKUP($B41,Sort_Alpha!$B$5:$B$47,Sort_Alpha!H$5:H$47,"",0)</f>
        <v>2.1951778329932238E-16</v>
      </c>
      <c r="I41" s="1">
        <f>_xlfn.XLOOKUP($B41,Sort_Alpha!$B$5:$B$47,Sort_Alpha!I$5:I$47,"",0)</f>
        <v>1.4881260485119112E-16</v>
      </c>
      <c r="J41" s="1">
        <f>_xlfn.XLOOKUP($B41,Sort_Alpha!$B$5:$B$47,Sort_Alpha!J$5:J$47,"",0)</f>
        <v>1.4881260485119112E-16</v>
      </c>
      <c r="K41" s="1">
        <f>_xlfn.XLOOKUP($B41,Sort_Alpha!$B$5:$B$47,Sort_Alpha!K$5:K$47,"",0)</f>
        <v>1.4881260485119112E-16</v>
      </c>
      <c r="L41" s="1">
        <f>_xlfn.XLOOKUP($B41,Sort_Alpha!$B$5:$B$47,Sort_Alpha!L$5:L$47,"",0)</f>
        <v>2.720201651772812E-16</v>
      </c>
      <c r="M41" s="1">
        <f>_xlfn.XLOOKUP($B41,Sort_Alpha!$B$5:$B$47,Sort_Alpha!M$5:M$47,"",0)</f>
        <v>2.720201651772812E-16</v>
      </c>
      <c r="N41" s="1">
        <f>_xlfn.XLOOKUP($B41,Sort_Alpha!$B$5:$B$47,Sort_Alpha!N$5:N$47,"",0)</f>
        <v>2.720201651772812E-16</v>
      </c>
      <c r="O41" s="1">
        <f>_xlfn.XLOOKUP($B41,Sort_Alpha!$B$5:$B$47,Sort_Alpha!O$5:O$47,"",0)</f>
        <v>1.1778870689347302E-15</v>
      </c>
      <c r="P41" s="1">
        <f>_xlfn.XLOOKUP($B41,Sort_Alpha!$B$5:$B$47,Sort_Alpha!P$5:P$47,"",0)</f>
        <v>1.3394772332510428E-16</v>
      </c>
      <c r="Q41" s="1">
        <f>_xlfn.XLOOKUP($B41,Sort_Alpha!$B$5:$B$47,Sort_Alpha!Q$5:Q$47,"",0)</f>
        <v>5.4988183306577926E-16</v>
      </c>
      <c r="R41" s="1">
        <f>_xlfn.XLOOKUP($B41,Sort_Alpha!$B$5:$B$47,Sort_Alpha!R$5:R$47,"",0)</f>
        <v>5.4988183306577926E-16</v>
      </c>
      <c r="S41" s="1">
        <f>_xlfn.XLOOKUP($B41,Sort_Alpha!$B$5:$B$47,Sort_Alpha!S$5:S$47,"",0)</f>
        <v>2.9734130060301816E-17</v>
      </c>
      <c r="T41" s="1">
        <f>_xlfn.XLOOKUP($B41,Sort_Alpha!$B$5:$B$47,Sort_Alpha!T$5:T$47,"",0)</f>
        <v>2.4279604349457205E-17</v>
      </c>
      <c r="U41" s="1">
        <f>_xlfn.XLOOKUP($B41,Sort_Alpha!$B$5:$B$47,Sort_Alpha!U$5:U$47,"",0)</f>
        <v>2.4279604349457205E-17</v>
      </c>
      <c r="V41" s="1">
        <f>_xlfn.XLOOKUP($B41,Sort_Alpha!$B$5:$B$47,Sort_Alpha!V$5:V$47,"",0)</f>
        <v>2.4279604349457205E-17</v>
      </c>
      <c r="W41" s="1">
        <f>_xlfn.XLOOKUP($B41,Sort_Alpha!$B$5:$B$47,Sort_Alpha!W$5:W$47,"",0)</f>
        <v>2.4279604349457205E-17</v>
      </c>
      <c r="X41" s="1">
        <f>_xlfn.XLOOKUP($B41,Sort_Alpha!$B$5:$B$47,Sort_Alpha!X$5:X$47,"",0)</f>
        <v>2.4279604349457205E-17</v>
      </c>
      <c r="Y41" s="1">
        <f>_xlfn.XLOOKUP($B41,Sort_Alpha!$B$5:$B$47,Sort_Alpha!Y$5:Y$47,"",0)</f>
        <v>2.4579995067445122E-17</v>
      </c>
      <c r="Z41" s="1">
        <f>_xlfn.XLOOKUP($B41,Sort_Alpha!$B$5:$B$47,Sort_Alpha!Z$5:Z$47,"",0)</f>
        <v>3.3834799289552026E-15</v>
      </c>
      <c r="AA41" s="1">
        <f>_xlfn.XLOOKUP($B41,Sort_Alpha!$B$5:$B$47,Sort_Alpha!AA$5:AA$47,"",0)</f>
        <v>3.7225572559307683E-15</v>
      </c>
      <c r="AB41" s="1">
        <f>_xlfn.XLOOKUP($B41,Sort_Alpha!$B$5:$B$47,Sort_Alpha!AB$5:AB$47,"",0)</f>
        <v>3.9692723259318279E-16</v>
      </c>
      <c r="AC41" s="1">
        <f>_xlfn.XLOOKUP($B41,Sort_Alpha!$B$5:$B$47,Sort_Alpha!AC$5:AC$47,"",0)</f>
        <v>3.9202588863715701E-15</v>
      </c>
      <c r="AD41" s="1">
        <f>_xlfn.XLOOKUP($B41,Sort_Alpha!$B$5:$B$47,Sort_Alpha!AD$5:AD$47,"",0)</f>
        <v>6.8793522584483E-15</v>
      </c>
      <c r="AE41" s="1">
        <f>_xlfn.XLOOKUP($B41,Sort_Alpha!$B$5:$B$47,Sort_Alpha!AE$5:AE$47,"",0)</f>
        <v>7.2538544092333291E-15</v>
      </c>
      <c r="AF41" s="1">
        <f>_xlfn.XLOOKUP($B41,Sort_Alpha!$B$5:$B$47,Sort_Alpha!AF$5:AF$47,"",0)</f>
        <v>7.2538544092333291E-15</v>
      </c>
      <c r="AG41" s="1">
        <f>_xlfn.XLOOKUP($B41,Sort_Alpha!$B$5:$B$47,Sort_Alpha!AG$5:AG$47,"",0)</f>
        <v>1.4962282605838994E-15</v>
      </c>
      <c r="AH41" s="1">
        <f>_xlfn.XLOOKUP($B41,Sort_Alpha!$B$5:$B$47,Sort_Alpha!AH$5:AH$47,"",0)</f>
        <v>2.6790111405213853E-16</v>
      </c>
      <c r="AI41" s="1">
        <f>_xlfn.XLOOKUP($B41,Sort_Alpha!$B$5:$B$47,Sort_Alpha!AI$5:AI$47,"",0)</f>
        <v>2.7667090758854579E-16</v>
      </c>
      <c r="AJ41" s="1">
        <f>_xlfn.XLOOKUP($B41,Sort_Alpha!$B$5:$B$47,Sort_Alpha!AJ$5:AJ$47,"",0)</f>
        <v>3.2794000454161447E-17</v>
      </c>
      <c r="AK41" s="1">
        <f>_xlfn.XLOOKUP($B41,Sort_Alpha!$B$5:$B$47,Sort_Alpha!AK$5:AK$47,"",0)</f>
        <v>4.9874125187316922E-15</v>
      </c>
      <c r="AL41" s="1">
        <f>_xlfn.XLOOKUP($B41,Sort_Alpha!$B$5:$B$47,Sort_Alpha!AL$5:AL$47,"",0)</f>
        <v>1.2584905405823952E-16</v>
      </c>
      <c r="AM41" s="1">
        <f>_xlfn.XLOOKUP($B41,Sort_Alpha!$B$5:$B$47,Sort_Alpha!AM$5:AM$47,"",0)</f>
        <v>8.3429338383812432E-16</v>
      </c>
      <c r="AN41" s="1">
        <f>_xlfn.XLOOKUP($B41,Sort_Alpha!$B$5:$B$47,Sort_Alpha!AN$5:AN$47,"",0)</f>
        <v>2.8765646038524838E-16</v>
      </c>
      <c r="AO41" s="1">
        <f>_xlfn.XLOOKUP($B41,Sort_Alpha!$B$5:$B$47,Sort_Alpha!AO$5:AO$47,"",0)</f>
        <v>2.8765646038524838E-16</v>
      </c>
      <c r="AP41" s="1">
        <f>_xlfn.XLOOKUP($B41,Sort_Alpha!$B$5:$B$47,Sort_Alpha!AP$5:AP$47,"",0)</f>
        <v>2.8765646038524838E-16</v>
      </c>
      <c r="AQ41" s="1">
        <f>_xlfn.XLOOKUP($B41,Sort_Alpha!$B$5:$B$47,Sort_Alpha!AQ$5:AQ$47,"",0)</f>
        <v>3.1416996212310881E-17</v>
      </c>
      <c r="AR41" s="1">
        <f>_xlfn.XLOOKUP($B41,Sort_Alpha!$B$5:$B$47,Sort_Alpha!AR$5:AR$47,"",0)</f>
        <v>3.1416996212310881E-17</v>
      </c>
      <c r="AS41" s="1">
        <f>_xlfn.XLOOKUP($B41,Sort_Alpha!$B$5:$B$47,Sort_Alpha!AS$5:AS$47,"",0)</f>
        <v>4.4893813774500286E-15</v>
      </c>
      <c r="AT41" s="1">
        <f>_xlfn.XLOOKUP($B41,Sort_Alpha!$B$5:$B$47,Sort_Alpha!AT$5:AT$47,"",0)</f>
        <v>7.5284063070252831E-15</v>
      </c>
      <c r="AU41" s="1">
        <f>_xlfn.XLOOKUP($B41,Sort_Alpha!$B$5:$B$47,Sort_Alpha!AU$5:AU$47,"",0)</f>
        <v>1.2019657624195518E-17</v>
      </c>
      <c r="AV41" s="1">
        <f>_xlfn.XLOOKUP($B41,Sort_Alpha!$B$5:$B$47,Sort_Alpha!AV$5:AV$47,"",0)</f>
        <v>0</v>
      </c>
      <c r="AW41" s="1">
        <f>_xlfn.XLOOKUP($B41,Sort_Alpha!$B$5:$B$47,Sort_Alpha!AW$5:AW$47,"",0)</f>
        <v>5.4095026255330723E-15</v>
      </c>
      <c r="AX41" s="1">
        <f>_xlfn.XLOOKUP($B41,Sort_Alpha!$B$5:$B$47,Sort_Alpha!AX$5:AX$47,"",0)</f>
        <v>4.3403077844781308E-15</v>
      </c>
      <c r="AY41" s="1">
        <f>_xlfn.XLOOKUP($B41,Sort_Alpha!$B$5:$B$47,Sort_Alpha!AY$5:AY$47,"",0)</f>
        <v>4.3403077844781308E-15</v>
      </c>
      <c r="AZ41" s="1">
        <f>_xlfn.XLOOKUP($B41,Sort_Alpha!$B$5:$B$47,Sort_Alpha!AZ$5:AZ$47,"",0)</f>
        <v>1.8904839433215655E-15</v>
      </c>
      <c r="BA41" s="1">
        <f>_xlfn.XLOOKUP($B41,Sort_Alpha!$B$5:$B$47,Sort_Alpha!BA$5:BA$47,"",0)</f>
        <v>2.683713054575358E-16</v>
      </c>
      <c r="BB41" s="1">
        <f>_xlfn.XLOOKUP($B41,Sort_Alpha!$B$5:$B$47,Sort_Alpha!BB$5:BB$47,"",0)</f>
        <v>5.1187940573202014E-15</v>
      </c>
      <c r="BC41" s="1">
        <f>_xlfn.XLOOKUP($B41,Sort_Alpha!$B$5:$B$47,Sort_Alpha!BC$5:BC$47,"",0)</f>
        <v>5.5207979864669591E-15</v>
      </c>
      <c r="BD41" s="1">
        <f>_xlfn.XLOOKUP($B41,Sort_Alpha!$B$5:$B$47,Sort_Alpha!BD$5:BD$47,"",0)</f>
        <v>5.5207979864669591E-15</v>
      </c>
      <c r="BE41" s="1">
        <f>_xlfn.XLOOKUP($B41,Sort_Alpha!$B$5:$B$47,Sort_Alpha!BE$5:BE$47,"",0)</f>
        <v>2.4034890735360864E-17</v>
      </c>
      <c r="BF41" s="1">
        <f>_xlfn.XLOOKUP($B41,Sort_Alpha!$B$5:$B$47,Sort_Alpha!BF$5:BF$47,"",0)</f>
        <v>3.7035536443727501E-16</v>
      </c>
      <c r="BG41" s="1">
        <f>_xlfn.XLOOKUP($B41,Sort_Alpha!$B$5:$B$47,Sort_Alpha!BG$5:BG$47,"",0)</f>
        <v>2.3279156782172125E-14</v>
      </c>
      <c r="BH41" s="1">
        <f>_xlfn.XLOOKUP($B41,Sort_Alpha!$B$5:$B$47,Sort_Alpha!BH$5:BH$47,"",0)</f>
        <v>4.477109809951973E-13</v>
      </c>
      <c r="BI41" s="1">
        <f>_xlfn.XLOOKUP($B41,Sort_Alpha!$B$5:$B$47,Sort_Alpha!BI$5:BI$47,"",0)</f>
        <v>5.0407050474875778E-14</v>
      </c>
      <c r="BJ41" s="1">
        <f>_xlfn.XLOOKUP($B41,Sort_Alpha!$B$5:$B$47,Sort_Alpha!BJ$5:BJ$47,"",0)</f>
        <v>1.0598130572706123E-13</v>
      </c>
      <c r="BK41" s="1">
        <f>_xlfn.XLOOKUP($B41,Sort_Alpha!$B$5:$B$47,Sort_Alpha!BK$5:BK$47,"",0)</f>
        <v>1.5691904208808254E-15</v>
      </c>
      <c r="BL41" s="1">
        <f>_xlfn.XLOOKUP($B41,Sort_Alpha!$B$5:$B$47,Sort_Alpha!BL$5:BL$47,"",0)</f>
        <v>2.8775253711453401E-15</v>
      </c>
      <c r="BM41" s="1">
        <f>_xlfn.XLOOKUP($B41,Sort_Alpha!$B$5:$B$47,Sort_Alpha!BM$5:BM$47,"",0)</f>
        <v>4.0247923994033916E-15</v>
      </c>
      <c r="BN41" s="1">
        <f>_xlfn.XLOOKUP($B41,Sort_Alpha!$B$5:$B$47,Sort_Alpha!BN$5:BN$47,"",0)</f>
        <v>4.0247923994033916E-15</v>
      </c>
      <c r="BO41" s="1">
        <f>_xlfn.XLOOKUP($B41,Sort_Alpha!$B$5:$B$47,Sort_Alpha!BO$5:BO$47,"",0)</f>
        <v>3.0567945145928744E-17</v>
      </c>
      <c r="BP41" s="1">
        <f>_xlfn.XLOOKUP($B41,Sort_Alpha!$B$5:$B$47,Sort_Alpha!BP$5:BP$47,"",0)</f>
        <v>3.0567945145928744E-17</v>
      </c>
      <c r="BQ41" s="1">
        <f>_xlfn.XLOOKUP($B41,Sort_Alpha!$B$5:$B$47,Sort_Alpha!BQ$5:BQ$47,"",0)</f>
        <v>0</v>
      </c>
      <c r="BR41" s="1">
        <f>_xlfn.XLOOKUP($B41,Sort_Alpha!$B$5:$B$47,Sort_Alpha!BR$5:BR$47,"",0)</f>
        <v>1.0561872843825145E-16</v>
      </c>
      <c r="BS41" s="1">
        <f>_xlfn.XLOOKUP($B41,Sort_Alpha!$B$5:$B$47,Sort_Alpha!BS$5:BS$47,"",0)</f>
        <v>5.6204953250707193E-17</v>
      </c>
      <c r="BT41" s="1">
        <f>_xlfn.XLOOKUP($B41,Sort_Alpha!$B$5:$B$47,Sort_Alpha!BT$5:BT$47,"",0)</f>
        <v>3.0625626186551359E-17</v>
      </c>
      <c r="BU41" s="1">
        <f>_xlfn.XLOOKUP($B41,Sort_Alpha!$B$5:$B$47,Sort_Alpha!BU$5:BU$47,"",0)</f>
        <v>2.3421022831103332E-17</v>
      </c>
      <c r="BV41" s="1">
        <f>_xlfn.XLOOKUP($B41,Sort_Alpha!$B$5:$B$47,Sort_Alpha!BV$5:BV$47,"",0)</f>
        <v>1.1608255623806579E-15</v>
      </c>
      <c r="BW41" s="1">
        <f>_xlfn.XLOOKUP($B41,Sort_Alpha!$B$5:$B$47,Sort_Alpha!BW$5:BW$47,"",0)</f>
        <v>8.7991642991896708E-16</v>
      </c>
      <c r="BX41" s="1">
        <f>_xlfn.XLOOKUP($B41,Sort_Alpha!$B$5:$B$47,Sort_Alpha!BX$5:BX$47,"",0)</f>
        <v>8.7991642991896708E-16</v>
      </c>
      <c r="BY41" s="1">
        <f>_xlfn.XLOOKUP($B41,Sort_Alpha!$B$5:$B$47,Sort_Alpha!BY$5:BY$47,"",0)</f>
        <v>8.8941212237596322E-15</v>
      </c>
      <c r="BZ41" s="1">
        <f>_xlfn.XLOOKUP($B41,Sort_Alpha!$B$5:$B$47,Sort_Alpha!BZ$5:BZ$47,"",0)</f>
        <v>4.7184177156652916E-15</v>
      </c>
      <c r="CA41" s="1">
        <f>_xlfn.XLOOKUP($B41,Sort_Alpha!$B$5:$B$47,Sort_Alpha!CA$5:CA$47,"",0)</f>
        <v>4.1371153233528952E-15</v>
      </c>
      <c r="CB41" s="1">
        <f>_xlfn.XLOOKUP($B41,Sort_Alpha!$B$5:$B$47,Sort_Alpha!CB$5:CB$47,"",0)</f>
        <v>4.1635524691878976E-15</v>
      </c>
      <c r="CC41" s="1">
        <f>_xlfn.XLOOKUP($B41,Sort_Alpha!$B$5:$B$47,Sort_Alpha!CC$5:CC$47,"",0)</f>
        <v>6.5213519106805156E-16</v>
      </c>
    </row>
    <row r="42" spans="2:81" x14ac:dyDescent="0.15">
      <c r="B42" t="s">
        <v>32</v>
      </c>
      <c r="C42" s="1">
        <f>_xlfn.XLOOKUP($B42,Sort_Alpha!$B$5:$B$47,Sort_Alpha!C$5:C$47,"",0)</f>
        <v>7.3828529142285202E-16</v>
      </c>
      <c r="D42" s="1">
        <f>_xlfn.XLOOKUP($B42,Sort_Alpha!$B$5:$B$47,Sort_Alpha!D$5:D$47,"",0)</f>
        <v>5.9744972518492312E-15</v>
      </c>
      <c r="E42" s="1">
        <f>_xlfn.XLOOKUP($B42,Sort_Alpha!$B$5:$B$47,Sort_Alpha!E$5:E$47,"",0)</f>
        <v>2.7142610728381617E-15</v>
      </c>
      <c r="F42" s="1">
        <f>_xlfn.XLOOKUP($B42,Sort_Alpha!$B$5:$B$47,Sort_Alpha!F$5:F$47,"",0)</f>
        <v>4.7220074340606702E-15</v>
      </c>
      <c r="G42" s="1">
        <f>_xlfn.XLOOKUP($B42,Sort_Alpha!$B$5:$B$47,Sort_Alpha!G$5:G$47,"",0)</f>
        <v>4.5062116998293844E-17</v>
      </c>
      <c r="H42" s="1">
        <f>_xlfn.XLOOKUP($B42,Sort_Alpha!$B$5:$B$47,Sort_Alpha!H$5:H$47,"",0)</f>
        <v>8.9060018611986544E-16</v>
      </c>
      <c r="I42" s="1">
        <f>_xlfn.XLOOKUP($B42,Sort_Alpha!$B$5:$B$47,Sort_Alpha!I$5:I$47,"",0)</f>
        <v>1.104558091956499E-15</v>
      </c>
      <c r="J42" s="1">
        <f>_xlfn.XLOOKUP($B42,Sort_Alpha!$B$5:$B$47,Sort_Alpha!J$5:J$47,"",0)</f>
        <v>1.104558091956499E-15</v>
      </c>
      <c r="K42" s="1">
        <f>_xlfn.XLOOKUP($B42,Sort_Alpha!$B$5:$B$47,Sort_Alpha!K$5:K$47,"",0)</f>
        <v>1.104558091956499E-15</v>
      </c>
      <c r="L42" s="1">
        <f>_xlfn.XLOOKUP($B42,Sort_Alpha!$B$5:$B$47,Sort_Alpha!L$5:L$47,"",0)</f>
        <v>2.7142610728381617E-15</v>
      </c>
      <c r="M42" s="1">
        <f>_xlfn.XLOOKUP($B42,Sort_Alpha!$B$5:$B$47,Sort_Alpha!M$5:M$47,"",0)</f>
        <v>2.7142610728381617E-15</v>
      </c>
      <c r="N42" s="1">
        <f>_xlfn.XLOOKUP($B42,Sort_Alpha!$B$5:$B$47,Sort_Alpha!N$5:N$47,"",0)</f>
        <v>2.7142610728381617E-15</v>
      </c>
      <c r="O42" s="1">
        <f>_xlfn.XLOOKUP($B42,Sort_Alpha!$B$5:$B$47,Sort_Alpha!O$5:O$47,"",0)</f>
        <v>6.9983265581204631E-16</v>
      </c>
      <c r="P42" s="1">
        <f>_xlfn.XLOOKUP($B42,Sort_Alpha!$B$5:$B$47,Sort_Alpha!P$5:P$47,"",0)</f>
        <v>1.9952593073691254E-16</v>
      </c>
      <c r="Q42" s="1">
        <f>_xlfn.XLOOKUP($B42,Sort_Alpha!$B$5:$B$47,Sort_Alpha!Q$5:Q$47,"",0)</f>
        <v>5.3510540478092827E-16</v>
      </c>
      <c r="R42" s="1">
        <f>_xlfn.XLOOKUP($B42,Sort_Alpha!$B$5:$B$47,Sort_Alpha!R$5:R$47,"",0)</f>
        <v>5.3510540478092827E-16</v>
      </c>
      <c r="S42" s="1">
        <f>_xlfn.XLOOKUP($B42,Sort_Alpha!$B$5:$B$47,Sort_Alpha!S$5:S$47,"",0)</f>
        <v>9.5925396652589657E-17</v>
      </c>
      <c r="T42" s="1">
        <f>_xlfn.XLOOKUP($B42,Sort_Alpha!$B$5:$B$47,Sort_Alpha!T$5:T$47,"",0)</f>
        <v>1.3394623698681716E-16</v>
      </c>
      <c r="U42" s="1">
        <f>_xlfn.XLOOKUP($B42,Sort_Alpha!$B$5:$B$47,Sort_Alpha!U$5:U$47,"",0)</f>
        <v>1.3394623698681716E-16</v>
      </c>
      <c r="V42" s="1">
        <f>_xlfn.XLOOKUP($B42,Sort_Alpha!$B$5:$B$47,Sort_Alpha!V$5:V$47,"",0)</f>
        <v>1.3394623698681716E-16</v>
      </c>
      <c r="W42" s="1">
        <f>_xlfn.XLOOKUP($B42,Sort_Alpha!$B$5:$B$47,Sort_Alpha!W$5:W$47,"",0)</f>
        <v>1.3394623698681716E-16</v>
      </c>
      <c r="X42" s="1">
        <f>_xlfn.XLOOKUP($B42,Sort_Alpha!$B$5:$B$47,Sort_Alpha!X$5:X$47,"",0)</f>
        <v>1.3394623698681716E-16</v>
      </c>
      <c r="Y42" s="1">
        <f>_xlfn.XLOOKUP($B42,Sort_Alpha!$B$5:$B$47,Sort_Alpha!Y$5:Y$47,"",0)</f>
        <v>7.7930766564714851E-17</v>
      </c>
      <c r="Z42" s="1">
        <f>_xlfn.XLOOKUP($B42,Sort_Alpha!$B$5:$B$47,Sort_Alpha!Z$5:Z$47,"",0)</f>
        <v>2.4432366363500377E-15</v>
      </c>
      <c r="AA42" s="1">
        <f>_xlfn.XLOOKUP($B42,Sort_Alpha!$B$5:$B$47,Sort_Alpha!AA$5:AA$47,"",0)</f>
        <v>2.4558282428406982E-15</v>
      </c>
      <c r="AB42" s="1">
        <f>_xlfn.XLOOKUP($B42,Sort_Alpha!$B$5:$B$47,Sort_Alpha!AB$5:AB$47,"",0)</f>
        <v>3.0325573712778606E-15</v>
      </c>
      <c r="AC42" s="1">
        <f>_xlfn.XLOOKUP($B42,Sort_Alpha!$B$5:$B$47,Sort_Alpha!AC$5:AC$47,"",0)</f>
        <v>6.0419003056248336E-15</v>
      </c>
      <c r="AD42" s="1">
        <f>_xlfn.XLOOKUP($B42,Sort_Alpha!$B$5:$B$47,Sort_Alpha!AD$5:AD$47,"",0)</f>
        <v>6.5214404372266611E-16</v>
      </c>
      <c r="AE42" s="1">
        <f>_xlfn.XLOOKUP($B42,Sort_Alpha!$B$5:$B$47,Sort_Alpha!AE$5:AE$47,"",0)</f>
        <v>6.3388194339141588E-16</v>
      </c>
      <c r="AF42" s="1">
        <f>_xlfn.XLOOKUP($B42,Sort_Alpha!$B$5:$B$47,Sort_Alpha!AF$5:AF$47,"",0)</f>
        <v>6.3388194339141588E-16</v>
      </c>
      <c r="AG42" s="1">
        <f>_xlfn.XLOOKUP($B42,Sort_Alpha!$B$5:$B$47,Sort_Alpha!AG$5:AG$47,"",0)</f>
        <v>1.9511440472931382E-15</v>
      </c>
      <c r="AH42" s="1">
        <f>_xlfn.XLOOKUP($B42,Sort_Alpha!$B$5:$B$47,Sort_Alpha!AH$5:AH$47,"",0)</f>
        <v>2.6600463835519541E-15</v>
      </c>
      <c r="AI42" s="1">
        <f>_xlfn.XLOOKUP($B42,Sort_Alpha!$B$5:$B$47,Sort_Alpha!AI$5:AI$47,"",0)</f>
        <v>2.8048541731393472E-15</v>
      </c>
      <c r="AJ42" s="1">
        <f>_xlfn.XLOOKUP($B42,Sort_Alpha!$B$5:$B$47,Sort_Alpha!AJ$5:AJ$47,"",0)</f>
        <v>1.8041997906648018E-16</v>
      </c>
      <c r="AK42" s="1">
        <f>_xlfn.XLOOKUP($B42,Sort_Alpha!$B$5:$B$47,Sort_Alpha!AK$5:AK$47,"",0)</f>
        <v>1.7589817800294572E-15</v>
      </c>
      <c r="AL42" s="1">
        <f>_xlfn.XLOOKUP($B42,Sort_Alpha!$B$5:$B$47,Sort_Alpha!AL$5:AL$47,"",0)</f>
        <v>8.6335812920776004E-16</v>
      </c>
      <c r="AM42" s="1">
        <f>_xlfn.XLOOKUP($B42,Sort_Alpha!$B$5:$B$47,Sort_Alpha!AM$5:AM$47,"",0)</f>
        <v>6.4044430346725048E-16</v>
      </c>
      <c r="AN42" s="1">
        <f>_xlfn.XLOOKUP($B42,Sort_Alpha!$B$5:$B$47,Sort_Alpha!AN$5:AN$47,"",0)</f>
        <v>2.2068079577129365E-15</v>
      </c>
      <c r="AO42" s="1">
        <f>_xlfn.XLOOKUP($B42,Sort_Alpha!$B$5:$B$47,Sort_Alpha!AO$5:AO$47,"",0)</f>
        <v>2.2068079577129365E-15</v>
      </c>
      <c r="AP42" s="1">
        <f>_xlfn.XLOOKUP($B42,Sort_Alpha!$B$5:$B$47,Sort_Alpha!AP$5:AP$47,"",0)</f>
        <v>2.2068079577129365E-15</v>
      </c>
      <c r="AQ42" s="1">
        <f>_xlfn.XLOOKUP($B42,Sort_Alpha!$B$5:$B$47,Sort_Alpha!AQ$5:AQ$47,"",0)</f>
        <v>1.3860444753119687E-16</v>
      </c>
      <c r="AR42" s="1">
        <f>_xlfn.XLOOKUP($B42,Sort_Alpha!$B$5:$B$47,Sort_Alpha!AR$5:AR$47,"",0)</f>
        <v>1.3860444753119687E-16</v>
      </c>
      <c r="AS42" s="1">
        <f>_xlfn.XLOOKUP($B42,Sort_Alpha!$B$5:$B$47,Sort_Alpha!AS$5:AS$47,"",0)</f>
        <v>8.9341960894887748E-17</v>
      </c>
      <c r="AT42" s="1">
        <f>_xlfn.XLOOKUP($B42,Sort_Alpha!$B$5:$B$47,Sort_Alpha!AT$5:AT$47,"",0)</f>
        <v>3.0851368072306202E-15</v>
      </c>
      <c r="AU42" s="1">
        <f>_xlfn.XLOOKUP($B42,Sort_Alpha!$B$5:$B$47,Sort_Alpha!AU$5:AU$47,"",0)</f>
        <v>6.4997966073227012E-17</v>
      </c>
      <c r="AV42" s="1">
        <f>_xlfn.XLOOKUP($B42,Sort_Alpha!$B$5:$B$47,Sort_Alpha!AV$5:AV$47,"",0)</f>
        <v>0</v>
      </c>
      <c r="AW42" s="1">
        <f>_xlfn.XLOOKUP($B42,Sort_Alpha!$B$5:$B$47,Sort_Alpha!AW$5:AW$47,"",0)</f>
        <v>1.2767618974604983E-16</v>
      </c>
      <c r="AX42" s="1">
        <f>_xlfn.XLOOKUP($B42,Sort_Alpha!$B$5:$B$47,Sort_Alpha!AX$5:AX$47,"",0)</f>
        <v>1.0761224621926914E-16</v>
      </c>
      <c r="AY42" s="1">
        <f>_xlfn.XLOOKUP($B42,Sort_Alpha!$B$5:$B$47,Sort_Alpha!AY$5:AY$47,"",0)</f>
        <v>1.0761224621926914E-16</v>
      </c>
      <c r="AZ42" s="1">
        <f>_xlfn.XLOOKUP($B42,Sort_Alpha!$B$5:$B$47,Sort_Alpha!AZ$5:AZ$47,"",0)</f>
        <v>1.5447327992842206E-15</v>
      </c>
      <c r="BA42" s="1">
        <f>_xlfn.XLOOKUP($B42,Sort_Alpha!$B$5:$B$47,Sort_Alpha!BA$5:BA$47,"",0)</f>
        <v>2.6735612581028918E-15</v>
      </c>
      <c r="BB42" s="1">
        <f>_xlfn.XLOOKUP($B42,Sort_Alpha!$B$5:$B$47,Sort_Alpha!BB$5:BB$47,"",0)</f>
        <v>3.5119629011842808E-16</v>
      </c>
      <c r="BC42" s="1">
        <f>_xlfn.XLOOKUP($B42,Sort_Alpha!$B$5:$B$47,Sort_Alpha!BC$5:BC$47,"",0)</f>
        <v>3.5306329762256074E-16</v>
      </c>
      <c r="BD42" s="1">
        <f>_xlfn.XLOOKUP($B42,Sort_Alpha!$B$5:$B$47,Sort_Alpha!BD$5:BD$47,"",0)</f>
        <v>3.5306329762256074E-16</v>
      </c>
      <c r="BE42" s="1">
        <f>_xlfn.XLOOKUP($B42,Sort_Alpha!$B$5:$B$47,Sort_Alpha!BE$5:BE$47,"",0)</f>
        <v>1.3329043117550396E-16</v>
      </c>
      <c r="BF42" s="1">
        <f>_xlfn.XLOOKUP($B42,Sort_Alpha!$B$5:$B$47,Sort_Alpha!BF$5:BF$47,"",0)</f>
        <v>4.962961126627923E-16</v>
      </c>
      <c r="BG42" s="1">
        <f>_xlfn.XLOOKUP($B42,Sort_Alpha!$B$5:$B$47,Sort_Alpha!BG$5:BG$47,"",0)</f>
        <v>1.9038379043115727E-15</v>
      </c>
      <c r="BH42" s="1">
        <f>_xlfn.XLOOKUP($B42,Sort_Alpha!$B$5:$B$47,Sort_Alpha!BH$5:BH$47,"",0)</f>
        <v>1.5570931361238091E-15</v>
      </c>
      <c r="BI42" s="1">
        <f>_xlfn.XLOOKUP($B42,Sort_Alpha!$B$5:$B$47,Sort_Alpha!BI$5:BI$47,"",0)</f>
        <v>1.5570931361238091E-15</v>
      </c>
      <c r="BJ42" s="1">
        <f>_xlfn.XLOOKUP($B42,Sort_Alpha!$B$5:$B$47,Sort_Alpha!BJ$5:BJ$47,"",0)</f>
        <v>1.5570931361238091E-15</v>
      </c>
      <c r="BK42" s="1">
        <f>_xlfn.XLOOKUP($B42,Sort_Alpha!$B$5:$B$47,Sort_Alpha!BK$5:BK$47,"",0)</f>
        <v>2.5648728817541064E-13</v>
      </c>
      <c r="BL42" s="1">
        <f>_xlfn.XLOOKUP($B42,Sort_Alpha!$B$5:$B$47,Sort_Alpha!BL$5:BL$47,"",0)</f>
        <v>1.3337264550617886E-14</v>
      </c>
      <c r="BM42" s="1">
        <f>_xlfn.XLOOKUP($B42,Sort_Alpha!$B$5:$B$47,Sort_Alpha!BM$5:BM$47,"",0)</f>
        <v>1.2542468544452859E-14</v>
      </c>
      <c r="BN42" s="1">
        <f>_xlfn.XLOOKUP($B42,Sort_Alpha!$B$5:$B$47,Sort_Alpha!BN$5:BN$47,"",0)</f>
        <v>1.2542468544452859E-14</v>
      </c>
      <c r="BO42" s="1">
        <f>_xlfn.XLOOKUP($B42,Sort_Alpha!$B$5:$B$47,Sort_Alpha!BO$5:BO$47,"",0)</f>
        <v>1.279419889767522E-16</v>
      </c>
      <c r="BP42" s="1">
        <f>_xlfn.XLOOKUP($B42,Sort_Alpha!$B$5:$B$47,Sort_Alpha!BP$5:BP$47,"",0)</f>
        <v>1.279419889767522E-16</v>
      </c>
      <c r="BQ42" s="1">
        <f>_xlfn.XLOOKUP($B42,Sort_Alpha!$B$5:$B$47,Sort_Alpha!BQ$5:BQ$47,"",0)</f>
        <v>0</v>
      </c>
      <c r="BR42" s="1">
        <f>_xlfn.XLOOKUP($B42,Sort_Alpha!$B$5:$B$47,Sort_Alpha!BR$5:BR$47,"",0)</f>
        <v>5.5508124586507888E-16</v>
      </c>
      <c r="BS42" s="1">
        <f>_xlfn.XLOOKUP($B42,Sort_Alpha!$B$5:$B$47,Sort_Alpha!BS$5:BS$47,"",0)</f>
        <v>3.157966839924797E-16</v>
      </c>
      <c r="BT42" s="1">
        <f>_xlfn.XLOOKUP($B42,Sort_Alpha!$B$5:$B$47,Sort_Alpha!BT$5:BT$47,"",0)</f>
        <v>1.4030025332698319E-16</v>
      </c>
      <c r="BU42" s="1">
        <f>_xlfn.XLOOKUP($B42,Sort_Alpha!$B$5:$B$47,Sort_Alpha!BU$5:BU$47,"",0)</f>
        <v>1.169331246674023E-16</v>
      </c>
      <c r="BV42" s="1">
        <f>_xlfn.XLOOKUP($B42,Sort_Alpha!$B$5:$B$47,Sort_Alpha!BV$5:BV$47,"",0)</f>
        <v>8.6654425156858581E-16</v>
      </c>
      <c r="BW42" s="1">
        <f>_xlfn.XLOOKUP($B42,Sort_Alpha!$B$5:$B$47,Sort_Alpha!BW$5:BW$47,"",0)</f>
        <v>5.8199682111854261E-16</v>
      </c>
      <c r="BX42" s="1">
        <f>_xlfn.XLOOKUP($B42,Sort_Alpha!$B$5:$B$47,Sort_Alpha!BX$5:BX$47,"",0)</f>
        <v>5.8199682111854261E-16</v>
      </c>
      <c r="BY42" s="1">
        <f>_xlfn.XLOOKUP($B42,Sort_Alpha!$B$5:$B$47,Sort_Alpha!BY$5:BY$47,"",0)</f>
        <v>9.2969095665942803E-16</v>
      </c>
      <c r="BZ42" s="1">
        <f>_xlfn.XLOOKUP($B42,Sort_Alpha!$B$5:$B$47,Sort_Alpha!BZ$5:BZ$47,"",0)</f>
        <v>9.5794645406123912E-17</v>
      </c>
      <c r="CA42" s="1">
        <f>_xlfn.XLOOKUP($B42,Sort_Alpha!$B$5:$B$47,Sort_Alpha!CA$5:CA$47,"",0)</f>
        <v>9.0172778201898308E-17</v>
      </c>
      <c r="CB42" s="1">
        <f>_xlfn.XLOOKUP($B42,Sort_Alpha!$B$5:$B$47,Sort_Alpha!CB$5:CB$47,"",0)</f>
        <v>9.5710073997512128E-17</v>
      </c>
      <c r="CC42" s="1">
        <f>_xlfn.XLOOKUP($B42,Sort_Alpha!$B$5:$B$47,Sort_Alpha!CC$5:CC$47,"",0)</f>
        <v>4.1945139570844288E-16</v>
      </c>
    </row>
    <row r="43" spans="2:81" x14ac:dyDescent="0.15">
      <c r="B43" t="s">
        <v>33</v>
      </c>
      <c r="C43" s="1">
        <f>_xlfn.XLOOKUP($B43,Sort_Alpha!$B$5:$B$47,Sort_Alpha!C$5:C$47,"",0)</f>
        <v>6.7531530647378017E-16</v>
      </c>
      <c r="D43" s="1">
        <f>_xlfn.XLOOKUP($B43,Sort_Alpha!$B$5:$B$47,Sort_Alpha!D$5:D$47,"",0)</f>
        <v>6.2618156725299965E-15</v>
      </c>
      <c r="E43" s="1">
        <f>_xlfn.XLOOKUP($B43,Sort_Alpha!$B$5:$B$47,Sort_Alpha!E$5:E$47,"",0)</f>
        <v>1.6197218489241177E-15</v>
      </c>
      <c r="F43" s="1">
        <f>_xlfn.XLOOKUP($B43,Sort_Alpha!$B$5:$B$47,Sort_Alpha!F$5:F$47,"",0)</f>
        <v>3.7241297632161379E-15</v>
      </c>
      <c r="G43" s="1">
        <f>_xlfn.XLOOKUP($B43,Sort_Alpha!$B$5:$B$47,Sort_Alpha!G$5:G$47,"",0)</f>
        <v>3.3176452890416878E-17</v>
      </c>
      <c r="H43" s="1">
        <f>_xlfn.XLOOKUP($B43,Sort_Alpha!$B$5:$B$47,Sort_Alpha!H$5:H$47,"",0)</f>
        <v>1.0648256855397674E-15</v>
      </c>
      <c r="I43" s="1">
        <f>_xlfn.XLOOKUP($B43,Sort_Alpha!$B$5:$B$47,Sort_Alpha!I$5:I$47,"",0)</f>
        <v>7.1052318280049435E-16</v>
      </c>
      <c r="J43" s="1">
        <f>_xlfn.XLOOKUP($B43,Sort_Alpha!$B$5:$B$47,Sort_Alpha!J$5:J$47,"",0)</f>
        <v>7.1052318280049435E-16</v>
      </c>
      <c r="K43" s="1">
        <f>_xlfn.XLOOKUP($B43,Sort_Alpha!$B$5:$B$47,Sort_Alpha!K$5:K$47,"",0)</f>
        <v>7.1052318280049435E-16</v>
      </c>
      <c r="L43" s="1">
        <f>_xlfn.XLOOKUP($B43,Sort_Alpha!$B$5:$B$47,Sort_Alpha!L$5:L$47,"",0)</f>
        <v>1.6197218489241177E-15</v>
      </c>
      <c r="M43" s="1">
        <f>_xlfn.XLOOKUP($B43,Sort_Alpha!$B$5:$B$47,Sort_Alpha!M$5:M$47,"",0)</f>
        <v>1.6197218489241177E-15</v>
      </c>
      <c r="N43" s="1">
        <f>_xlfn.XLOOKUP($B43,Sort_Alpha!$B$5:$B$47,Sort_Alpha!N$5:N$47,"",0)</f>
        <v>1.6197218489241177E-15</v>
      </c>
      <c r="O43" s="1">
        <f>_xlfn.XLOOKUP($B43,Sort_Alpha!$B$5:$B$47,Sort_Alpha!O$5:O$47,"",0)</f>
        <v>8.0317024176325593E-16</v>
      </c>
      <c r="P43" s="1">
        <f>_xlfn.XLOOKUP($B43,Sort_Alpha!$B$5:$B$47,Sort_Alpha!P$5:P$47,"",0)</f>
        <v>1.2911969542341248E-16</v>
      </c>
      <c r="Q43" s="1">
        <f>_xlfn.XLOOKUP($B43,Sort_Alpha!$B$5:$B$47,Sort_Alpha!Q$5:Q$47,"",0)</f>
        <v>4.1417096418398222E-16</v>
      </c>
      <c r="R43" s="1">
        <f>_xlfn.XLOOKUP($B43,Sort_Alpha!$B$5:$B$47,Sort_Alpha!R$5:R$47,"",0)</f>
        <v>4.1417096418398222E-16</v>
      </c>
      <c r="S43" s="1">
        <f>_xlfn.XLOOKUP($B43,Sort_Alpha!$B$5:$B$47,Sort_Alpha!S$5:S$47,"",0)</f>
        <v>1.017214890698968E-16</v>
      </c>
      <c r="T43" s="1">
        <f>_xlfn.XLOOKUP($B43,Sort_Alpha!$B$5:$B$47,Sort_Alpha!T$5:T$47,"",0)</f>
        <v>9.577349137410509E-17</v>
      </c>
      <c r="U43" s="1">
        <f>_xlfn.XLOOKUP($B43,Sort_Alpha!$B$5:$B$47,Sort_Alpha!U$5:U$47,"",0)</f>
        <v>9.577349137410509E-17</v>
      </c>
      <c r="V43" s="1">
        <f>_xlfn.XLOOKUP($B43,Sort_Alpha!$B$5:$B$47,Sort_Alpha!V$5:V$47,"",0)</f>
        <v>9.577349137410509E-17</v>
      </c>
      <c r="W43" s="1">
        <f>_xlfn.XLOOKUP($B43,Sort_Alpha!$B$5:$B$47,Sort_Alpha!W$5:W$47,"",0)</f>
        <v>9.577349137410509E-17</v>
      </c>
      <c r="X43" s="1">
        <f>_xlfn.XLOOKUP($B43,Sort_Alpha!$B$5:$B$47,Sort_Alpha!X$5:X$47,"",0)</f>
        <v>9.577349137410509E-17</v>
      </c>
      <c r="Y43" s="1">
        <f>_xlfn.XLOOKUP($B43,Sort_Alpha!$B$5:$B$47,Sort_Alpha!Y$5:Y$47,"",0)</f>
        <v>8.0504019033409638E-17</v>
      </c>
      <c r="Z43" s="1">
        <f>_xlfn.XLOOKUP($B43,Sort_Alpha!$B$5:$B$47,Sort_Alpha!Z$5:Z$47,"",0)</f>
        <v>5.6470154813062645E-15</v>
      </c>
      <c r="AA43" s="1">
        <f>_xlfn.XLOOKUP($B43,Sort_Alpha!$B$5:$B$47,Sort_Alpha!AA$5:AA$47,"",0)</f>
        <v>6.4639987256355233E-15</v>
      </c>
      <c r="AB43" s="1">
        <f>_xlfn.XLOOKUP($B43,Sort_Alpha!$B$5:$B$47,Sort_Alpha!AB$5:AB$47,"",0)</f>
        <v>3.4974928057429376E-15</v>
      </c>
      <c r="AC43" s="1">
        <f>_xlfn.XLOOKUP($B43,Sort_Alpha!$B$5:$B$47,Sort_Alpha!AC$5:AC$47,"",0)</f>
        <v>4.7300123819733838E-15</v>
      </c>
      <c r="AD43" s="1">
        <f>_xlfn.XLOOKUP($B43,Sort_Alpha!$B$5:$B$47,Sort_Alpha!AD$5:AD$47,"",0)</f>
        <v>1.472237372149153E-15</v>
      </c>
      <c r="AE43" s="1">
        <f>_xlfn.XLOOKUP($B43,Sort_Alpha!$B$5:$B$47,Sort_Alpha!AE$5:AE$47,"",0)</f>
        <v>1.4410950501490969E-15</v>
      </c>
      <c r="AF43" s="1">
        <f>_xlfn.XLOOKUP($B43,Sort_Alpha!$B$5:$B$47,Sort_Alpha!AF$5:AF$47,"",0)</f>
        <v>1.4410950501490969E-15</v>
      </c>
      <c r="AG43" s="1">
        <f>_xlfn.XLOOKUP($B43,Sort_Alpha!$B$5:$B$47,Sort_Alpha!AG$5:AG$47,"",0)</f>
        <v>4.5573364835305713E-15</v>
      </c>
      <c r="AH43" s="1">
        <f>_xlfn.XLOOKUP($B43,Sort_Alpha!$B$5:$B$47,Sort_Alpha!AH$5:AH$47,"",0)</f>
        <v>1.589376737672278E-15</v>
      </c>
      <c r="AI43" s="1">
        <f>_xlfn.XLOOKUP($B43,Sort_Alpha!$B$5:$B$47,Sort_Alpha!AI$5:AI$47,"",0)</f>
        <v>1.6376010625126419E-15</v>
      </c>
      <c r="AJ43" s="1">
        <f>_xlfn.XLOOKUP($B43,Sort_Alpha!$B$5:$B$47,Sort_Alpha!AJ$5:AJ$47,"",0)</f>
        <v>1.3269194299922366E-16</v>
      </c>
      <c r="AK43" s="1">
        <f>_xlfn.XLOOKUP($B43,Sort_Alpha!$B$5:$B$47,Sort_Alpha!AK$5:AK$47,"",0)</f>
        <v>3.2445219296791874E-15</v>
      </c>
      <c r="AL43" s="1">
        <f>_xlfn.XLOOKUP($B43,Sort_Alpha!$B$5:$B$47,Sort_Alpha!AL$5:AL$47,"",0)</f>
        <v>5.8623809479865833E-16</v>
      </c>
      <c r="AM43" s="1">
        <f>_xlfn.XLOOKUP($B43,Sort_Alpha!$B$5:$B$47,Sort_Alpha!AM$5:AM$47,"",0)</f>
        <v>5.5061850030024089E-16</v>
      </c>
      <c r="AN43" s="1">
        <f>_xlfn.XLOOKUP($B43,Sort_Alpha!$B$5:$B$47,Sort_Alpha!AN$5:AN$47,"",0)</f>
        <v>2.4224704022575697E-15</v>
      </c>
      <c r="AO43" s="1">
        <f>_xlfn.XLOOKUP($B43,Sort_Alpha!$B$5:$B$47,Sort_Alpha!AO$5:AO$47,"",0)</f>
        <v>2.4224704022575697E-15</v>
      </c>
      <c r="AP43" s="1">
        <f>_xlfn.XLOOKUP($B43,Sort_Alpha!$B$5:$B$47,Sort_Alpha!AP$5:AP$47,"",0)</f>
        <v>2.4224704022575697E-15</v>
      </c>
      <c r="AQ43" s="1">
        <f>_xlfn.XLOOKUP($B43,Sort_Alpha!$B$5:$B$47,Sort_Alpha!AQ$5:AQ$47,"",0)</f>
        <v>1.1965306798370645E-16</v>
      </c>
      <c r="AR43" s="1">
        <f>_xlfn.XLOOKUP($B43,Sort_Alpha!$B$5:$B$47,Sort_Alpha!AR$5:AR$47,"",0)</f>
        <v>1.1965306798370645E-16</v>
      </c>
      <c r="AS43" s="1">
        <f>_xlfn.XLOOKUP($B43,Sort_Alpha!$B$5:$B$47,Sort_Alpha!AS$5:AS$47,"",0)</f>
        <v>1.4649546084007493E-16</v>
      </c>
      <c r="AT43" s="1">
        <f>_xlfn.XLOOKUP($B43,Sort_Alpha!$B$5:$B$47,Sort_Alpha!AT$5:AT$47,"",0)</f>
        <v>1.4987361302051379E-14</v>
      </c>
      <c r="AU43" s="1">
        <f>_xlfn.XLOOKUP($B43,Sort_Alpha!$B$5:$B$47,Sort_Alpha!AU$5:AU$47,"",0)</f>
        <v>4.7329566693593017E-17</v>
      </c>
      <c r="AV43" s="1">
        <f>_xlfn.XLOOKUP($B43,Sort_Alpha!$B$5:$B$47,Sort_Alpha!AV$5:AV$47,"",0)</f>
        <v>0</v>
      </c>
      <c r="AW43" s="1">
        <f>_xlfn.XLOOKUP($B43,Sort_Alpha!$B$5:$B$47,Sort_Alpha!AW$5:AW$47,"",0)</f>
        <v>1.966052236617596E-16</v>
      </c>
      <c r="AX43" s="1">
        <f>_xlfn.XLOOKUP($B43,Sort_Alpha!$B$5:$B$47,Sort_Alpha!AX$5:AX$47,"",0)</f>
        <v>1.7032135072055435E-16</v>
      </c>
      <c r="AY43" s="1">
        <f>_xlfn.XLOOKUP($B43,Sort_Alpha!$B$5:$B$47,Sort_Alpha!AY$5:AY$47,"",0)</f>
        <v>1.7032135072055435E-16</v>
      </c>
      <c r="AZ43" s="1">
        <f>_xlfn.XLOOKUP($B43,Sort_Alpha!$B$5:$B$47,Sort_Alpha!AZ$5:AZ$47,"",0)</f>
        <v>1.1798161358286625E-15</v>
      </c>
      <c r="BA43" s="1">
        <f>_xlfn.XLOOKUP($B43,Sort_Alpha!$B$5:$B$47,Sort_Alpha!BA$5:BA$47,"",0)</f>
        <v>1.5961552830767202E-15</v>
      </c>
      <c r="BB43" s="1">
        <f>_xlfn.XLOOKUP($B43,Sort_Alpha!$B$5:$B$47,Sort_Alpha!BB$5:BB$47,"",0)</f>
        <v>8.6047541826182069E-16</v>
      </c>
      <c r="BC43" s="1">
        <f>_xlfn.XLOOKUP($B43,Sort_Alpha!$B$5:$B$47,Sort_Alpha!BC$5:BC$47,"",0)</f>
        <v>8.6587103014321979E-16</v>
      </c>
      <c r="BD43" s="1">
        <f>_xlfn.XLOOKUP($B43,Sort_Alpha!$B$5:$B$47,Sort_Alpha!BD$5:BD$47,"",0)</f>
        <v>8.6587103014321979E-16</v>
      </c>
      <c r="BE43" s="1">
        <f>_xlfn.XLOOKUP($B43,Sort_Alpha!$B$5:$B$47,Sort_Alpha!BE$5:BE$47,"",0)</f>
        <v>9.7999857053803759E-17</v>
      </c>
      <c r="BF43" s="1">
        <f>_xlfn.XLOOKUP($B43,Sort_Alpha!$B$5:$B$47,Sort_Alpha!BF$5:BF$47,"",0)</f>
        <v>4.1611394033408639E-16</v>
      </c>
      <c r="BG43" s="1">
        <f>_xlfn.XLOOKUP($B43,Sort_Alpha!$B$5:$B$47,Sort_Alpha!BG$5:BG$47,"",0)</f>
        <v>5.3938835890261632E-15</v>
      </c>
      <c r="BH43" s="1">
        <f>_xlfn.XLOOKUP($B43,Sort_Alpha!$B$5:$B$47,Sort_Alpha!BH$5:BH$47,"",0)</f>
        <v>4.0335865629375326E-15</v>
      </c>
      <c r="BI43" s="1">
        <f>_xlfn.XLOOKUP($B43,Sort_Alpha!$B$5:$B$47,Sort_Alpha!BI$5:BI$47,"",0)</f>
        <v>4.0335865629375326E-15</v>
      </c>
      <c r="BJ43" s="1">
        <f>_xlfn.XLOOKUP($B43,Sort_Alpha!$B$5:$B$47,Sort_Alpha!BJ$5:BJ$47,"",0)</f>
        <v>4.0335865629375326E-15</v>
      </c>
      <c r="BK43" s="1">
        <f>_xlfn.XLOOKUP($B43,Sort_Alpha!$B$5:$B$47,Sort_Alpha!BK$5:BK$47,"",0)</f>
        <v>1.2566056376644214E-14</v>
      </c>
      <c r="BL43" s="1">
        <f>_xlfn.XLOOKUP($B43,Sort_Alpha!$B$5:$B$47,Sort_Alpha!BL$5:BL$47,"",0)</f>
        <v>9.3171438805712314E-14</v>
      </c>
      <c r="BM43" s="1">
        <f>_xlfn.XLOOKUP($B43,Sort_Alpha!$B$5:$B$47,Sort_Alpha!BM$5:BM$47,"",0)</f>
        <v>3.9017960621541528E-12</v>
      </c>
      <c r="BN43" s="1">
        <f>_xlfn.XLOOKUP($B43,Sort_Alpha!$B$5:$B$47,Sort_Alpha!BN$5:BN$47,"",0)</f>
        <v>1.8945632778023745E-13</v>
      </c>
      <c r="BO43" s="1">
        <f>_xlfn.XLOOKUP($B43,Sort_Alpha!$B$5:$B$47,Sort_Alpha!BO$5:BO$47,"",0)</f>
        <v>1.1633999600758184E-16</v>
      </c>
      <c r="BP43" s="1">
        <f>_xlfn.XLOOKUP($B43,Sort_Alpha!$B$5:$B$47,Sort_Alpha!BP$5:BP$47,"",0)</f>
        <v>1.1633999600758184E-16</v>
      </c>
      <c r="BQ43" s="1">
        <f>_xlfn.XLOOKUP($B43,Sort_Alpha!$B$5:$B$47,Sort_Alpha!BQ$5:BQ$47,"",0)</f>
        <v>0</v>
      </c>
      <c r="BR43" s="1">
        <f>_xlfn.XLOOKUP($B43,Sort_Alpha!$B$5:$B$47,Sort_Alpha!BR$5:BR$47,"",0)</f>
        <v>4.5643168697864665E-16</v>
      </c>
      <c r="BS43" s="1">
        <f>_xlfn.XLOOKUP($B43,Sort_Alpha!$B$5:$B$47,Sort_Alpha!BS$5:BS$47,"",0)</f>
        <v>2.2817281835543944E-16</v>
      </c>
      <c r="BT43" s="1">
        <f>_xlfn.XLOOKUP($B43,Sort_Alpha!$B$5:$B$47,Sort_Alpha!BT$5:BT$47,"",0)</f>
        <v>1.1609717470909804E-16</v>
      </c>
      <c r="BU43" s="1">
        <f>_xlfn.XLOOKUP($B43,Sort_Alpha!$B$5:$B$47,Sort_Alpha!BU$5:BU$47,"",0)</f>
        <v>9.0984880796918809E-17</v>
      </c>
      <c r="BV43" s="1">
        <f>_xlfn.XLOOKUP($B43,Sort_Alpha!$B$5:$B$47,Sort_Alpha!BV$5:BV$47,"",0)</f>
        <v>6.5074806605475202E-16</v>
      </c>
      <c r="BW43" s="1">
        <f>_xlfn.XLOOKUP($B43,Sort_Alpha!$B$5:$B$47,Sort_Alpha!BW$5:BW$47,"",0)</f>
        <v>5.1210368018711062E-16</v>
      </c>
      <c r="BX43" s="1">
        <f>_xlfn.XLOOKUP($B43,Sort_Alpha!$B$5:$B$47,Sort_Alpha!BX$5:BX$47,"",0)</f>
        <v>5.1210368018711062E-16</v>
      </c>
      <c r="BY43" s="1">
        <f>_xlfn.XLOOKUP($B43,Sort_Alpha!$B$5:$B$47,Sort_Alpha!BY$5:BY$47,"",0)</f>
        <v>2.0516115279065516E-15</v>
      </c>
      <c r="BZ43" s="1">
        <f>_xlfn.XLOOKUP($B43,Sort_Alpha!$B$5:$B$47,Sort_Alpha!BZ$5:BZ$47,"",0)</f>
        <v>1.724400472719954E-16</v>
      </c>
      <c r="CA43" s="1">
        <f>_xlfn.XLOOKUP($B43,Sort_Alpha!$B$5:$B$47,Sort_Alpha!CA$5:CA$47,"",0)</f>
        <v>1.5954407695572116E-16</v>
      </c>
      <c r="CB43" s="1">
        <f>_xlfn.XLOOKUP($B43,Sort_Alpha!$B$5:$B$47,Sort_Alpha!CB$5:CB$47,"",0)</f>
        <v>1.5706338720488863E-16</v>
      </c>
      <c r="CC43" s="1">
        <f>_xlfn.XLOOKUP($B43,Sort_Alpha!$B$5:$B$47,Sort_Alpha!CC$5:CC$47,"",0)</f>
        <v>3.1895591432701858E-16</v>
      </c>
    </row>
    <row r="44" spans="2:81" x14ac:dyDescent="0.15">
      <c r="B44" t="s">
        <v>34</v>
      </c>
      <c r="C44" s="1">
        <f>_xlfn.XLOOKUP($B44,Sort_Alpha!$B$5:$B$47,Sort_Alpha!C$5:C$47,"",0)</f>
        <v>0</v>
      </c>
      <c r="D44" s="1">
        <f>_xlfn.XLOOKUP($B44,Sort_Alpha!$B$5:$B$47,Sort_Alpha!D$5:D$47,"",0)</f>
        <v>0</v>
      </c>
      <c r="E44" s="1">
        <f>_xlfn.XLOOKUP($B44,Sort_Alpha!$B$5:$B$47,Sort_Alpha!E$5:E$47,"",0)</f>
        <v>0</v>
      </c>
      <c r="F44" s="1">
        <f>_xlfn.XLOOKUP($B44,Sort_Alpha!$B$5:$B$47,Sort_Alpha!F$5:F$47,"",0)</f>
        <v>0</v>
      </c>
      <c r="G44" s="1">
        <f>_xlfn.XLOOKUP($B44,Sort_Alpha!$B$5:$B$47,Sort_Alpha!G$5:G$47,"",0)</f>
        <v>0</v>
      </c>
      <c r="H44" s="1">
        <f>_xlfn.XLOOKUP($B44,Sort_Alpha!$B$5:$B$47,Sort_Alpha!H$5:H$47,"",0)</f>
        <v>0</v>
      </c>
      <c r="I44" s="1">
        <f>_xlfn.XLOOKUP($B44,Sort_Alpha!$B$5:$B$47,Sort_Alpha!I$5:I$47,"",0)</f>
        <v>0</v>
      </c>
      <c r="J44" s="1">
        <f>_xlfn.XLOOKUP($B44,Sort_Alpha!$B$5:$B$47,Sort_Alpha!J$5:J$47,"",0)</f>
        <v>0</v>
      </c>
      <c r="K44" s="1">
        <f>_xlfn.XLOOKUP($B44,Sort_Alpha!$B$5:$B$47,Sort_Alpha!K$5:K$47,"",0)</f>
        <v>0</v>
      </c>
      <c r="L44" s="1">
        <f>_xlfn.XLOOKUP($B44,Sort_Alpha!$B$5:$B$47,Sort_Alpha!L$5:L$47,"",0)</f>
        <v>0</v>
      </c>
      <c r="M44" s="1">
        <f>_xlfn.XLOOKUP($B44,Sort_Alpha!$B$5:$B$47,Sort_Alpha!M$5:M$47,"",0)</f>
        <v>0</v>
      </c>
      <c r="N44" s="1">
        <f>_xlfn.XLOOKUP($B44,Sort_Alpha!$B$5:$B$47,Sort_Alpha!N$5:N$47,"",0)</f>
        <v>0</v>
      </c>
      <c r="O44" s="1">
        <f>_xlfn.XLOOKUP($B44,Sort_Alpha!$B$5:$B$47,Sort_Alpha!O$5:O$47,"",0)</f>
        <v>0</v>
      </c>
      <c r="P44" s="1">
        <f>_xlfn.XLOOKUP($B44,Sort_Alpha!$B$5:$B$47,Sort_Alpha!P$5:P$47,"",0)</f>
        <v>0</v>
      </c>
      <c r="Q44" s="1">
        <f>_xlfn.XLOOKUP($B44,Sort_Alpha!$B$5:$B$47,Sort_Alpha!Q$5:Q$47,"",0)</f>
        <v>0</v>
      </c>
      <c r="R44" s="1">
        <f>_xlfn.XLOOKUP($B44,Sort_Alpha!$B$5:$B$47,Sort_Alpha!R$5:R$47,"",0)</f>
        <v>0</v>
      </c>
      <c r="S44" s="1">
        <f>_xlfn.XLOOKUP($B44,Sort_Alpha!$B$5:$B$47,Sort_Alpha!S$5:S$47,"",0)</f>
        <v>0</v>
      </c>
      <c r="T44" s="1">
        <f>_xlfn.XLOOKUP($B44,Sort_Alpha!$B$5:$B$47,Sort_Alpha!T$5:T$47,"",0)</f>
        <v>0</v>
      </c>
      <c r="U44" s="1">
        <f>_xlfn.XLOOKUP($B44,Sort_Alpha!$B$5:$B$47,Sort_Alpha!U$5:U$47,"",0)</f>
        <v>0</v>
      </c>
      <c r="V44" s="1">
        <f>_xlfn.XLOOKUP($B44,Sort_Alpha!$B$5:$B$47,Sort_Alpha!V$5:V$47,"",0)</f>
        <v>0</v>
      </c>
      <c r="W44" s="1">
        <f>_xlfn.XLOOKUP($B44,Sort_Alpha!$B$5:$B$47,Sort_Alpha!W$5:W$47,"",0)</f>
        <v>0</v>
      </c>
      <c r="X44" s="1">
        <f>_xlfn.XLOOKUP($B44,Sort_Alpha!$B$5:$B$47,Sort_Alpha!X$5:X$47,"",0)</f>
        <v>0</v>
      </c>
      <c r="Y44" s="1">
        <f>_xlfn.XLOOKUP($B44,Sort_Alpha!$B$5:$B$47,Sort_Alpha!Y$5:Y$47,"",0)</f>
        <v>0</v>
      </c>
      <c r="Z44" s="1">
        <f>_xlfn.XLOOKUP($B44,Sort_Alpha!$B$5:$B$47,Sort_Alpha!Z$5:Z$47,"",0)</f>
        <v>0</v>
      </c>
      <c r="AA44" s="1">
        <f>_xlfn.XLOOKUP($B44,Sort_Alpha!$B$5:$B$47,Sort_Alpha!AA$5:AA$47,"",0)</f>
        <v>0</v>
      </c>
      <c r="AB44" s="1">
        <f>_xlfn.XLOOKUP($B44,Sort_Alpha!$B$5:$B$47,Sort_Alpha!AB$5:AB$47,"",0)</f>
        <v>0</v>
      </c>
      <c r="AC44" s="1">
        <f>_xlfn.XLOOKUP($B44,Sort_Alpha!$B$5:$B$47,Sort_Alpha!AC$5:AC$47,"",0)</f>
        <v>0</v>
      </c>
      <c r="AD44" s="1">
        <f>_xlfn.XLOOKUP($B44,Sort_Alpha!$B$5:$B$47,Sort_Alpha!AD$5:AD$47,"",0)</f>
        <v>0</v>
      </c>
      <c r="AE44" s="1">
        <f>_xlfn.XLOOKUP($B44,Sort_Alpha!$B$5:$B$47,Sort_Alpha!AE$5:AE$47,"",0)</f>
        <v>0</v>
      </c>
      <c r="AF44" s="1">
        <f>_xlfn.XLOOKUP($B44,Sort_Alpha!$B$5:$B$47,Sort_Alpha!AF$5:AF$47,"",0)</f>
        <v>0</v>
      </c>
      <c r="AG44" s="1">
        <f>_xlfn.XLOOKUP($B44,Sort_Alpha!$B$5:$B$47,Sort_Alpha!AG$5:AG$47,"",0)</f>
        <v>0</v>
      </c>
      <c r="AH44" s="1">
        <f>_xlfn.XLOOKUP($B44,Sort_Alpha!$B$5:$B$47,Sort_Alpha!AH$5:AH$47,"",0)</f>
        <v>0</v>
      </c>
      <c r="AI44" s="1">
        <f>_xlfn.XLOOKUP($B44,Sort_Alpha!$B$5:$B$47,Sort_Alpha!AI$5:AI$47,"",0)</f>
        <v>0</v>
      </c>
      <c r="AJ44" s="1">
        <f>_xlfn.XLOOKUP($B44,Sort_Alpha!$B$5:$B$47,Sort_Alpha!AJ$5:AJ$47,"",0)</f>
        <v>0</v>
      </c>
      <c r="AK44" s="1">
        <f>_xlfn.XLOOKUP($B44,Sort_Alpha!$B$5:$B$47,Sort_Alpha!AK$5:AK$47,"",0)</f>
        <v>0</v>
      </c>
      <c r="AL44" s="1">
        <f>_xlfn.XLOOKUP($B44,Sort_Alpha!$B$5:$B$47,Sort_Alpha!AL$5:AL$47,"",0)</f>
        <v>0</v>
      </c>
      <c r="AM44" s="1">
        <f>_xlfn.XLOOKUP($B44,Sort_Alpha!$B$5:$B$47,Sort_Alpha!AM$5:AM$47,"",0)</f>
        <v>0</v>
      </c>
      <c r="AN44" s="1">
        <f>_xlfn.XLOOKUP($B44,Sort_Alpha!$B$5:$B$47,Sort_Alpha!AN$5:AN$47,"",0)</f>
        <v>0</v>
      </c>
      <c r="AO44" s="1">
        <f>_xlfn.XLOOKUP($B44,Sort_Alpha!$B$5:$B$47,Sort_Alpha!AO$5:AO$47,"",0)</f>
        <v>0</v>
      </c>
      <c r="AP44" s="1">
        <f>_xlfn.XLOOKUP($B44,Sort_Alpha!$B$5:$B$47,Sort_Alpha!AP$5:AP$47,"",0)</f>
        <v>0</v>
      </c>
      <c r="AQ44" s="1">
        <f>_xlfn.XLOOKUP($B44,Sort_Alpha!$B$5:$B$47,Sort_Alpha!AQ$5:AQ$47,"",0)</f>
        <v>0</v>
      </c>
      <c r="AR44" s="1">
        <f>_xlfn.XLOOKUP($B44,Sort_Alpha!$B$5:$B$47,Sort_Alpha!AR$5:AR$47,"",0)</f>
        <v>0</v>
      </c>
      <c r="AS44" s="1">
        <f>_xlfn.XLOOKUP($B44,Sort_Alpha!$B$5:$B$47,Sort_Alpha!AS$5:AS$47,"",0)</f>
        <v>0</v>
      </c>
      <c r="AT44" s="1">
        <f>_xlfn.XLOOKUP($B44,Sort_Alpha!$B$5:$B$47,Sort_Alpha!AT$5:AT$47,"",0)</f>
        <v>0</v>
      </c>
      <c r="AU44" s="1">
        <f>_xlfn.XLOOKUP($B44,Sort_Alpha!$B$5:$B$47,Sort_Alpha!AU$5:AU$47,"",0)</f>
        <v>0</v>
      </c>
      <c r="AV44" s="1">
        <f>_xlfn.XLOOKUP($B44,Sort_Alpha!$B$5:$B$47,Sort_Alpha!AV$5:AV$47,"",0)</f>
        <v>0</v>
      </c>
      <c r="AW44" s="1">
        <f>_xlfn.XLOOKUP($B44,Sort_Alpha!$B$5:$B$47,Sort_Alpha!AW$5:AW$47,"",0)</f>
        <v>0</v>
      </c>
      <c r="AX44" s="1">
        <f>_xlfn.XLOOKUP($B44,Sort_Alpha!$B$5:$B$47,Sort_Alpha!AX$5:AX$47,"",0)</f>
        <v>0</v>
      </c>
      <c r="AY44" s="1">
        <f>_xlfn.XLOOKUP($B44,Sort_Alpha!$B$5:$B$47,Sort_Alpha!AY$5:AY$47,"",0)</f>
        <v>0</v>
      </c>
      <c r="AZ44" s="1">
        <f>_xlfn.XLOOKUP($B44,Sort_Alpha!$B$5:$B$47,Sort_Alpha!AZ$5:AZ$47,"",0)</f>
        <v>0</v>
      </c>
      <c r="BA44" s="1">
        <f>_xlfn.XLOOKUP($B44,Sort_Alpha!$B$5:$B$47,Sort_Alpha!BA$5:BA$47,"",0)</f>
        <v>0</v>
      </c>
      <c r="BB44" s="1">
        <f>_xlfn.XLOOKUP($B44,Sort_Alpha!$B$5:$B$47,Sort_Alpha!BB$5:BB$47,"",0)</f>
        <v>0</v>
      </c>
      <c r="BC44" s="1">
        <f>_xlfn.XLOOKUP($B44,Sort_Alpha!$B$5:$B$47,Sort_Alpha!BC$5:BC$47,"",0)</f>
        <v>0</v>
      </c>
      <c r="BD44" s="1">
        <f>_xlfn.XLOOKUP($B44,Sort_Alpha!$B$5:$B$47,Sort_Alpha!BD$5:BD$47,"",0)</f>
        <v>0</v>
      </c>
      <c r="BE44" s="1">
        <f>_xlfn.XLOOKUP($B44,Sort_Alpha!$B$5:$B$47,Sort_Alpha!BE$5:BE$47,"",0)</f>
        <v>0</v>
      </c>
      <c r="BF44" s="1">
        <f>_xlfn.XLOOKUP($B44,Sort_Alpha!$B$5:$B$47,Sort_Alpha!BF$5:BF$47,"",0)</f>
        <v>0</v>
      </c>
      <c r="BG44" s="1">
        <f>_xlfn.XLOOKUP($B44,Sort_Alpha!$B$5:$B$47,Sort_Alpha!BG$5:BG$47,"",0)</f>
        <v>0</v>
      </c>
      <c r="BH44" s="1">
        <f>_xlfn.XLOOKUP($B44,Sort_Alpha!$B$5:$B$47,Sort_Alpha!BH$5:BH$47,"",0)</f>
        <v>0</v>
      </c>
      <c r="BI44" s="1">
        <f>_xlfn.XLOOKUP($B44,Sort_Alpha!$B$5:$B$47,Sort_Alpha!BI$5:BI$47,"",0)</f>
        <v>0</v>
      </c>
      <c r="BJ44" s="1">
        <f>_xlfn.XLOOKUP($B44,Sort_Alpha!$B$5:$B$47,Sort_Alpha!BJ$5:BJ$47,"",0)</f>
        <v>0</v>
      </c>
      <c r="BK44" s="1">
        <f>_xlfn.XLOOKUP($B44,Sort_Alpha!$B$5:$B$47,Sort_Alpha!BK$5:BK$47,"",0)</f>
        <v>0</v>
      </c>
      <c r="BL44" s="1">
        <f>_xlfn.XLOOKUP($B44,Sort_Alpha!$B$5:$B$47,Sort_Alpha!BL$5:BL$47,"",0)</f>
        <v>0</v>
      </c>
      <c r="BM44" s="1">
        <f>_xlfn.XLOOKUP($B44,Sort_Alpha!$B$5:$B$47,Sort_Alpha!BM$5:BM$47,"",0)</f>
        <v>0</v>
      </c>
      <c r="BN44" s="1">
        <f>_xlfn.XLOOKUP($B44,Sort_Alpha!$B$5:$B$47,Sort_Alpha!BN$5:BN$47,"",0)</f>
        <v>0</v>
      </c>
      <c r="BO44" s="1">
        <f>_xlfn.XLOOKUP($B44,Sort_Alpha!$B$5:$B$47,Sort_Alpha!BO$5:BO$47,"",0)</f>
        <v>0</v>
      </c>
      <c r="BP44" s="1">
        <f>_xlfn.XLOOKUP($B44,Sort_Alpha!$B$5:$B$47,Sort_Alpha!BP$5:BP$47,"",0)</f>
        <v>0</v>
      </c>
      <c r="BQ44" s="1">
        <f>_xlfn.XLOOKUP($B44,Sort_Alpha!$B$5:$B$47,Sort_Alpha!BQ$5:BQ$47,"",0)</f>
        <v>0</v>
      </c>
      <c r="BR44" s="1">
        <f>_xlfn.XLOOKUP($B44,Sort_Alpha!$B$5:$B$47,Sort_Alpha!BR$5:BR$47,"",0)</f>
        <v>0</v>
      </c>
      <c r="BS44" s="1">
        <f>_xlfn.XLOOKUP($B44,Sort_Alpha!$B$5:$B$47,Sort_Alpha!BS$5:BS$47,"",0)</f>
        <v>0</v>
      </c>
      <c r="BT44" s="1">
        <f>_xlfn.XLOOKUP($B44,Sort_Alpha!$B$5:$B$47,Sort_Alpha!BT$5:BT$47,"",0)</f>
        <v>0</v>
      </c>
      <c r="BU44" s="1">
        <f>_xlfn.XLOOKUP($B44,Sort_Alpha!$B$5:$B$47,Sort_Alpha!BU$5:BU$47,"",0)</f>
        <v>0</v>
      </c>
      <c r="BV44" s="1">
        <f>_xlfn.XLOOKUP($B44,Sort_Alpha!$B$5:$B$47,Sort_Alpha!BV$5:BV$47,"",0)</f>
        <v>0</v>
      </c>
      <c r="BW44" s="1">
        <f>_xlfn.XLOOKUP($B44,Sort_Alpha!$B$5:$B$47,Sort_Alpha!BW$5:BW$47,"",0)</f>
        <v>0</v>
      </c>
      <c r="BX44" s="1">
        <f>_xlfn.XLOOKUP($B44,Sort_Alpha!$B$5:$B$47,Sort_Alpha!BX$5:BX$47,"",0)</f>
        <v>0</v>
      </c>
      <c r="BY44" s="1">
        <f>_xlfn.XLOOKUP($B44,Sort_Alpha!$B$5:$B$47,Sort_Alpha!BY$5:BY$47,"",0)</f>
        <v>0</v>
      </c>
      <c r="BZ44" s="1">
        <f>_xlfn.XLOOKUP($B44,Sort_Alpha!$B$5:$B$47,Sort_Alpha!BZ$5:BZ$47,"",0)</f>
        <v>0</v>
      </c>
      <c r="CA44" s="1">
        <f>_xlfn.XLOOKUP($B44,Sort_Alpha!$B$5:$B$47,Sort_Alpha!CA$5:CA$47,"",0)</f>
        <v>0</v>
      </c>
      <c r="CB44" s="1">
        <f>_xlfn.XLOOKUP($B44,Sort_Alpha!$B$5:$B$47,Sort_Alpha!CB$5:CB$47,"",0)</f>
        <v>0</v>
      </c>
      <c r="CC44" s="1">
        <f>_xlfn.XLOOKUP($B44,Sort_Alpha!$B$5:$B$47,Sort_Alpha!CC$5:CC$47,"",0)</f>
        <v>0</v>
      </c>
    </row>
    <row r="45" spans="2:81" x14ac:dyDescent="0.15">
      <c r="B45" t="s">
        <v>35</v>
      </c>
      <c r="C45" s="1">
        <f>_xlfn.XLOOKUP($B45,Sort_Alpha!$B$5:$B$47,Sort_Alpha!C$5:C$47,"",0)</f>
        <v>6.2659980694513161E-16</v>
      </c>
      <c r="D45" s="1">
        <f>_xlfn.XLOOKUP($B45,Sort_Alpha!$B$5:$B$47,Sort_Alpha!D$5:D$47,"",0)</f>
        <v>5.0053303173963148E-16</v>
      </c>
      <c r="E45" s="1">
        <f>_xlfn.XLOOKUP($B45,Sort_Alpha!$B$5:$B$47,Sort_Alpha!E$5:E$47,"",0)</f>
        <v>5.8995952718688619E-15</v>
      </c>
      <c r="F45" s="1">
        <f>_xlfn.XLOOKUP($B45,Sort_Alpha!$B$5:$B$47,Sort_Alpha!F$5:F$47,"",0)</f>
        <v>7.3027757112257525E-16</v>
      </c>
      <c r="G45" s="1">
        <f>_xlfn.XLOOKUP($B45,Sort_Alpha!$B$5:$B$47,Sort_Alpha!G$5:G$47,"",0)</f>
        <v>3.0524945246611628E-16</v>
      </c>
      <c r="H45" s="1">
        <f>_xlfn.XLOOKUP($B45,Sort_Alpha!$B$5:$B$47,Sort_Alpha!H$5:H$47,"",0)</f>
        <v>2.6292287149287325E-15</v>
      </c>
      <c r="I45" s="1">
        <f>_xlfn.XLOOKUP($B45,Sort_Alpha!$B$5:$B$47,Sort_Alpha!I$5:I$47,"",0)</f>
        <v>1.7150896462947135E-14</v>
      </c>
      <c r="J45" s="1">
        <f>_xlfn.XLOOKUP($B45,Sort_Alpha!$B$5:$B$47,Sort_Alpha!J$5:J$47,"",0)</f>
        <v>1.7150896462947135E-14</v>
      </c>
      <c r="K45" s="1">
        <f>_xlfn.XLOOKUP($B45,Sort_Alpha!$B$5:$B$47,Sort_Alpha!K$5:K$47,"",0)</f>
        <v>1.7150896462947135E-14</v>
      </c>
      <c r="L45" s="1">
        <f>_xlfn.XLOOKUP($B45,Sort_Alpha!$B$5:$B$47,Sort_Alpha!L$5:L$47,"",0)</f>
        <v>5.8995952718688619E-15</v>
      </c>
      <c r="M45" s="1">
        <f>_xlfn.XLOOKUP($B45,Sort_Alpha!$B$5:$B$47,Sort_Alpha!M$5:M$47,"",0)</f>
        <v>5.8995952718688619E-15</v>
      </c>
      <c r="N45" s="1">
        <f>_xlfn.XLOOKUP($B45,Sort_Alpha!$B$5:$B$47,Sort_Alpha!N$5:N$47,"",0)</f>
        <v>5.8995952718688619E-15</v>
      </c>
      <c r="O45" s="1">
        <f>_xlfn.XLOOKUP($B45,Sort_Alpha!$B$5:$B$47,Sort_Alpha!O$5:O$47,"",0)</f>
        <v>1.0733184011040212E-15</v>
      </c>
      <c r="P45" s="1">
        <f>_xlfn.XLOOKUP($B45,Sort_Alpha!$B$5:$B$47,Sort_Alpha!P$5:P$47,"",0)</f>
        <v>1.2440562494097615E-16</v>
      </c>
      <c r="Q45" s="1">
        <f>_xlfn.XLOOKUP($B45,Sort_Alpha!$B$5:$B$47,Sort_Alpha!Q$5:Q$47,"",0)</f>
        <v>9.5568375522532756E-16</v>
      </c>
      <c r="R45" s="1">
        <f>_xlfn.XLOOKUP($B45,Sort_Alpha!$B$5:$B$47,Sort_Alpha!R$5:R$47,"",0)</f>
        <v>9.5568375522532756E-16</v>
      </c>
      <c r="S45" s="1">
        <f>_xlfn.XLOOKUP($B45,Sort_Alpha!$B$5:$B$47,Sort_Alpha!S$5:S$47,"",0)</f>
        <v>7.6008729371729381E-16</v>
      </c>
      <c r="T45" s="1">
        <f>_xlfn.XLOOKUP($B45,Sort_Alpha!$B$5:$B$47,Sort_Alpha!T$5:T$47,"",0)</f>
        <v>1.927681754640581E-15</v>
      </c>
      <c r="U45" s="1">
        <f>_xlfn.XLOOKUP($B45,Sort_Alpha!$B$5:$B$47,Sort_Alpha!U$5:U$47,"",0)</f>
        <v>1.927681754640581E-15</v>
      </c>
      <c r="V45" s="1">
        <f>_xlfn.XLOOKUP($B45,Sort_Alpha!$B$5:$B$47,Sort_Alpha!V$5:V$47,"",0)</f>
        <v>1.927681754640581E-15</v>
      </c>
      <c r="W45" s="1">
        <f>_xlfn.XLOOKUP($B45,Sort_Alpha!$B$5:$B$47,Sort_Alpha!W$5:W$47,"",0)</f>
        <v>1.927681754640581E-15</v>
      </c>
      <c r="X45" s="1">
        <f>_xlfn.XLOOKUP($B45,Sort_Alpha!$B$5:$B$47,Sort_Alpha!X$5:X$47,"",0)</f>
        <v>1.927681754640581E-15</v>
      </c>
      <c r="Y45" s="1">
        <f>_xlfn.XLOOKUP($B45,Sort_Alpha!$B$5:$B$47,Sort_Alpha!Y$5:Y$47,"",0)</f>
        <v>4.9126051761367616E-16</v>
      </c>
      <c r="Z45" s="1">
        <f>_xlfn.XLOOKUP($B45,Sort_Alpha!$B$5:$B$47,Sort_Alpha!Z$5:Z$47,"",0)</f>
        <v>4.7683935087794321E-16</v>
      </c>
      <c r="AA45" s="1">
        <f>_xlfn.XLOOKUP($B45,Sort_Alpha!$B$5:$B$47,Sort_Alpha!AA$5:AA$47,"",0)</f>
        <v>4.7755026787566453E-16</v>
      </c>
      <c r="AB45" s="1">
        <f>_xlfn.XLOOKUP($B45,Sort_Alpha!$B$5:$B$47,Sort_Alpha!AB$5:AB$47,"",0)</f>
        <v>7.7284417552977235E-15</v>
      </c>
      <c r="AC45" s="1">
        <f>_xlfn.XLOOKUP($B45,Sort_Alpha!$B$5:$B$47,Sort_Alpha!AC$5:AC$47,"",0)</f>
        <v>2.6548166813869085E-16</v>
      </c>
      <c r="AD45" s="1">
        <f>_xlfn.XLOOKUP($B45,Sort_Alpha!$B$5:$B$47,Sort_Alpha!AD$5:AD$47,"",0)</f>
        <v>5.6126004443398953E-17</v>
      </c>
      <c r="AE45" s="1">
        <f>_xlfn.XLOOKUP($B45,Sort_Alpha!$B$5:$B$47,Sort_Alpha!AE$5:AE$47,"",0)</f>
        <v>5.2889503734414751E-17</v>
      </c>
      <c r="AF45" s="1">
        <f>_xlfn.XLOOKUP($B45,Sort_Alpha!$B$5:$B$47,Sort_Alpha!AF$5:AF$47,"",0)</f>
        <v>5.2875948292511197E-17</v>
      </c>
      <c r="AG45" s="1">
        <f>_xlfn.XLOOKUP($B45,Sort_Alpha!$B$5:$B$47,Sort_Alpha!AG$5:AG$47,"",0)</f>
        <v>7.9089281889659353E-16</v>
      </c>
      <c r="AH45" s="1">
        <f>_xlfn.XLOOKUP($B45,Sort_Alpha!$B$5:$B$47,Sort_Alpha!AH$5:AH$47,"",0)</f>
        <v>6.2749702796706232E-15</v>
      </c>
      <c r="AI45" s="1">
        <f>_xlfn.XLOOKUP($B45,Sort_Alpha!$B$5:$B$47,Sort_Alpha!AI$5:AI$47,"",0)</f>
        <v>5.6984442453360843E-15</v>
      </c>
      <c r="AJ45" s="1">
        <f>_xlfn.XLOOKUP($B45,Sort_Alpha!$B$5:$B$47,Sort_Alpha!AJ$5:AJ$47,"",0)</f>
        <v>3.0242171538309296E-15</v>
      </c>
      <c r="AK45" s="1">
        <f>_xlfn.XLOOKUP($B45,Sort_Alpha!$B$5:$B$47,Sort_Alpha!AK$5:AK$47,"",0)</f>
        <v>4.4349468800661544E-15</v>
      </c>
      <c r="AL45" s="1">
        <f>_xlfn.XLOOKUP($B45,Sort_Alpha!$B$5:$B$47,Sort_Alpha!AL$5:AL$47,"",0)</f>
        <v>1.9606235399508638E-14</v>
      </c>
      <c r="AM45" s="1">
        <f>_xlfn.XLOOKUP($B45,Sort_Alpha!$B$5:$B$47,Sort_Alpha!AM$5:AM$47,"",0)</f>
        <v>6.738028500164445E-16</v>
      </c>
      <c r="AN45" s="1">
        <f>_xlfn.XLOOKUP($B45,Sort_Alpha!$B$5:$B$47,Sort_Alpha!AN$5:AN$47,"",0)</f>
        <v>1.0354815482623783E-14</v>
      </c>
      <c r="AO45" s="1">
        <f>_xlfn.XLOOKUP($B45,Sort_Alpha!$B$5:$B$47,Sort_Alpha!AO$5:AO$47,"",0)</f>
        <v>1.0354815482623783E-14</v>
      </c>
      <c r="AP45" s="1">
        <f>_xlfn.XLOOKUP($B45,Sort_Alpha!$B$5:$B$47,Sort_Alpha!AP$5:AP$47,"",0)</f>
        <v>1.0354815482623783E-14</v>
      </c>
      <c r="AQ45" s="1">
        <f>_xlfn.XLOOKUP($B45,Sort_Alpha!$B$5:$B$47,Sort_Alpha!AQ$5:AQ$47,"",0)</f>
        <v>1.687021621364972E-15</v>
      </c>
      <c r="AR45" s="1">
        <f>_xlfn.XLOOKUP($B45,Sort_Alpha!$B$5:$B$47,Sort_Alpha!AR$5:AR$47,"",0)</f>
        <v>1.687021621364972E-15</v>
      </c>
      <c r="AS45" s="1">
        <f>_xlfn.XLOOKUP($B45,Sort_Alpha!$B$5:$B$47,Sort_Alpha!AS$5:AS$47,"",0)</f>
        <v>1.1025289407251455E-17</v>
      </c>
      <c r="AT45" s="1">
        <f>_xlfn.XLOOKUP($B45,Sort_Alpha!$B$5:$B$47,Sort_Alpha!AT$5:AT$47,"",0)</f>
        <v>2.9066764100910291E-16</v>
      </c>
      <c r="AU45" s="1">
        <f>_xlfn.XLOOKUP($B45,Sort_Alpha!$B$5:$B$47,Sort_Alpha!AU$5:AU$47,"",0)</f>
        <v>6.6691045559690417E-16</v>
      </c>
      <c r="AV45" s="1">
        <f>_xlfn.XLOOKUP($B45,Sort_Alpha!$B$5:$B$47,Sort_Alpha!AV$5:AV$47,"",0)</f>
        <v>0</v>
      </c>
      <c r="AW45" s="1">
        <f>_xlfn.XLOOKUP($B45,Sort_Alpha!$B$5:$B$47,Sort_Alpha!AW$5:AW$47,"",0)</f>
        <v>1.5812024159198684E-17</v>
      </c>
      <c r="AX45" s="1">
        <f>_xlfn.XLOOKUP($B45,Sort_Alpha!$B$5:$B$47,Sort_Alpha!AX$5:AX$47,"",0)</f>
        <v>1.358625165170917E-17</v>
      </c>
      <c r="AY45" s="1">
        <f>_xlfn.XLOOKUP($B45,Sort_Alpha!$B$5:$B$47,Sort_Alpha!AY$5:AY$47,"",0)</f>
        <v>1.358625165170917E-17</v>
      </c>
      <c r="AZ45" s="1">
        <f>_xlfn.XLOOKUP($B45,Sort_Alpha!$B$5:$B$47,Sort_Alpha!AZ$5:AZ$47,"",0)</f>
        <v>2.6140916489411968E-15</v>
      </c>
      <c r="BA45" s="1">
        <f>_xlfn.XLOOKUP($B45,Sort_Alpha!$B$5:$B$47,Sort_Alpha!BA$5:BA$47,"",0)</f>
        <v>5.9749501588450577E-15</v>
      </c>
      <c r="BB45" s="1">
        <f>_xlfn.XLOOKUP($B45,Sort_Alpha!$B$5:$B$47,Sort_Alpha!BB$5:BB$47,"",0)</f>
        <v>8.7234188285709541E-17</v>
      </c>
      <c r="BC45" s="1">
        <f>_xlfn.XLOOKUP($B45,Sort_Alpha!$B$5:$B$47,Sort_Alpha!BC$5:BC$47,"",0)</f>
        <v>7.7544064540835012E-17</v>
      </c>
      <c r="BD45" s="1">
        <f>_xlfn.XLOOKUP($B45,Sort_Alpha!$B$5:$B$47,Sort_Alpha!BD$5:BD$47,"",0)</f>
        <v>7.7544064540835012E-17</v>
      </c>
      <c r="BE45" s="1">
        <f>_xlfn.XLOOKUP($B45,Sort_Alpha!$B$5:$B$47,Sort_Alpha!BE$5:BE$47,"",0)</f>
        <v>1.4051275262876587E-15</v>
      </c>
      <c r="BF45" s="1">
        <f>_xlfn.XLOOKUP($B45,Sort_Alpha!$B$5:$B$47,Sort_Alpha!BF$5:BF$47,"",0)</f>
        <v>4.4827882868737467E-16</v>
      </c>
      <c r="BG45" s="1">
        <f>_xlfn.XLOOKUP($B45,Sort_Alpha!$B$5:$B$47,Sort_Alpha!BG$5:BG$47,"",0)</f>
        <v>1.2579692740064923E-16</v>
      </c>
      <c r="BH45" s="1">
        <f>_xlfn.XLOOKUP($B45,Sort_Alpha!$B$5:$B$47,Sort_Alpha!BH$5:BH$47,"",0)</f>
        <v>1.0625981131671244E-16</v>
      </c>
      <c r="BI45" s="1">
        <f>_xlfn.XLOOKUP($B45,Sort_Alpha!$B$5:$B$47,Sort_Alpha!BI$5:BI$47,"",0)</f>
        <v>1.0625981131671244E-16</v>
      </c>
      <c r="BJ45" s="1">
        <f>_xlfn.XLOOKUP($B45,Sort_Alpha!$B$5:$B$47,Sort_Alpha!BJ$5:BJ$47,"",0)</f>
        <v>1.0625981131671244E-16</v>
      </c>
      <c r="BK45" s="1">
        <f>_xlfn.XLOOKUP($B45,Sort_Alpha!$B$5:$B$47,Sort_Alpha!BK$5:BK$47,"",0)</f>
        <v>5.5800077272397374E-16</v>
      </c>
      <c r="BL45" s="1">
        <f>_xlfn.XLOOKUP($B45,Sort_Alpha!$B$5:$B$47,Sort_Alpha!BL$5:BL$47,"",0)</f>
        <v>5.3165732417288036E-16</v>
      </c>
      <c r="BM45" s="1">
        <f>_xlfn.XLOOKUP($B45,Sort_Alpha!$B$5:$B$47,Sort_Alpha!BM$5:BM$47,"",0)</f>
        <v>4.5044407851760526E-16</v>
      </c>
      <c r="BN45" s="1">
        <f>_xlfn.XLOOKUP($B45,Sort_Alpha!$B$5:$B$47,Sort_Alpha!BN$5:BN$47,"",0)</f>
        <v>4.5044407851760526E-16</v>
      </c>
      <c r="BO45" s="1">
        <f>_xlfn.XLOOKUP($B45,Sort_Alpha!$B$5:$B$47,Sort_Alpha!BO$5:BO$47,"",0)</f>
        <v>1.4442172787429629E-15</v>
      </c>
      <c r="BP45" s="1">
        <f>_xlfn.XLOOKUP($B45,Sort_Alpha!$B$5:$B$47,Sort_Alpha!BP$5:BP$47,"",0)</f>
        <v>1.4442172787429629E-15</v>
      </c>
      <c r="BQ45" s="1">
        <f>_xlfn.XLOOKUP($B45,Sort_Alpha!$B$5:$B$47,Sort_Alpha!BQ$5:BQ$47,"",0)</f>
        <v>0</v>
      </c>
      <c r="BR45" s="1">
        <f>_xlfn.XLOOKUP($B45,Sort_Alpha!$B$5:$B$47,Sort_Alpha!BR$5:BR$47,"",0)</f>
        <v>2.0156609727073898E-12</v>
      </c>
      <c r="BS45" s="1">
        <f>_xlfn.XLOOKUP($B45,Sort_Alpha!$B$5:$B$47,Sort_Alpha!BS$5:BS$47,"",0)</f>
        <v>1.9548098658448659E-14</v>
      </c>
      <c r="BT45" s="1">
        <f>_xlfn.XLOOKUP($B45,Sort_Alpha!$B$5:$B$47,Sort_Alpha!BT$5:BT$47,"",0)</f>
        <v>1.731475209328744E-15</v>
      </c>
      <c r="BU45" s="1">
        <f>_xlfn.XLOOKUP($B45,Sort_Alpha!$B$5:$B$47,Sort_Alpha!BU$5:BU$47,"",0)</f>
        <v>1.2137326556403007E-15</v>
      </c>
      <c r="BV45" s="1">
        <f>_xlfn.XLOOKUP($B45,Sort_Alpha!$B$5:$B$47,Sort_Alpha!BV$5:BV$47,"",0)</f>
        <v>1.4730206091273503E-15</v>
      </c>
      <c r="BW45" s="1">
        <f>_xlfn.XLOOKUP($B45,Sort_Alpha!$B$5:$B$47,Sort_Alpha!BW$5:BW$47,"",0)</f>
        <v>1.1212417872433279E-15</v>
      </c>
      <c r="BX45" s="1">
        <f>_xlfn.XLOOKUP($B45,Sort_Alpha!$B$5:$B$47,Sort_Alpha!BX$5:BX$47,"",0)</f>
        <v>1.1212417872433279E-15</v>
      </c>
      <c r="BY45" s="1">
        <f>_xlfn.XLOOKUP($B45,Sort_Alpha!$B$5:$B$47,Sort_Alpha!BY$5:BY$47,"",0)</f>
        <v>1.0132414376361322E-16</v>
      </c>
      <c r="BZ45" s="1">
        <f>_xlfn.XLOOKUP($B45,Sort_Alpha!$B$5:$B$47,Sort_Alpha!BZ$5:BZ$47,"",0)</f>
        <v>1.4032692469185847E-17</v>
      </c>
      <c r="CA45" s="1">
        <f>_xlfn.XLOOKUP($B45,Sort_Alpha!$B$5:$B$47,Sort_Alpha!CA$5:CA$47,"",0)</f>
        <v>1.3562058231661177E-17</v>
      </c>
      <c r="CB45" s="1">
        <f>_xlfn.XLOOKUP($B45,Sort_Alpha!$B$5:$B$47,Sort_Alpha!CB$5:CB$47,"",0)</f>
        <v>1.2604228091989686E-17</v>
      </c>
      <c r="CC45" s="1">
        <f>_xlfn.XLOOKUP($B45,Sort_Alpha!$B$5:$B$47,Sort_Alpha!CC$5:CC$47,"",0)</f>
        <v>7.4489506961767288E-16</v>
      </c>
    </row>
    <row r="46" spans="2:81" x14ac:dyDescent="0.15">
      <c r="B46" t="s">
        <v>36</v>
      </c>
      <c r="C46" s="1">
        <f>_xlfn.XLOOKUP($B46,Sort_Alpha!$B$5:$B$47,Sort_Alpha!C$5:C$47,"",0)</f>
        <v>5.9090763324140136E-16</v>
      </c>
      <c r="D46" s="1">
        <f>_xlfn.XLOOKUP($B46,Sort_Alpha!$B$5:$B$47,Sort_Alpha!D$5:D$47,"",0)</f>
        <v>2.5042014019253266E-16</v>
      </c>
      <c r="E46" s="1">
        <f>_xlfn.XLOOKUP($B46,Sort_Alpha!$B$5:$B$47,Sort_Alpha!E$5:E$47,"",0)</f>
        <v>2.6188527422049734E-15</v>
      </c>
      <c r="F46" s="1">
        <f>_xlfn.XLOOKUP($B46,Sort_Alpha!$B$5:$B$47,Sort_Alpha!F$5:F$47,"",0)</f>
        <v>2.3502197072433352E-15</v>
      </c>
      <c r="G46" s="1">
        <f>_xlfn.XLOOKUP($B46,Sort_Alpha!$B$5:$B$47,Sort_Alpha!G$5:G$47,"",0)</f>
        <v>6.5921076270431337E-16</v>
      </c>
      <c r="H46" s="1">
        <f>_xlfn.XLOOKUP($B46,Sort_Alpha!$B$5:$B$47,Sort_Alpha!H$5:H$47,"",0)</f>
        <v>1.1265990868913636E-15</v>
      </c>
      <c r="I46" s="1">
        <f>_xlfn.XLOOKUP($B46,Sort_Alpha!$B$5:$B$47,Sort_Alpha!I$5:I$47,"",0)</f>
        <v>3.0869127523519283E-14</v>
      </c>
      <c r="J46" s="1">
        <f>_xlfn.XLOOKUP($B46,Sort_Alpha!$B$5:$B$47,Sort_Alpha!J$5:J$47,"",0)</f>
        <v>3.0869127523519283E-14</v>
      </c>
      <c r="K46" s="1">
        <f>_xlfn.XLOOKUP($B46,Sort_Alpha!$B$5:$B$47,Sort_Alpha!K$5:K$47,"",0)</f>
        <v>3.0869127523519283E-14</v>
      </c>
      <c r="L46" s="1">
        <f>_xlfn.XLOOKUP($B46,Sort_Alpha!$B$5:$B$47,Sort_Alpha!L$5:L$47,"",0)</f>
        <v>2.6188527422049734E-15</v>
      </c>
      <c r="M46" s="1">
        <f>_xlfn.XLOOKUP($B46,Sort_Alpha!$B$5:$B$47,Sort_Alpha!M$5:M$47,"",0)</f>
        <v>2.6188527422049734E-15</v>
      </c>
      <c r="N46" s="1">
        <f>_xlfn.XLOOKUP($B46,Sort_Alpha!$B$5:$B$47,Sort_Alpha!N$5:N$47,"",0)</f>
        <v>2.6188527422049734E-15</v>
      </c>
      <c r="O46" s="1">
        <f>_xlfn.XLOOKUP($B46,Sort_Alpha!$B$5:$B$47,Sort_Alpha!O$5:O$47,"",0)</f>
        <v>1.2593781666626588E-15</v>
      </c>
      <c r="P46" s="1">
        <f>_xlfn.XLOOKUP($B46,Sort_Alpha!$B$5:$B$47,Sort_Alpha!P$5:P$47,"",0)</f>
        <v>8.0603313477494176E-17</v>
      </c>
      <c r="Q46" s="1">
        <f>_xlfn.XLOOKUP($B46,Sort_Alpha!$B$5:$B$47,Sort_Alpha!Q$5:Q$47,"",0)</f>
        <v>1.0025763189388934E-15</v>
      </c>
      <c r="R46" s="1">
        <f>_xlfn.XLOOKUP($B46,Sort_Alpha!$B$5:$B$47,Sort_Alpha!R$5:R$47,"",0)</f>
        <v>1.0025763189388934E-15</v>
      </c>
      <c r="S46" s="1">
        <f>_xlfn.XLOOKUP($B46,Sort_Alpha!$B$5:$B$47,Sort_Alpha!S$5:S$47,"",0)</f>
        <v>1.1638047453659199E-15</v>
      </c>
      <c r="T46" s="1">
        <f>_xlfn.XLOOKUP($B46,Sort_Alpha!$B$5:$B$47,Sort_Alpha!T$5:T$47,"",0)</f>
        <v>7.4654026617682377E-15</v>
      </c>
      <c r="U46" s="1">
        <f>_xlfn.XLOOKUP($B46,Sort_Alpha!$B$5:$B$47,Sort_Alpha!U$5:U$47,"",0)</f>
        <v>7.4654026617682377E-15</v>
      </c>
      <c r="V46" s="1">
        <f>_xlfn.XLOOKUP($B46,Sort_Alpha!$B$5:$B$47,Sort_Alpha!V$5:V$47,"",0)</f>
        <v>7.4654026617682377E-15</v>
      </c>
      <c r="W46" s="1">
        <f>_xlfn.XLOOKUP($B46,Sort_Alpha!$B$5:$B$47,Sort_Alpha!W$5:W$47,"",0)</f>
        <v>7.4654026617682377E-15</v>
      </c>
      <c r="X46" s="1">
        <f>_xlfn.XLOOKUP($B46,Sort_Alpha!$B$5:$B$47,Sort_Alpha!X$5:X$47,"",0)</f>
        <v>7.4654026617682377E-15</v>
      </c>
      <c r="Y46" s="1">
        <f>_xlfn.XLOOKUP($B46,Sort_Alpha!$B$5:$B$47,Sort_Alpha!Y$5:Y$47,"",0)</f>
        <v>7.4047500174358116E-16</v>
      </c>
      <c r="Z46" s="1">
        <f>_xlfn.XLOOKUP($B46,Sort_Alpha!$B$5:$B$47,Sort_Alpha!Z$5:Z$47,"",0)</f>
        <v>2.3120112184394569E-16</v>
      </c>
      <c r="AA46" s="1">
        <f>_xlfn.XLOOKUP($B46,Sort_Alpha!$B$5:$B$47,Sort_Alpha!AA$5:AA$47,"",0)</f>
        <v>2.4036657642087844E-16</v>
      </c>
      <c r="AB46" s="1">
        <f>_xlfn.XLOOKUP($B46,Sort_Alpha!$B$5:$B$47,Sort_Alpha!AB$5:AB$47,"",0)</f>
        <v>1.7753419374963945E-15</v>
      </c>
      <c r="AC46" s="1">
        <f>_xlfn.XLOOKUP($B46,Sort_Alpha!$B$5:$B$47,Sort_Alpha!AC$5:AC$47,"",0)</f>
        <v>1.3755843675330099E-16</v>
      </c>
      <c r="AD46" s="1">
        <f>_xlfn.XLOOKUP($B46,Sort_Alpha!$B$5:$B$47,Sort_Alpha!AD$5:AD$47,"",0)</f>
        <v>3.1403684193716262E-17</v>
      </c>
      <c r="AE46" s="1">
        <f>_xlfn.XLOOKUP($B46,Sort_Alpha!$B$5:$B$47,Sort_Alpha!AE$5:AE$47,"",0)</f>
        <v>2.8602468348907886E-17</v>
      </c>
      <c r="AF46" s="1">
        <f>_xlfn.XLOOKUP($B46,Sort_Alpha!$B$5:$B$47,Sort_Alpha!AF$5:AF$47,"",0)</f>
        <v>2.8602468348907886E-17</v>
      </c>
      <c r="AG46" s="1">
        <f>_xlfn.XLOOKUP($B46,Sort_Alpha!$B$5:$B$47,Sort_Alpha!AG$5:AG$47,"",0)</f>
        <v>3.7854088327111368E-16</v>
      </c>
      <c r="AH46" s="1">
        <f>_xlfn.XLOOKUP($B46,Sort_Alpha!$B$5:$B$47,Sort_Alpha!AH$5:AH$47,"",0)</f>
        <v>3.5611197974536081E-15</v>
      </c>
      <c r="AI46" s="1">
        <f>_xlfn.XLOOKUP($B46,Sort_Alpha!$B$5:$B$47,Sort_Alpha!AI$5:AI$47,"",0)</f>
        <v>2.5270081106743191E-15</v>
      </c>
      <c r="AJ46" s="1">
        <f>_xlfn.XLOOKUP($B46,Sort_Alpha!$B$5:$B$47,Sort_Alpha!AJ$5:AJ$47,"",0)</f>
        <v>1.3057752641931438E-14</v>
      </c>
      <c r="AK46" s="1">
        <f>_xlfn.XLOOKUP($B46,Sort_Alpha!$B$5:$B$47,Sort_Alpha!AK$5:AK$47,"",0)</f>
        <v>3.0882487336020326E-15</v>
      </c>
      <c r="AL46" s="1">
        <f>_xlfn.XLOOKUP($B46,Sort_Alpha!$B$5:$B$47,Sort_Alpha!AL$5:AL$47,"",0)</f>
        <v>5.4051097966671509E-14</v>
      </c>
      <c r="AM46" s="1">
        <f>_xlfn.XLOOKUP($B46,Sort_Alpha!$B$5:$B$47,Sort_Alpha!AM$5:AM$47,"",0)</f>
        <v>9.0568138132820383E-16</v>
      </c>
      <c r="AN46" s="1">
        <f>_xlfn.XLOOKUP($B46,Sort_Alpha!$B$5:$B$47,Sort_Alpha!AN$5:AN$47,"",0)</f>
        <v>2.2322428784125854E-14</v>
      </c>
      <c r="AO46" s="1">
        <f>_xlfn.XLOOKUP($B46,Sort_Alpha!$B$5:$B$47,Sort_Alpha!AO$5:AO$47,"",0)</f>
        <v>2.2322428784125854E-14</v>
      </c>
      <c r="AP46" s="1">
        <f>_xlfn.XLOOKUP($B46,Sort_Alpha!$B$5:$B$47,Sort_Alpha!AP$5:AP$47,"",0)</f>
        <v>2.2322428784125854E-14</v>
      </c>
      <c r="AQ46" s="1">
        <f>_xlfn.XLOOKUP($B46,Sort_Alpha!$B$5:$B$47,Sort_Alpha!AQ$5:AQ$47,"",0)</f>
        <v>4.4722243152140992E-15</v>
      </c>
      <c r="AR46" s="1">
        <f>_xlfn.XLOOKUP($B46,Sort_Alpha!$B$5:$B$47,Sort_Alpha!AR$5:AR$47,"",0)</f>
        <v>4.4722243152140992E-15</v>
      </c>
      <c r="AS46" s="1">
        <f>_xlfn.XLOOKUP($B46,Sort_Alpha!$B$5:$B$47,Sort_Alpha!AS$5:AS$47,"",0)</f>
        <v>5.373603806278027E-18</v>
      </c>
      <c r="AT46" s="1">
        <f>_xlfn.XLOOKUP($B46,Sort_Alpha!$B$5:$B$47,Sort_Alpha!AT$5:AT$47,"",0)</f>
        <v>1.4462741356828899E-16</v>
      </c>
      <c r="AU46" s="1">
        <f>_xlfn.XLOOKUP($B46,Sort_Alpha!$B$5:$B$47,Sort_Alpha!AU$5:AU$47,"",0)</f>
        <v>1.4878725853613271E-15</v>
      </c>
      <c r="AV46" s="1">
        <f>_xlfn.XLOOKUP($B46,Sort_Alpha!$B$5:$B$47,Sort_Alpha!AV$5:AV$47,"",0)</f>
        <v>0</v>
      </c>
      <c r="AW46" s="1">
        <f>_xlfn.XLOOKUP($B46,Sort_Alpha!$B$5:$B$47,Sort_Alpha!AW$5:AW$47,"",0)</f>
        <v>7.0085501416559372E-18</v>
      </c>
      <c r="AX46" s="1">
        <f>_xlfn.XLOOKUP($B46,Sort_Alpha!$B$5:$B$47,Sort_Alpha!AX$5:AX$47,"",0)</f>
        <v>6.6862984038719935E-18</v>
      </c>
      <c r="AY46" s="1">
        <f>_xlfn.XLOOKUP($B46,Sort_Alpha!$B$5:$B$47,Sort_Alpha!AY$5:AY$47,"",0)</f>
        <v>6.6862984038719935E-18</v>
      </c>
      <c r="AZ46" s="1">
        <f>_xlfn.XLOOKUP($B46,Sort_Alpha!$B$5:$B$47,Sort_Alpha!AZ$5:AZ$47,"",0)</f>
        <v>1.7653845849526597E-15</v>
      </c>
      <c r="BA46" s="1">
        <f>_xlfn.XLOOKUP($B46,Sort_Alpha!$B$5:$B$47,Sort_Alpha!BA$5:BA$47,"",0)</f>
        <v>2.944733835882446E-15</v>
      </c>
      <c r="BB46" s="1">
        <f>_xlfn.XLOOKUP($B46,Sort_Alpha!$B$5:$B$47,Sort_Alpha!BB$5:BB$47,"",0)</f>
        <v>4.4400948909109546E-17</v>
      </c>
      <c r="BC46" s="1">
        <f>_xlfn.XLOOKUP($B46,Sort_Alpha!$B$5:$B$47,Sort_Alpha!BC$5:BC$47,"",0)</f>
        <v>4.5769578113271565E-17</v>
      </c>
      <c r="BD46" s="1">
        <f>_xlfn.XLOOKUP($B46,Sort_Alpha!$B$5:$B$47,Sort_Alpha!BD$5:BD$47,"",0)</f>
        <v>4.5769578113271565E-17</v>
      </c>
      <c r="BE46" s="1">
        <f>_xlfn.XLOOKUP($B46,Sort_Alpha!$B$5:$B$47,Sort_Alpha!BE$5:BE$47,"",0)</f>
        <v>4.3458050569517756E-15</v>
      </c>
      <c r="BF46" s="1">
        <f>_xlfn.XLOOKUP($B46,Sort_Alpha!$B$5:$B$47,Sort_Alpha!BF$5:BF$47,"",0)</f>
        <v>4.9945407227717728E-16</v>
      </c>
      <c r="BG46" s="1">
        <f>_xlfn.XLOOKUP($B46,Sort_Alpha!$B$5:$B$47,Sort_Alpha!BG$5:BG$47,"",0)</f>
        <v>6.7832903878241609E-17</v>
      </c>
      <c r="BH46" s="1">
        <f>_xlfn.XLOOKUP($B46,Sort_Alpha!$B$5:$B$47,Sort_Alpha!BH$5:BH$47,"",0)</f>
        <v>5.5938462420484345E-17</v>
      </c>
      <c r="BI46" s="1">
        <f>_xlfn.XLOOKUP($B46,Sort_Alpha!$B$5:$B$47,Sort_Alpha!BI$5:BI$47,"",0)</f>
        <v>5.5938590288006643E-17</v>
      </c>
      <c r="BJ46" s="1">
        <f>_xlfn.XLOOKUP($B46,Sort_Alpha!$B$5:$B$47,Sort_Alpha!BJ$5:BJ$47,"",0)</f>
        <v>5.5938462420484345E-17</v>
      </c>
      <c r="BK46" s="1">
        <f>_xlfn.XLOOKUP($B46,Sort_Alpha!$B$5:$B$47,Sort_Alpha!BK$5:BK$47,"",0)</f>
        <v>3.1890778486336574E-16</v>
      </c>
      <c r="BL46" s="1">
        <f>_xlfn.XLOOKUP($B46,Sort_Alpha!$B$5:$B$47,Sort_Alpha!BL$5:BL$47,"",0)</f>
        <v>2.7833765315336589E-16</v>
      </c>
      <c r="BM46" s="1">
        <f>_xlfn.XLOOKUP($B46,Sort_Alpha!$B$5:$B$47,Sort_Alpha!BM$5:BM$47,"",0)</f>
        <v>2.3710404974335348E-16</v>
      </c>
      <c r="BN46" s="1">
        <f>_xlfn.XLOOKUP($B46,Sort_Alpha!$B$5:$B$47,Sort_Alpha!BN$5:BN$47,"",0)</f>
        <v>2.3705203328992543E-16</v>
      </c>
      <c r="BO46" s="1">
        <f>_xlfn.XLOOKUP($B46,Sort_Alpha!$B$5:$B$47,Sort_Alpha!BO$5:BO$47,"",0)</f>
        <v>2.8706908387879353E-15</v>
      </c>
      <c r="BP46" s="1">
        <f>_xlfn.XLOOKUP($B46,Sort_Alpha!$B$5:$B$47,Sort_Alpha!BP$5:BP$47,"",0)</f>
        <v>2.8706908387879353E-15</v>
      </c>
      <c r="BQ46" s="1">
        <f>_xlfn.XLOOKUP($B46,Sort_Alpha!$B$5:$B$47,Sort_Alpha!BQ$5:BQ$47,"",0)</f>
        <v>0</v>
      </c>
      <c r="BR46" s="1">
        <f>_xlfn.XLOOKUP($B46,Sort_Alpha!$B$5:$B$47,Sort_Alpha!BR$5:BR$47,"",0)</f>
        <v>1.9640111668300525E-14</v>
      </c>
      <c r="BS46" s="1">
        <f>_xlfn.XLOOKUP($B46,Sort_Alpha!$B$5:$B$47,Sort_Alpha!BS$5:BS$47,"",0)</f>
        <v>2.1257367923522693E-12</v>
      </c>
      <c r="BT46" s="1">
        <f>_xlfn.XLOOKUP($B46,Sort_Alpha!$B$5:$B$47,Sort_Alpha!BT$5:BT$47,"",0)</f>
        <v>4.8319407738821762E-15</v>
      </c>
      <c r="BU46" s="1">
        <f>_xlfn.XLOOKUP($B46,Sort_Alpha!$B$5:$B$47,Sort_Alpha!BU$5:BU$47,"",0)</f>
        <v>3.4144610630699769E-15</v>
      </c>
      <c r="BV46" s="1">
        <f>_xlfn.XLOOKUP($B46,Sort_Alpha!$B$5:$B$47,Sort_Alpha!BV$5:BV$47,"",0)</f>
        <v>1.0217036501826542E-15</v>
      </c>
      <c r="BW46" s="1">
        <f>_xlfn.XLOOKUP($B46,Sort_Alpha!$B$5:$B$47,Sort_Alpha!BW$5:BW$47,"",0)</f>
        <v>9.8550342881360577E-16</v>
      </c>
      <c r="BX46" s="1">
        <f>_xlfn.XLOOKUP($B46,Sort_Alpha!$B$5:$B$47,Sort_Alpha!BX$5:BX$47,"",0)</f>
        <v>9.8550342881360577E-16</v>
      </c>
      <c r="BY46" s="1">
        <f>_xlfn.XLOOKUP($B46,Sort_Alpha!$B$5:$B$47,Sort_Alpha!BY$5:BY$47,"",0)</f>
        <v>4.8531828525004267E-17</v>
      </c>
      <c r="BZ46" s="1">
        <f>_xlfn.XLOOKUP($B46,Sort_Alpha!$B$5:$B$47,Sort_Alpha!BZ$5:BZ$47,"",0)</f>
        <v>7.3153374453605825E-18</v>
      </c>
      <c r="CA46" s="1">
        <f>_xlfn.XLOOKUP($B46,Sort_Alpha!$B$5:$B$47,Sort_Alpha!CA$5:CA$47,"",0)</f>
        <v>7.2787827275844161E-18</v>
      </c>
      <c r="CB46" s="1">
        <f>_xlfn.XLOOKUP($B46,Sort_Alpha!$B$5:$B$47,Sort_Alpha!CB$5:CB$47,"",0)</f>
        <v>6.5317122194578844E-18</v>
      </c>
      <c r="CC46" s="1">
        <f>_xlfn.XLOOKUP($B46,Sort_Alpha!$B$5:$B$47,Sort_Alpha!CC$5:CC$47,"",0)</f>
        <v>5.330137647600701E-16</v>
      </c>
    </row>
    <row r="47" spans="2:81" x14ac:dyDescent="0.15">
      <c r="B47" t="s">
        <v>37</v>
      </c>
      <c r="C47" s="1">
        <f>_xlfn.XLOOKUP($B47,Sort_Alpha!$B$5:$B$47,Sort_Alpha!C$5:C$47,"",0)</f>
        <v>4.773640373096658E-16</v>
      </c>
      <c r="D47" s="1">
        <f>_xlfn.XLOOKUP($B47,Sort_Alpha!$B$5:$B$47,Sort_Alpha!D$5:D$47,"",0)</f>
        <v>1.0533841060201479E-16</v>
      </c>
      <c r="E47" s="1">
        <f>_xlfn.XLOOKUP($B47,Sort_Alpha!$B$5:$B$47,Sort_Alpha!E$5:E$47,"",0)</f>
        <v>6.1949959078999271E-16</v>
      </c>
      <c r="F47" s="1">
        <f>_xlfn.XLOOKUP($B47,Sort_Alpha!$B$5:$B$47,Sort_Alpha!F$5:F$47,"",0)</f>
        <v>9.5983224557269177E-16</v>
      </c>
      <c r="G47" s="1">
        <f>_xlfn.XLOOKUP($B47,Sort_Alpha!$B$5:$B$47,Sort_Alpha!G$5:G$47,"",0)</f>
        <v>2.7476884111539739E-15</v>
      </c>
      <c r="H47" s="1">
        <f>_xlfn.XLOOKUP($B47,Sort_Alpha!$B$5:$B$47,Sort_Alpha!H$5:H$47,"",0)</f>
        <v>7.3482163300508385E-16</v>
      </c>
      <c r="I47" s="1">
        <f>_xlfn.XLOOKUP($B47,Sort_Alpha!$B$5:$B$47,Sort_Alpha!I$5:I$47,"",0)</f>
        <v>2.3346728073785935E-15</v>
      </c>
      <c r="J47" s="1">
        <f>_xlfn.XLOOKUP($B47,Sort_Alpha!$B$5:$B$47,Sort_Alpha!J$5:J$47,"",0)</f>
        <v>2.3346728073785935E-15</v>
      </c>
      <c r="K47" s="1">
        <f>_xlfn.XLOOKUP($B47,Sort_Alpha!$B$5:$B$47,Sort_Alpha!K$5:K$47,"",0)</f>
        <v>2.3346728073785935E-15</v>
      </c>
      <c r="L47" s="1">
        <f>_xlfn.XLOOKUP($B47,Sort_Alpha!$B$5:$B$47,Sort_Alpha!L$5:L$47,"",0)</f>
        <v>6.1949959078999271E-16</v>
      </c>
      <c r="M47" s="1">
        <f>_xlfn.XLOOKUP($B47,Sort_Alpha!$B$5:$B$47,Sort_Alpha!M$5:M$47,"",0)</f>
        <v>6.1949959078999271E-16</v>
      </c>
      <c r="N47" s="1">
        <f>_xlfn.XLOOKUP($B47,Sort_Alpha!$B$5:$B$47,Sort_Alpha!N$5:N$47,"",0)</f>
        <v>6.1949959078999271E-16</v>
      </c>
      <c r="O47" s="1">
        <f>_xlfn.XLOOKUP($B47,Sort_Alpha!$B$5:$B$47,Sort_Alpha!O$5:O$47,"",0)</f>
        <v>1.3652313727920786E-15</v>
      </c>
      <c r="P47" s="1">
        <f>_xlfn.XLOOKUP($B47,Sort_Alpha!$B$5:$B$47,Sort_Alpha!P$5:P$47,"",0)</f>
        <v>3.6616567928647423E-17</v>
      </c>
      <c r="Q47" s="1">
        <f>_xlfn.XLOOKUP($B47,Sort_Alpha!$B$5:$B$47,Sort_Alpha!Q$5:Q$47,"",0)</f>
        <v>1.6289379565689143E-15</v>
      </c>
      <c r="R47" s="1">
        <f>_xlfn.XLOOKUP($B47,Sort_Alpha!$B$5:$B$47,Sort_Alpha!R$5:R$47,"",0)</f>
        <v>1.6289379565689143E-15</v>
      </c>
      <c r="S47" s="1">
        <f>_xlfn.XLOOKUP($B47,Sort_Alpha!$B$5:$B$47,Sort_Alpha!S$5:S$47,"",0)</f>
        <v>1.2465705102235311E-14</v>
      </c>
      <c r="T47" s="1">
        <f>_xlfn.XLOOKUP($B47,Sort_Alpha!$B$5:$B$47,Sort_Alpha!T$5:T$47,"",0)</f>
        <v>3.8520597980270244E-14</v>
      </c>
      <c r="U47" s="1">
        <f>_xlfn.XLOOKUP($B47,Sort_Alpha!$B$5:$B$47,Sort_Alpha!U$5:U$47,"",0)</f>
        <v>3.8520597980270244E-14</v>
      </c>
      <c r="V47" s="1">
        <f>_xlfn.XLOOKUP($B47,Sort_Alpha!$B$5:$B$47,Sort_Alpha!V$5:V$47,"",0)</f>
        <v>3.8520597980270244E-14</v>
      </c>
      <c r="W47" s="1">
        <f>_xlfn.XLOOKUP($B47,Sort_Alpha!$B$5:$B$47,Sort_Alpha!W$5:W$47,"",0)</f>
        <v>3.8520597980270244E-14</v>
      </c>
      <c r="X47" s="1">
        <f>_xlfn.XLOOKUP($B47,Sort_Alpha!$B$5:$B$47,Sort_Alpha!X$5:X$47,"",0)</f>
        <v>3.8520597980270244E-14</v>
      </c>
      <c r="Y47" s="1">
        <f>_xlfn.XLOOKUP($B47,Sort_Alpha!$B$5:$B$47,Sort_Alpha!Y$5:Y$47,"",0)</f>
        <v>5.6592671149127566E-15</v>
      </c>
      <c r="Z47" s="1">
        <f>_xlfn.XLOOKUP($B47,Sort_Alpha!$B$5:$B$47,Sort_Alpha!Z$5:Z$47,"",0)</f>
        <v>1.1226606328042935E-16</v>
      </c>
      <c r="AA47" s="1">
        <f>_xlfn.XLOOKUP($B47,Sort_Alpha!$B$5:$B$47,Sort_Alpha!AA$5:AA$47,"",0)</f>
        <v>1.1702772268629322E-16</v>
      </c>
      <c r="AB47" s="1">
        <f>_xlfn.XLOOKUP($B47,Sort_Alpha!$B$5:$B$47,Sort_Alpha!AB$5:AB$47,"",0)</f>
        <v>5.0372935748997518E-16</v>
      </c>
      <c r="AC47" s="1">
        <f>_xlfn.XLOOKUP($B47,Sort_Alpha!$B$5:$B$47,Sort_Alpha!AC$5:AC$47,"",0)</f>
        <v>6.2316475505820522E-17</v>
      </c>
      <c r="AD47" s="1">
        <f>_xlfn.XLOOKUP($B47,Sort_Alpha!$B$5:$B$47,Sort_Alpha!AD$5:AD$47,"",0)</f>
        <v>1.6775461487593361E-17</v>
      </c>
      <c r="AE47" s="1">
        <f>_xlfn.XLOOKUP($B47,Sort_Alpha!$B$5:$B$47,Sort_Alpha!AE$5:AE$47,"",0)</f>
        <v>1.6551609627519798E-17</v>
      </c>
      <c r="AF47" s="1">
        <f>_xlfn.XLOOKUP($B47,Sort_Alpha!$B$5:$B$47,Sort_Alpha!AF$5:AF$47,"",0)</f>
        <v>1.6551609627519798E-17</v>
      </c>
      <c r="AG47" s="1">
        <f>_xlfn.XLOOKUP($B47,Sort_Alpha!$B$5:$B$47,Sort_Alpha!AG$5:AG$47,"",0)</f>
        <v>1.6648965531698259E-16</v>
      </c>
      <c r="AH47" s="1">
        <f>_xlfn.XLOOKUP($B47,Sort_Alpha!$B$5:$B$47,Sort_Alpha!AH$5:AH$47,"",0)</f>
        <v>6.7667318652612452E-16</v>
      </c>
      <c r="AI47" s="1">
        <f>_xlfn.XLOOKUP($B47,Sort_Alpha!$B$5:$B$47,Sort_Alpha!AI$5:AI$47,"",0)</f>
        <v>6.1219283679948321E-16</v>
      </c>
      <c r="AJ47" s="1">
        <f>_xlfn.XLOOKUP($B47,Sort_Alpha!$B$5:$B$47,Sort_Alpha!AJ$5:AJ$47,"",0)</f>
        <v>5.1113357707881314E-14</v>
      </c>
      <c r="AK47" s="1">
        <f>_xlfn.XLOOKUP($B47,Sort_Alpha!$B$5:$B$47,Sort_Alpha!AK$5:AK$47,"",0)</f>
        <v>6.642189983983801E-16</v>
      </c>
      <c r="AL47" s="1">
        <f>_xlfn.XLOOKUP($B47,Sort_Alpha!$B$5:$B$47,Sort_Alpha!AL$5:AL$47,"",0)</f>
        <v>2.6724132225612489E-15</v>
      </c>
      <c r="AM47" s="1">
        <f>_xlfn.XLOOKUP($B47,Sort_Alpha!$B$5:$B$47,Sort_Alpha!AM$5:AM$47,"",0)</f>
        <v>5.2286968310272761E-16</v>
      </c>
      <c r="AN47" s="1">
        <f>_xlfn.XLOOKUP($B47,Sort_Alpha!$B$5:$B$47,Sort_Alpha!AN$5:AN$47,"",0)</f>
        <v>2.410136081056189E-15</v>
      </c>
      <c r="AO47" s="1">
        <f>_xlfn.XLOOKUP($B47,Sort_Alpha!$B$5:$B$47,Sort_Alpha!AO$5:AO$47,"",0)</f>
        <v>2.410136081056189E-15</v>
      </c>
      <c r="AP47" s="1">
        <f>_xlfn.XLOOKUP($B47,Sort_Alpha!$B$5:$B$47,Sort_Alpha!AP$5:AP$47,"",0)</f>
        <v>2.410136081056189E-15</v>
      </c>
      <c r="AQ47" s="1">
        <f>_xlfn.XLOOKUP($B47,Sort_Alpha!$B$5:$B$47,Sort_Alpha!AQ$5:AQ$47,"",0)</f>
        <v>6.0595417206481851E-13</v>
      </c>
      <c r="AR47" s="1">
        <f>_xlfn.XLOOKUP($B47,Sort_Alpha!$B$5:$B$47,Sort_Alpha!AR$5:AR$47,"",0)</f>
        <v>6.0595417206481851E-13</v>
      </c>
      <c r="AS47" s="1">
        <f>_xlfn.XLOOKUP($B47,Sort_Alpha!$B$5:$B$47,Sort_Alpha!AS$5:AS$47,"",0)</f>
        <v>3.5763807440269812E-18</v>
      </c>
      <c r="AT47" s="1">
        <f>_xlfn.XLOOKUP($B47,Sort_Alpha!$B$5:$B$47,Sort_Alpha!AT$5:AT$47,"",0)</f>
        <v>7.7367514178970485E-17</v>
      </c>
      <c r="AU47" s="1">
        <f>_xlfn.XLOOKUP($B47,Sort_Alpha!$B$5:$B$47,Sort_Alpha!AU$5:AU$47,"",0)</f>
        <v>8.7773206624025196E-15</v>
      </c>
      <c r="AV47" s="1">
        <f>_xlfn.XLOOKUP($B47,Sort_Alpha!$B$5:$B$47,Sort_Alpha!AV$5:AV$47,"",0)</f>
        <v>0</v>
      </c>
      <c r="AW47" s="1">
        <f>_xlfn.XLOOKUP($B47,Sort_Alpha!$B$5:$B$47,Sort_Alpha!AW$5:AW$47,"",0)</f>
        <v>4.7625806542876282E-18</v>
      </c>
      <c r="AX47" s="1">
        <f>_xlfn.XLOOKUP($B47,Sort_Alpha!$B$5:$B$47,Sort_Alpha!AX$5:AX$47,"",0)</f>
        <v>3.9480605405192578E-18</v>
      </c>
      <c r="AY47" s="1">
        <f>_xlfn.XLOOKUP($B47,Sort_Alpha!$B$5:$B$47,Sort_Alpha!AY$5:AY$47,"",0)</f>
        <v>3.9480605405192578E-18</v>
      </c>
      <c r="AZ47" s="1">
        <f>_xlfn.XLOOKUP($B47,Sort_Alpha!$B$5:$B$47,Sort_Alpha!AZ$5:AZ$47,"",0)</f>
        <v>1.3229128707137122E-15</v>
      </c>
      <c r="BA47" s="1">
        <f>_xlfn.XLOOKUP($B47,Sort_Alpha!$B$5:$B$47,Sort_Alpha!BA$5:BA$47,"",0)</f>
        <v>9.6836599072361592E-16</v>
      </c>
      <c r="BB47" s="1">
        <f>_xlfn.XLOOKUP($B47,Sort_Alpha!$B$5:$B$47,Sort_Alpha!BB$5:BB$47,"",0)</f>
        <v>2.4537677872994118E-17</v>
      </c>
      <c r="BC47" s="1">
        <f>_xlfn.XLOOKUP($B47,Sort_Alpha!$B$5:$B$47,Sort_Alpha!BC$5:BC$47,"",0)</f>
        <v>2.3734756328159999E-17</v>
      </c>
      <c r="BD47" s="1">
        <f>_xlfn.XLOOKUP($B47,Sort_Alpha!$B$5:$B$47,Sort_Alpha!BD$5:BD$47,"",0)</f>
        <v>2.3734756328159999E-17</v>
      </c>
      <c r="BE47" s="1">
        <f>_xlfn.XLOOKUP($B47,Sort_Alpha!$B$5:$B$47,Sort_Alpha!BE$5:BE$47,"",0)</f>
        <v>1.9654482197072737E-14</v>
      </c>
      <c r="BF47" s="1">
        <f>_xlfn.XLOOKUP($B47,Sort_Alpha!$B$5:$B$47,Sort_Alpha!BF$5:BF$47,"",0)</f>
        <v>4.1088654287953906E-16</v>
      </c>
      <c r="BG47" s="1">
        <f>_xlfn.XLOOKUP($B47,Sort_Alpha!$B$5:$B$47,Sort_Alpha!BG$5:BG$47,"",0)</f>
        <v>3.5924107564331718E-17</v>
      </c>
      <c r="BH47" s="1">
        <f>_xlfn.XLOOKUP($B47,Sort_Alpha!$B$5:$B$47,Sort_Alpha!BH$5:BH$47,"",0)</f>
        <v>2.858476301895651E-17</v>
      </c>
      <c r="BI47" s="1">
        <f>_xlfn.XLOOKUP($B47,Sort_Alpha!$B$5:$B$47,Sort_Alpha!BI$5:BI$47,"",0)</f>
        <v>2.858476301895651E-17</v>
      </c>
      <c r="BJ47" s="1">
        <f>_xlfn.XLOOKUP($B47,Sort_Alpha!$B$5:$B$47,Sort_Alpha!BJ$5:BJ$47,"",0)</f>
        <v>2.858476301895651E-17</v>
      </c>
      <c r="BK47" s="1">
        <f>_xlfn.XLOOKUP($B47,Sort_Alpha!$B$5:$B$47,Sort_Alpha!BK$5:BK$47,"",0)</f>
        <v>1.3486329029440369E-16</v>
      </c>
      <c r="BL47" s="1">
        <f>_xlfn.XLOOKUP($B47,Sort_Alpha!$B$5:$B$47,Sort_Alpha!BL$5:BL$47,"",0)</f>
        <v>1.2465873618627172E-16</v>
      </c>
      <c r="BM47" s="1">
        <f>_xlfn.XLOOKUP($B47,Sort_Alpha!$B$5:$B$47,Sort_Alpha!BM$5:BM$47,"",0)</f>
        <v>1.1363319897105088E-16</v>
      </c>
      <c r="BN47" s="1">
        <f>_xlfn.XLOOKUP($B47,Sort_Alpha!$B$5:$B$47,Sort_Alpha!BN$5:BN$47,"",0)</f>
        <v>1.1363319897105088E-16</v>
      </c>
      <c r="BO47" s="1">
        <f>_xlfn.XLOOKUP($B47,Sort_Alpha!$B$5:$B$47,Sort_Alpha!BO$5:BO$47,"",0)</f>
        <v>5.8152067962938687E-14</v>
      </c>
      <c r="BP47" s="1">
        <f>_xlfn.XLOOKUP($B47,Sort_Alpha!$B$5:$B$47,Sort_Alpha!BP$5:BP$47,"",0)</f>
        <v>5.8152067962938687E-14</v>
      </c>
      <c r="BQ47" s="1">
        <f>_xlfn.XLOOKUP($B47,Sort_Alpha!$B$5:$B$47,Sort_Alpha!BQ$5:BQ$47,"",0)</f>
        <v>0</v>
      </c>
      <c r="BR47" s="1">
        <f>_xlfn.XLOOKUP($B47,Sort_Alpha!$B$5:$B$47,Sort_Alpha!BR$5:BR$47,"",0)</f>
        <v>1.7451126754525156E-15</v>
      </c>
      <c r="BS47" s="1">
        <f>_xlfn.XLOOKUP($B47,Sort_Alpha!$B$5:$B$47,Sort_Alpha!BS$5:BS$47,"",0)</f>
        <v>4.8179975401765378E-15</v>
      </c>
      <c r="BT47" s="1">
        <f>_xlfn.XLOOKUP($B47,Sort_Alpha!$B$5:$B$47,Sort_Alpha!BT$5:BT$47,"",0)</f>
        <v>7.625870010518516E-13</v>
      </c>
      <c r="BU47" s="1">
        <f>_xlfn.XLOOKUP($B47,Sort_Alpha!$B$5:$B$47,Sort_Alpha!BU$5:BU$47,"",0)</f>
        <v>6.9125277067984818E-14</v>
      </c>
      <c r="BV47" s="1">
        <f>_xlfn.XLOOKUP($B47,Sort_Alpha!$B$5:$B$47,Sort_Alpha!BV$5:BV$47,"",0)</f>
        <v>9.8224660803323285E-16</v>
      </c>
      <c r="BW47" s="1">
        <f>_xlfn.XLOOKUP($B47,Sort_Alpha!$B$5:$B$47,Sort_Alpha!BW$5:BW$47,"",0)</f>
        <v>1.7166471580103103E-15</v>
      </c>
      <c r="BX47" s="1">
        <f>_xlfn.XLOOKUP($B47,Sort_Alpha!$B$5:$B$47,Sort_Alpha!BX$5:BX$47,"",0)</f>
        <v>1.7166471580103103E-15</v>
      </c>
      <c r="BY47" s="1">
        <f>_xlfn.XLOOKUP($B47,Sort_Alpha!$B$5:$B$47,Sort_Alpha!BY$5:BY$47,"",0)</f>
        <v>2.6562259911942653E-17</v>
      </c>
      <c r="BZ47" s="1">
        <f>_xlfn.XLOOKUP($B47,Sort_Alpha!$B$5:$B$47,Sort_Alpha!BZ$5:BZ$47,"",0)</f>
        <v>4.8230140499520127E-18</v>
      </c>
      <c r="CA47" s="1">
        <f>_xlfn.XLOOKUP($B47,Sort_Alpha!$B$5:$B$47,Sort_Alpha!CA$5:CA$47,"",0)</f>
        <v>4.0979701880171645E-18</v>
      </c>
      <c r="CB47" s="1">
        <f>_xlfn.XLOOKUP($B47,Sort_Alpha!$B$5:$B$47,Sort_Alpha!CB$5:CB$47,"",0)</f>
        <v>3.6448837719671142E-18</v>
      </c>
      <c r="CC47" s="1">
        <f>_xlfn.XLOOKUP($B47,Sort_Alpha!$B$5:$B$47,Sort_Alpha!CC$5:CC$47,"",0)</f>
        <v>6.7861810444322169E-16</v>
      </c>
    </row>
    <row r="48" spans="2:81" x14ac:dyDescent="0.15">
      <c r="B48" t="s">
        <v>38</v>
      </c>
      <c r="C48" s="1">
        <f>_xlfn.XLOOKUP($B48,Sort_Alpha!$B$5:$B$47,Sort_Alpha!C$5:C$47,"",0)</f>
        <v>5.9064876152200956E-16</v>
      </c>
      <c r="D48" s="1">
        <f>_xlfn.XLOOKUP($B48,Sort_Alpha!$B$5:$B$47,Sort_Alpha!D$5:D$47,"",0)</f>
        <v>7.5867178547300936E-17</v>
      </c>
      <c r="E48" s="1">
        <f>_xlfn.XLOOKUP($B48,Sort_Alpha!$B$5:$B$47,Sort_Alpha!E$5:E$47,"",0)</f>
        <v>4.892401024392388E-16</v>
      </c>
      <c r="F48" s="1">
        <f>_xlfn.XLOOKUP($B48,Sort_Alpha!$B$5:$B$47,Sort_Alpha!F$5:F$47,"",0)</f>
        <v>4.3244562733628119E-16</v>
      </c>
      <c r="G48" s="1">
        <f>_xlfn.XLOOKUP($B48,Sort_Alpha!$B$5:$B$47,Sort_Alpha!G$5:G$47,"",0)</f>
        <v>3.8900180843399684E-15</v>
      </c>
      <c r="H48" s="1">
        <f>_xlfn.XLOOKUP($B48,Sort_Alpha!$B$5:$B$47,Sort_Alpha!H$5:H$47,"",0)</f>
        <v>5.5821760351258823E-16</v>
      </c>
      <c r="I48" s="1">
        <f>_xlfn.XLOOKUP($B48,Sort_Alpha!$B$5:$B$47,Sort_Alpha!I$5:I$47,"",0)</f>
        <v>1.6031171811967491E-15</v>
      </c>
      <c r="J48" s="1">
        <f>_xlfn.XLOOKUP($B48,Sort_Alpha!$B$5:$B$47,Sort_Alpha!J$5:J$47,"",0)</f>
        <v>1.6031171811967491E-15</v>
      </c>
      <c r="K48" s="1">
        <f>_xlfn.XLOOKUP($B48,Sort_Alpha!$B$5:$B$47,Sort_Alpha!K$5:K$47,"",0)</f>
        <v>1.6031171811967491E-15</v>
      </c>
      <c r="L48" s="1">
        <f>_xlfn.XLOOKUP($B48,Sort_Alpha!$B$5:$B$47,Sort_Alpha!L$5:L$47,"",0)</f>
        <v>4.892401024392388E-16</v>
      </c>
      <c r="M48" s="1">
        <f>_xlfn.XLOOKUP($B48,Sort_Alpha!$B$5:$B$47,Sort_Alpha!M$5:M$47,"",0)</f>
        <v>4.892401024392388E-16</v>
      </c>
      <c r="N48" s="1">
        <f>_xlfn.XLOOKUP($B48,Sort_Alpha!$B$5:$B$47,Sort_Alpha!N$5:N$47,"",0)</f>
        <v>4.892401024392388E-16</v>
      </c>
      <c r="O48" s="1">
        <f>_xlfn.XLOOKUP($B48,Sort_Alpha!$B$5:$B$47,Sort_Alpha!O$5:O$47,"",0)</f>
        <v>1.0996655190743344E-15</v>
      </c>
      <c r="P48" s="1">
        <f>_xlfn.XLOOKUP($B48,Sort_Alpha!$B$5:$B$47,Sort_Alpha!P$5:P$47,"",0)</f>
        <v>2.8438268277335491E-17</v>
      </c>
      <c r="Q48" s="1">
        <f>_xlfn.XLOOKUP($B48,Sort_Alpha!$B$5:$B$47,Sort_Alpha!Q$5:Q$47,"",0)</f>
        <v>1.826234369046997E-15</v>
      </c>
      <c r="R48" s="1">
        <f>_xlfn.XLOOKUP($B48,Sort_Alpha!$B$5:$B$47,Sort_Alpha!R$5:R$47,"",0)</f>
        <v>1.826234369046997E-15</v>
      </c>
      <c r="S48" s="1">
        <f>_xlfn.XLOOKUP($B48,Sort_Alpha!$B$5:$B$47,Sort_Alpha!S$5:S$47,"",0)</f>
        <v>8.7480753228903532E-15</v>
      </c>
      <c r="T48" s="1">
        <f>_xlfn.XLOOKUP($B48,Sort_Alpha!$B$5:$B$47,Sort_Alpha!T$5:T$47,"",0)</f>
        <v>4.4345199523176037E-14</v>
      </c>
      <c r="U48" s="1">
        <f>_xlfn.XLOOKUP($B48,Sort_Alpha!$B$5:$B$47,Sort_Alpha!U$5:U$47,"",0)</f>
        <v>4.4345199523176037E-14</v>
      </c>
      <c r="V48" s="1">
        <f>_xlfn.XLOOKUP($B48,Sort_Alpha!$B$5:$B$47,Sort_Alpha!V$5:V$47,"",0)</f>
        <v>4.4345199523176037E-14</v>
      </c>
      <c r="W48" s="1">
        <f>_xlfn.XLOOKUP($B48,Sort_Alpha!$B$5:$B$47,Sort_Alpha!W$5:W$47,"",0)</f>
        <v>4.4345199523176037E-14</v>
      </c>
      <c r="X48" s="1">
        <f>_xlfn.XLOOKUP($B48,Sort_Alpha!$B$5:$B$47,Sort_Alpha!X$5:X$47,"",0)</f>
        <v>4.4345199523176037E-14</v>
      </c>
      <c r="Y48" s="1">
        <f>_xlfn.XLOOKUP($B48,Sort_Alpha!$B$5:$B$47,Sort_Alpha!Y$5:Y$47,"",0)</f>
        <v>5.8129781574015107E-15</v>
      </c>
      <c r="Z48" s="1">
        <f>_xlfn.XLOOKUP($B48,Sort_Alpha!$B$5:$B$47,Sort_Alpha!Z$5:Z$47,"",0)</f>
        <v>9.0009446196547114E-17</v>
      </c>
      <c r="AA48" s="1">
        <f>_xlfn.XLOOKUP($B48,Sort_Alpha!$B$5:$B$47,Sort_Alpha!AA$5:AA$47,"",0)</f>
        <v>9.1976076380381584E-17</v>
      </c>
      <c r="AB48" s="1">
        <f>_xlfn.XLOOKUP($B48,Sort_Alpha!$B$5:$B$47,Sort_Alpha!AB$5:AB$47,"",0)</f>
        <v>3.9926522027256776E-16</v>
      </c>
      <c r="AC48" s="1">
        <f>_xlfn.XLOOKUP($B48,Sort_Alpha!$B$5:$B$47,Sort_Alpha!AC$5:AC$47,"",0)</f>
        <v>5.3327293624142249E-17</v>
      </c>
      <c r="AD48" s="1">
        <f>_xlfn.XLOOKUP($B48,Sort_Alpha!$B$5:$B$47,Sort_Alpha!AD$5:AD$47,"",0)</f>
        <v>1.6808091310892756E-17</v>
      </c>
      <c r="AE48" s="1">
        <f>_xlfn.XLOOKUP($B48,Sort_Alpha!$B$5:$B$47,Sort_Alpha!AE$5:AE$47,"",0)</f>
        <v>1.2499052866875382E-17</v>
      </c>
      <c r="AF48" s="1">
        <f>_xlfn.XLOOKUP($B48,Sort_Alpha!$B$5:$B$47,Sort_Alpha!AF$5:AF$47,"",0)</f>
        <v>1.4002307775344577E-17</v>
      </c>
      <c r="AG48" s="1">
        <f>_xlfn.XLOOKUP($B48,Sort_Alpha!$B$5:$B$47,Sort_Alpha!AG$5:AG$47,"",0)</f>
        <v>1.4244365538480266E-16</v>
      </c>
      <c r="AH48" s="1">
        <f>_xlfn.XLOOKUP($B48,Sort_Alpha!$B$5:$B$47,Sort_Alpha!AH$5:AH$47,"",0)</f>
        <v>5.2642567544433364E-16</v>
      </c>
      <c r="AI48" s="1">
        <f>_xlfn.XLOOKUP($B48,Sort_Alpha!$B$5:$B$47,Sort_Alpha!AI$5:AI$47,"",0)</f>
        <v>4.9723617718527158E-16</v>
      </c>
      <c r="AJ48" s="1">
        <f>_xlfn.XLOOKUP($B48,Sort_Alpha!$B$5:$B$47,Sort_Alpha!AJ$5:AJ$47,"",0)</f>
        <v>1.9163919194707499E-14</v>
      </c>
      <c r="AK48" s="1">
        <f>_xlfn.XLOOKUP($B48,Sort_Alpha!$B$5:$B$47,Sort_Alpha!AK$5:AK$47,"",0)</f>
        <v>6.5879446140912122E-16</v>
      </c>
      <c r="AL48" s="1">
        <f>_xlfn.XLOOKUP($B48,Sort_Alpha!$B$5:$B$47,Sort_Alpha!AL$5:AL$47,"",0)</f>
        <v>1.858329791993915E-15</v>
      </c>
      <c r="AM48" s="1">
        <f>_xlfn.XLOOKUP($B48,Sort_Alpha!$B$5:$B$47,Sort_Alpha!AM$5:AM$47,"",0)</f>
        <v>6.5908697567500913E-16</v>
      </c>
      <c r="AN48" s="1">
        <f>_xlfn.XLOOKUP($B48,Sort_Alpha!$B$5:$B$47,Sort_Alpha!AN$5:AN$47,"",0)</f>
        <v>1.6814031493107023E-15</v>
      </c>
      <c r="AO48" s="1">
        <f>_xlfn.XLOOKUP($B48,Sort_Alpha!$B$5:$B$47,Sort_Alpha!AO$5:AO$47,"",0)</f>
        <v>1.6814031493107023E-15</v>
      </c>
      <c r="AP48" s="1">
        <f>_xlfn.XLOOKUP($B48,Sort_Alpha!$B$5:$B$47,Sort_Alpha!AP$5:AP$47,"",0)</f>
        <v>1.6814031493107023E-15</v>
      </c>
      <c r="AQ48" s="1">
        <f>_xlfn.XLOOKUP($B48,Sort_Alpha!$B$5:$B$47,Sort_Alpha!AQ$5:AQ$47,"",0)</f>
        <v>7.4444288943071885E-14</v>
      </c>
      <c r="AR48" s="1">
        <f>_xlfn.XLOOKUP($B48,Sort_Alpha!$B$5:$B$47,Sort_Alpha!AR$5:AR$47,"",0)</f>
        <v>7.4444288943071885E-14</v>
      </c>
      <c r="AS48" s="1">
        <f>_xlfn.XLOOKUP($B48,Sort_Alpha!$B$5:$B$47,Sort_Alpha!AS$5:AS$47,"",0)</f>
        <v>3.7914022158286585E-18</v>
      </c>
      <c r="AT48" s="1">
        <f>_xlfn.XLOOKUP($B48,Sort_Alpha!$B$5:$B$47,Sort_Alpha!AT$5:AT$47,"",0)</f>
        <v>5.8137993245582034E-17</v>
      </c>
      <c r="AU48" s="1">
        <f>_xlfn.XLOOKUP($B48,Sort_Alpha!$B$5:$B$47,Sort_Alpha!AU$5:AU$47,"",0)</f>
        <v>1.4197573012945575E-14</v>
      </c>
      <c r="AV48" s="1">
        <f>_xlfn.XLOOKUP($B48,Sort_Alpha!$B$5:$B$47,Sort_Alpha!AV$5:AV$47,"",0)</f>
        <v>0</v>
      </c>
      <c r="AW48" s="1">
        <f>_xlfn.XLOOKUP($B48,Sort_Alpha!$B$5:$B$47,Sort_Alpha!AW$5:AW$47,"",0)</f>
        <v>3.5739930390960472E-19</v>
      </c>
      <c r="AX48" s="1">
        <f>_xlfn.XLOOKUP($B48,Sort_Alpha!$B$5:$B$47,Sort_Alpha!AX$5:AX$47,"",0)</f>
        <v>2.2644708348885002E-18</v>
      </c>
      <c r="AY48" s="1">
        <f>_xlfn.XLOOKUP($B48,Sort_Alpha!$B$5:$B$47,Sort_Alpha!AY$5:AY$47,"",0)</f>
        <v>2.2644708348885002E-18</v>
      </c>
      <c r="AZ48" s="1">
        <f>_xlfn.XLOOKUP($B48,Sort_Alpha!$B$5:$B$47,Sort_Alpha!AZ$5:AZ$47,"",0)</f>
        <v>1.3313350719332316E-15</v>
      </c>
      <c r="BA48" s="1">
        <f>_xlfn.XLOOKUP($B48,Sort_Alpha!$B$5:$B$47,Sort_Alpha!BA$5:BA$47,"",0)</f>
        <v>8.8354585919642101E-16</v>
      </c>
      <c r="BB48" s="1">
        <f>_xlfn.XLOOKUP($B48,Sort_Alpha!$B$5:$B$47,Sort_Alpha!BB$5:BB$47,"",0)</f>
        <v>1.7549441115622733E-17</v>
      </c>
      <c r="BC48" s="1">
        <f>_xlfn.XLOOKUP($B48,Sort_Alpha!$B$5:$B$47,Sort_Alpha!BC$5:BC$47,"",0)</f>
        <v>1.5706630511983112E-17</v>
      </c>
      <c r="BD48" s="1">
        <f>_xlfn.XLOOKUP($B48,Sort_Alpha!$B$5:$B$47,Sort_Alpha!BD$5:BD$47,"",0)</f>
        <v>1.5706979859866747E-17</v>
      </c>
      <c r="BE48" s="1">
        <f>_xlfn.XLOOKUP($B48,Sort_Alpha!$B$5:$B$47,Sort_Alpha!BE$5:BE$47,"",0)</f>
        <v>1.9035060046613888E-14</v>
      </c>
      <c r="BF48" s="1">
        <f>_xlfn.XLOOKUP($B48,Sort_Alpha!$B$5:$B$47,Sort_Alpha!BF$5:BF$47,"",0)</f>
        <v>3.6256621833530922E-16</v>
      </c>
      <c r="BG48" s="1">
        <f>_xlfn.XLOOKUP($B48,Sort_Alpha!$B$5:$B$47,Sort_Alpha!BG$5:BG$47,"",0)</f>
        <v>2.319101288936138E-17</v>
      </c>
      <c r="BH48" s="1">
        <f>_xlfn.XLOOKUP($B48,Sort_Alpha!$B$5:$B$47,Sort_Alpha!BH$5:BH$47,"",0)</f>
        <v>2.3112863444369487E-17</v>
      </c>
      <c r="BI48" s="1">
        <f>_xlfn.XLOOKUP($B48,Sort_Alpha!$B$5:$B$47,Sort_Alpha!BI$5:BI$47,"",0)</f>
        <v>2.3421022831103332E-17</v>
      </c>
      <c r="BJ48" s="1">
        <f>_xlfn.XLOOKUP($B48,Sort_Alpha!$B$5:$B$47,Sort_Alpha!BJ$5:BJ$47,"",0)</f>
        <v>2.3112863444369487E-17</v>
      </c>
      <c r="BK48" s="1">
        <f>_xlfn.XLOOKUP($B48,Sort_Alpha!$B$5:$B$47,Sort_Alpha!BK$5:BK$47,"",0)</f>
        <v>1.0931636378244348E-16</v>
      </c>
      <c r="BL48" s="1">
        <f>_xlfn.XLOOKUP($B48,Sort_Alpha!$B$5:$B$47,Sort_Alpha!BL$5:BL$47,"",0)</f>
        <v>9.4292773763130817E-17</v>
      </c>
      <c r="BM48" s="1">
        <f>_xlfn.XLOOKUP($B48,Sort_Alpha!$B$5:$B$47,Sort_Alpha!BM$5:BM$47,"",0)</f>
        <v>9.3413114859688273E-17</v>
      </c>
      <c r="BN48" s="1">
        <f>_xlfn.XLOOKUP($B48,Sort_Alpha!$B$5:$B$47,Sort_Alpha!BN$5:BN$47,"",0)</f>
        <v>9.3413114859688273E-17</v>
      </c>
      <c r="BO48" s="1">
        <f>_xlfn.XLOOKUP($B48,Sort_Alpha!$B$5:$B$47,Sort_Alpha!BO$5:BO$47,"",0)</f>
        <v>2.9645100204330616E-14</v>
      </c>
      <c r="BP48" s="1">
        <f>_xlfn.XLOOKUP($B48,Sort_Alpha!$B$5:$B$47,Sort_Alpha!BP$5:BP$47,"",0)</f>
        <v>2.9645100204330616E-14</v>
      </c>
      <c r="BQ48" s="1">
        <f>_xlfn.XLOOKUP($B48,Sort_Alpha!$B$5:$B$47,Sort_Alpha!BQ$5:BQ$47,"",0)</f>
        <v>0</v>
      </c>
      <c r="BR48" s="1">
        <f>_xlfn.XLOOKUP($B48,Sort_Alpha!$B$5:$B$47,Sort_Alpha!BR$5:BR$47,"",0)</f>
        <v>1.2017228705536969E-15</v>
      </c>
      <c r="BS48" s="1">
        <f>_xlfn.XLOOKUP($B48,Sort_Alpha!$B$5:$B$47,Sort_Alpha!BS$5:BS$47,"",0)</f>
        <v>3.3892835890889992E-15</v>
      </c>
      <c r="BT48" s="1">
        <f>_xlfn.XLOOKUP($B48,Sort_Alpha!$B$5:$B$47,Sort_Alpha!BT$5:BT$47,"",0)</f>
        <v>6.9294199038144626E-14</v>
      </c>
      <c r="BU48" s="1">
        <f>_xlfn.XLOOKUP($B48,Sort_Alpha!$B$5:$B$47,Sort_Alpha!BU$5:BU$47,"",0)</f>
        <v>1.2203735827483687E-11</v>
      </c>
      <c r="BV48" s="1">
        <f>_xlfn.XLOOKUP($B48,Sort_Alpha!$B$5:$B$47,Sort_Alpha!BV$5:BV$47,"",0)</f>
        <v>1.0353891341953575E-15</v>
      </c>
      <c r="BW48" s="1">
        <f>_xlfn.XLOOKUP($B48,Sort_Alpha!$B$5:$B$47,Sort_Alpha!BW$5:BW$47,"",0)</f>
        <v>1.8339359654042304E-15</v>
      </c>
      <c r="BX48" s="1">
        <f>_xlfn.XLOOKUP($B48,Sort_Alpha!$B$5:$B$47,Sort_Alpha!BX$5:BX$47,"",0)</f>
        <v>1.8339359654042304E-15</v>
      </c>
      <c r="BY48" s="1">
        <f>_xlfn.XLOOKUP($B48,Sort_Alpha!$B$5:$B$47,Sort_Alpha!BY$5:BY$47,"",0)</f>
        <v>2.0728894386629454E-17</v>
      </c>
      <c r="BZ48" s="1">
        <f>_xlfn.XLOOKUP($B48,Sort_Alpha!$B$5:$B$47,Sort_Alpha!BZ$5:BZ$47,"",0)</f>
        <v>8.8283807649546524E-19</v>
      </c>
      <c r="CA48" s="1">
        <f>_xlfn.XLOOKUP($B48,Sort_Alpha!$B$5:$B$47,Sort_Alpha!CA$5:CA$47,"",0)</f>
        <v>3.3260396608746741E-18</v>
      </c>
      <c r="CB48" s="1">
        <f>_xlfn.XLOOKUP($B48,Sort_Alpha!$B$5:$B$47,Sort_Alpha!CB$5:CB$47,"",0)</f>
        <v>2.1868140255255412E-18</v>
      </c>
      <c r="CC48" s="1">
        <f>_xlfn.XLOOKUP($B48,Sort_Alpha!$B$5:$B$47,Sort_Alpha!CC$5:CC$47,"",0)</f>
        <v>6.6604137366205159E-16</v>
      </c>
    </row>
    <row r="49" spans="2:81" x14ac:dyDescent="0.15">
      <c r="B49" t="s">
        <v>39</v>
      </c>
      <c r="C49" s="1">
        <f>_xlfn.XLOOKUP($B49,Sort_Alpha!$B$5:$B$47,Sort_Alpha!C$5:C$47,"",0)</f>
        <v>1.0327160771775321E-15</v>
      </c>
      <c r="D49" s="1">
        <f>_xlfn.XLOOKUP($B49,Sort_Alpha!$B$5:$B$47,Sort_Alpha!D$5:D$47,"",0)</f>
        <v>3.227541422125346E-15</v>
      </c>
      <c r="E49" s="1">
        <f>_xlfn.XLOOKUP($B49,Sort_Alpha!$B$5:$B$47,Sort_Alpha!E$5:E$47,"",0)</f>
        <v>2.6580818783240632E-16</v>
      </c>
      <c r="F49" s="1">
        <f>_xlfn.XLOOKUP($B49,Sort_Alpha!$B$5:$B$47,Sort_Alpha!F$5:F$47,"",0)</f>
        <v>6.3894924317102303E-16</v>
      </c>
      <c r="G49" s="1">
        <f>_xlfn.XLOOKUP($B49,Sort_Alpha!$B$5:$B$47,Sort_Alpha!G$5:G$47,"",0)</f>
        <v>7.9555955767594935E-18</v>
      </c>
      <c r="H49" s="1">
        <f>_xlfn.XLOOKUP($B49,Sort_Alpha!$B$5:$B$47,Sort_Alpha!H$5:H$47,"",0)</f>
        <v>1.9925371568901244E-16</v>
      </c>
      <c r="I49" s="1">
        <f>_xlfn.XLOOKUP($B49,Sort_Alpha!$B$5:$B$47,Sort_Alpha!I$5:I$47,"",0)</f>
        <v>1.3997638976801446E-16</v>
      </c>
      <c r="J49" s="1">
        <f>_xlfn.XLOOKUP($B49,Sort_Alpha!$B$5:$B$47,Sort_Alpha!J$5:J$47,"",0)</f>
        <v>1.3997638976801446E-16</v>
      </c>
      <c r="K49" s="1">
        <f>_xlfn.XLOOKUP($B49,Sort_Alpha!$B$5:$B$47,Sort_Alpha!K$5:K$47,"",0)</f>
        <v>1.3997638976801446E-16</v>
      </c>
      <c r="L49" s="1">
        <f>_xlfn.XLOOKUP($B49,Sort_Alpha!$B$5:$B$47,Sort_Alpha!L$5:L$47,"",0)</f>
        <v>2.6579833577951744E-16</v>
      </c>
      <c r="M49" s="1">
        <f>_xlfn.XLOOKUP($B49,Sort_Alpha!$B$5:$B$47,Sort_Alpha!M$5:M$47,"",0)</f>
        <v>2.6579833577951744E-16</v>
      </c>
      <c r="N49" s="1">
        <f>_xlfn.XLOOKUP($B49,Sort_Alpha!$B$5:$B$47,Sort_Alpha!N$5:N$47,"",0)</f>
        <v>2.6579833577951744E-16</v>
      </c>
      <c r="O49" s="1">
        <f>_xlfn.XLOOKUP($B49,Sort_Alpha!$B$5:$B$47,Sort_Alpha!O$5:O$47,"",0)</f>
        <v>2.1774873835301777E-15</v>
      </c>
      <c r="P49" s="1">
        <f>_xlfn.XLOOKUP($B49,Sort_Alpha!$B$5:$B$47,Sort_Alpha!P$5:P$47,"",0)</f>
        <v>1.3091309066788209E-16</v>
      </c>
      <c r="Q49" s="1">
        <f>_xlfn.XLOOKUP($B49,Sort_Alpha!$B$5:$B$47,Sort_Alpha!Q$5:Q$47,"",0)</f>
        <v>1.0212998595343769E-15</v>
      </c>
      <c r="R49" s="1">
        <f>_xlfn.XLOOKUP($B49,Sort_Alpha!$B$5:$B$47,Sort_Alpha!R$5:R$47,"",0)</f>
        <v>1.0212998595343769E-15</v>
      </c>
      <c r="S49" s="1">
        <f>_xlfn.XLOOKUP($B49,Sort_Alpha!$B$5:$B$47,Sort_Alpha!S$5:S$47,"",0)</f>
        <v>2.7867589494482481E-17</v>
      </c>
      <c r="T49" s="1">
        <f>_xlfn.XLOOKUP($B49,Sort_Alpha!$B$5:$B$47,Sort_Alpha!T$5:T$47,"",0)</f>
        <v>2.2745575517217662E-17</v>
      </c>
      <c r="U49" s="1">
        <f>_xlfn.XLOOKUP($B49,Sort_Alpha!$B$5:$B$47,Sort_Alpha!U$5:U$47,"",0)</f>
        <v>2.2745575517217662E-17</v>
      </c>
      <c r="V49" s="1">
        <f>_xlfn.XLOOKUP($B49,Sort_Alpha!$B$5:$B$47,Sort_Alpha!V$5:V$47,"",0)</f>
        <v>2.2745575517217662E-17</v>
      </c>
      <c r="W49" s="1">
        <f>_xlfn.XLOOKUP($B49,Sort_Alpha!$B$5:$B$47,Sort_Alpha!W$5:W$47,"",0)</f>
        <v>2.2745575517217662E-17</v>
      </c>
      <c r="X49" s="1">
        <f>_xlfn.XLOOKUP($B49,Sort_Alpha!$B$5:$B$47,Sort_Alpha!X$5:X$47,"",0)</f>
        <v>2.2745575517217662E-17</v>
      </c>
      <c r="Y49" s="1">
        <f>_xlfn.XLOOKUP($B49,Sort_Alpha!$B$5:$B$47,Sort_Alpha!Y$5:Y$47,"",0)</f>
        <v>2.3569593522567345E-17</v>
      </c>
      <c r="Z49" s="1">
        <f>_xlfn.XLOOKUP($B49,Sort_Alpha!$B$5:$B$47,Sort_Alpha!Z$5:Z$47,"",0)</f>
        <v>5.187528847380284E-15</v>
      </c>
      <c r="AA49" s="1">
        <f>_xlfn.XLOOKUP($B49,Sort_Alpha!$B$5:$B$47,Sort_Alpha!AA$5:AA$47,"",0)</f>
        <v>5.1504860664464322E-15</v>
      </c>
      <c r="AB49" s="1">
        <f>_xlfn.XLOOKUP($B49,Sort_Alpha!$B$5:$B$47,Sort_Alpha!AB$5:AB$47,"",0)</f>
        <v>3.5447460647741512E-16</v>
      </c>
      <c r="AC49" s="1">
        <f>_xlfn.XLOOKUP($B49,Sort_Alpha!$B$5:$B$47,Sort_Alpha!AC$5:AC$47,"",0)</f>
        <v>5.3561726274669849E-15</v>
      </c>
      <c r="AD49" s="1">
        <f>_xlfn.XLOOKUP($B49,Sort_Alpha!$B$5:$B$47,Sort_Alpha!AD$5:AD$47,"",0)</f>
        <v>5.0494229850265201E-15</v>
      </c>
      <c r="AE49" s="1">
        <f>_xlfn.XLOOKUP($B49,Sort_Alpha!$B$5:$B$47,Sort_Alpha!AE$5:AE$47,"",0)</f>
        <v>5.1772478426068783E-15</v>
      </c>
      <c r="AF49" s="1">
        <f>_xlfn.XLOOKUP($B49,Sort_Alpha!$B$5:$B$47,Sort_Alpha!AF$5:AF$47,"",0)</f>
        <v>5.1772478426068783E-15</v>
      </c>
      <c r="AG49" s="1">
        <f>_xlfn.XLOOKUP($B49,Sort_Alpha!$B$5:$B$47,Sort_Alpha!AG$5:AG$47,"",0)</f>
        <v>1.4630132371075333E-15</v>
      </c>
      <c r="AH49" s="1">
        <f>_xlfn.XLOOKUP($B49,Sort_Alpha!$B$5:$B$47,Sort_Alpha!AH$5:AH$47,"",0)</f>
        <v>2.6167597122400465E-16</v>
      </c>
      <c r="AI49" s="1">
        <f>_xlfn.XLOOKUP($B49,Sort_Alpha!$B$5:$B$47,Sort_Alpha!AI$5:AI$47,"",0)</f>
        <v>2.6303949356507264E-16</v>
      </c>
      <c r="AJ49" s="1">
        <f>_xlfn.XLOOKUP($B49,Sort_Alpha!$B$5:$B$47,Sort_Alpha!AJ$5:AJ$47,"",0)</f>
        <v>3.0095078041446309E-17</v>
      </c>
      <c r="AK49" s="1">
        <f>_xlfn.XLOOKUP($B49,Sort_Alpha!$B$5:$B$47,Sort_Alpha!AK$5:AK$47,"",0)</f>
        <v>4.9539066874482494E-15</v>
      </c>
      <c r="AL49" s="1">
        <f>_xlfn.XLOOKUP($B49,Sort_Alpha!$B$5:$B$47,Sort_Alpha!AL$5:AL$47,"",0)</f>
        <v>1.2575323474720236E-16</v>
      </c>
      <c r="AM49" s="1">
        <f>_xlfn.XLOOKUP($B49,Sort_Alpha!$B$5:$B$47,Sort_Alpha!AM$5:AM$47,"",0)</f>
        <v>1.0397799614158062E-15</v>
      </c>
      <c r="AN49" s="1">
        <f>_xlfn.XLOOKUP($B49,Sort_Alpha!$B$5:$B$47,Sort_Alpha!AN$5:AN$47,"",0)</f>
        <v>2.6706314816128664E-16</v>
      </c>
      <c r="AO49" s="1">
        <f>_xlfn.XLOOKUP($B49,Sort_Alpha!$B$5:$B$47,Sort_Alpha!AO$5:AO$47,"",0)</f>
        <v>2.6706314816128664E-16</v>
      </c>
      <c r="AP49" s="1">
        <f>_xlfn.XLOOKUP($B49,Sort_Alpha!$B$5:$B$47,Sort_Alpha!AP$5:AP$47,"",0)</f>
        <v>2.6706314816128664E-16</v>
      </c>
      <c r="AQ49" s="1">
        <f>_xlfn.XLOOKUP($B49,Sort_Alpha!$B$5:$B$47,Sort_Alpha!AQ$5:AQ$47,"",0)</f>
        <v>2.7841662968833566E-17</v>
      </c>
      <c r="AR49" s="1">
        <f>_xlfn.XLOOKUP($B49,Sort_Alpha!$B$5:$B$47,Sort_Alpha!AR$5:AR$47,"",0)</f>
        <v>2.7841662968833566E-17</v>
      </c>
      <c r="AS49" s="1">
        <f>_xlfn.XLOOKUP($B49,Sort_Alpha!$B$5:$B$47,Sort_Alpha!AS$5:AS$47,"",0)</f>
        <v>3.6149945120573311E-15</v>
      </c>
      <c r="AT49" s="1">
        <f>_xlfn.XLOOKUP($B49,Sort_Alpha!$B$5:$B$47,Sort_Alpha!AT$5:AT$47,"",0)</f>
        <v>7.5679751105466298E-15</v>
      </c>
      <c r="AU49" s="1">
        <f>_xlfn.XLOOKUP($B49,Sort_Alpha!$B$5:$B$47,Sort_Alpha!AU$5:AU$47,"",0)</f>
        <v>1.1102716171093828E-17</v>
      </c>
      <c r="AV49" s="1">
        <f>_xlfn.XLOOKUP($B49,Sort_Alpha!$B$5:$B$47,Sort_Alpha!AV$5:AV$47,"",0)</f>
        <v>0</v>
      </c>
      <c r="AW49" s="1">
        <f>_xlfn.XLOOKUP($B49,Sort_Alpha!$B$5:$B$47,Sort_Alpha!AW$5:AW$47,"",0)</f>
        <v>5.2538309077088334E-15</v>
      </c>
      <c r="AX49" s="1">
        <f>_xlfn.XLOOKUP($B49,Sort_Alpha!$B$5:$B$47,Sort_Alpha!AX$5:AX$47,"",0)</f>
        <v>4.9935576500387467E-15</v>
      </c>
      <c r="AY49" s="1">
        <f>_xlfn.XLOOKUP($B49,Sort_Alpha!$B$5:$B$47,Sort_Alpha!AY$5:AY$47,"",0)</f>
        <v>4.9935576500387467E-15</v>
      </c>
      <c r="AZ49" s="1">
        <f>_xlfn.XLOOKUP($B49,Sort_Alpha!$B$5:$B$47,Sort_Alpha!AZ$5:AZ$47,"",0)</f>
        <v>3.3321424657242462E-15</v>
      </c>
      <c r="BA49" s="1">
        <f>_xlfn.XLOOKUP($B49,Sort_Alpha!$B$5:$B$47,Sort_Alpha!BA$5:BA$47,"",0)</f>
        <v>2.6230977132449239E-16</v>
      </c>
      <c r="BB49" s="1">
        <f>_xlfn.XLOOKUP($B49,Sort_Alpha!$B$5:$B$47,Sort_Alpha!BB$5:BB$47,"",0)</f>
        <v>4.9370913125305606E-15</v>
      </c>
      <c r="BC49" s="1">
        <f>_xlfn.XLOOKUP($B49,Sort_Alpha!$B$5:$B$47,Sort_Alpha!BC$5:BC$47,"",0)</f>
        <v>5.0717077127826439E-15</v>
      </c>
      <c r="BD49" s="1">
        <f>_xlfn.XLOOKUP($B49,Sort_Alpha!$B$5:$B$47,Sort_Alpha!BD$5:BD$47,"",0)</f>
        <v>5.0717077127826439E-15</v>
      </c>
      <c r="BE49" s="1">
        <f>_xlfn.XLOOKUP($B49,Sort_Alpha!$B$5:$B$47,Sort_Alpha!BE$5:BE$47,"",0)</f>
        <v>2.186867953023475E-17</v>
      </c>
      <c r="BF49" s="1">
        <f>_xlfn.XLOOKUP($B49,Sort_Alpha!$B$5:$B$47,Sort_Alpha!BF$5:BF$47,"",0)</f>
        <v>3.3391244954432435E-16</v>
      </c>
      <c r="BG49" s="1">
        <f>_xlfn.XLOOKUP($B49,Sort_Alpha!$B$5:$B$47,Sort_Alpha!BG$5:BG$47,"",0)</f>
        <v>6.7545089253239666E-15</v>
      </c>
      <c r="BH49" s="1">
        <f>_xlfn.XLOOKUP($B49,Sort_Alpha!$B$5:$B$47,Sort_Alpha!BH$5:BH$47,"",0)</f>
        <v>8.87215516569082E-15</v>
      </c>
      <c r="BI49" s="1">
        <f>_xlfn.XLOOKUP($B49,Sort_Alpha!$B$5:$B$47,Sort_Alpha!BI$5:BI$47,"",0)</f>
        <v>8.87215516569082E-15</v>
      </c>
      <c r="BJ49" s="1">
        <f>_xlfn.XLOOKUP($B49,Sort_Alpha!$B$5:$B$47,Sort_Alpha!BJ$5:BJ$47,"",0)</f>
        <v>8.87215516569082E-15</v>
      </c>
      <c r="BK49" s="1">
        <f>_xlfn.XLOOKUP($B49,Sort_Alpha!$B$5:$B$47,Sort_Alpha!BK$5:BK$47,"",0)</f>
        <v>9.5089755563744219E-16</v>
      </c>
      <c r="BL49" s="1">
        <f>_xlfn.XLOOKUP($B49,Sort_Alpha!$B$5:$B$47,Sort_Alpha!BL$5:BL$47,"",0)</f>
        <v>1.5609203352491537E-15</v>
      </c>
      <c r="BM49" s="1">
        <f>_xlfn.XLOOKUP($B49,Sort_Alpha!$B$5:$B$47,Sort_Alpha!BM$5:BM$47,"",0)</f>
        <v>2.049185626411985E-15</v>
      </c>
      <c r="BN49" s="1">
        <f>_xlfn.XLOOKUP($B49,Sort_Alpha!$B$5:$B$47,Sort_Alpha!BN$5:BN$47,"",0)</f>
        <v>2.049185626411985E-15</v>
      </c>
      <c r="BO49" s="1">
        <f>_xlfn.XLOOKUP($B49,Sort_Alpha!$B$5:$B$47,Sort_Alpha!BO$5:BO$47,"",0)</f>
        <v>3.0036845187755907E-17</v>
      </c>
      <c r="BP49" s="1">
        <f>_xlfn.XLOOKUP($B49,Sort_Alpha!$B$5:$B$47,Sort_Alpha!BP$5:BP$47,"",0)</f>
        <v>3.0036845187755907E-17</v>
      </c>
      <c r="BQ49" s="1">
        <f>_xlfn.XLOOKUP($B49,Sort_Alpha!$B$5:$B$47,Sort_Alpha!BQ$5:BQ$47,"",0)</f>
        <v>0</v>
      </c>
      <c r="BR49" s="1">
        <f>_xlfn.XLOOKUP($B49,Sort_Alpha!$B$5:$B$47,Sort_Alpha!BR$5:BR$47,"",0)</f>
        <v>1.0476571556477055E-16</v>
      </c>
      <c r="BS49" s="1">
        <f>_xlfn.XLOOKUP($B49,Sort_Alpha!$B$5:$B$47,Sort_Alpha!BS$5:BS$47,"",0)</f>
        <v>5.5973771551916777E-17</v>
      </c>
      <c r="BT49" s="1">
        <f>_xlfn.XLOOKUP($B49,Sort_Alpha!$B$5:$B$47,Sort_Alpha!BT$5:BT$47,"",0)</f>
        <v>2.7608568964198134E-17</v>
      </c>
      <c r="BU49" s="1">
        <f>_xlfn.XLOOKUP($B49,Sort_Alpha!$B$5:$B$47,Sort_Alpha!BU$5:BU$47,"",0)</f>
        <v>2.0273844599117009E-17</v>
      </c>
      <c r="BV49" s="1">
        <f>_xlfn.XLOOKUP($B49,Sort_Alpha!$B$5:$B$47,Sort_Alpha!BV$5:BV$47,"",0)</f>
        <v>1.9850812328715386E-15</v>
      </c>
      <c r="BW49" s="1">
        <f>_xlfn.XLOOKUP($B49,Sort_Alpha!$B$5:$B$47,Sort_Alpha!BW$5:BW$47,"",0)</f>
        <v>1.7357866750244053E-15</v>
      </c>
      <c r="BX49" s="1">
        <f>_xlfn.XLOOKUP($B49,Sort_Alpha!$B$5:$B$47,Sort_Alpha!BX$5:BX$47,"",0)</f>
        <v>1.7357866750244053E-15</v>
      </c>
      <c r="BY49" s="1">
        <f>_xlfn.XLOOKUP($B49,Sort_Alpha!$B$5:$B$47,Sort_Alpha!BY$5:BY$47,"",0)</f>
        <v>2.3485230034723353E-12</v>
      </c>
      <c r="BZ49" s="1">
        <f>_xlfn.XLOOKUP($B49,Sort_Alpha!$B$5:$B$47,Sort_Alpha!BZ$5:BZ$47,"",0)</f>
        <v>4.5425394219817661E-15</v>
      </c>
      <c r="CA49" s="1">
        <f>_xlfn.XLOOKUP($B49,Sort_Alpha!$B$5:$B$47,Sort_Alpha!CA$5:CA$47,"",0)</f>
        <v>6.1476484262902427E-15</v>
      </c>
      <c r="CB49" s="1">
        <f>_xlfn.XLOOKUP($B49,Sort_Alpha!$B$5:$B$47,Sort_Alpha!CB$5:CB$47,"",0)</f>
        <v>4.1246388389595036E-15</v>
      </c>
      <c r="CC49" s="1">
        <f>_xlfn.XLOOKUP($B49,Sort_Alpha!$B$5:$B$47,Sort_Alpha!CC$5:CC$47,"",0)</f>
        <v>1.0458245601397456E-15</v>
      </c>
    </row>
    <row r="50" spans="2:81" x14ac:dyDescent="0.15">
      <c r="B50" t="s">
        <v>40</v>
      </c>
      <c r="C50" s="1">
        <f>_xlfn.XLOOKUP($B50,Sort_Alpha!$B$5:$B$47,Sort_Alpha!C$5:C$47,"",0)</f>
        <v>9.0629148058587882E-16</v>
      </c>
      <c r="D50" s="1">
        <f>_xlfn.XLOOKUP($B50,Sort_Alpha!$B$5:$B$47,Sort_Alpha!D$5:D$47,"",0)</f>
        <v>1.4222028212375478E-16</v>
      </c>
      <c r="E50" s="1">
        <f>_xlfn.XLOOKUP($B50,Sort_Alpha!$B$5:$B$47,Sort_Alpha!E$5:E$47,"",0)</f>
        <v>2.9723227994743944E-17</v>
      </c>
      <c r="F50" s="1">
        <f>_xlfn.XLOOKUP($B50,Sort_Alpha!$B$5:$B$47,Sort_Alpha!F$5:F$47,"",0)</f>
        <v>6.6266967961378251E-16</v>
      </c>
      <c r="G50" s="1">
        <f>_xlfn.XLOOKUP($B50,Sort_Alpha!$B$5:$B$47,Sort_Alpha!G$5:G$47,"",0)</f>
        <v>1.7936561028487365E-18</v>
      </c>
      <c r="H50" s="1">
        <f>_xlfn.XLOOKUP($B50,Sort_Alpha!$B$5:$B$47,Sort_Alpha!H$5:H$47,"",0)</f>
        <v>2.4056643838070342E-17</v>
      </c>
      <c r="I50" s="1">
        <f>_xlfn.XLOOKUP($B50,Sort_Alpha!$B$5:$B$47,Sort_Alpha!I$5:I$47,"",0)</f>
        <v>1.556839608662114E-17</v>
      </c>
      <c r="J50" s="1">
        <f>_xlfn.XLOOKUP($B50,Sort_Alpha!$B$5:$B$47,Sort_Alpha!J$5:J$47,"",0)</f>
        <v>1.556839608662114E-17</v>
      </c>
      <c r="K50" s="1">
        <f>_xlfn.XLOOKUP($B50,Sort_Alpha!$B$5:$B$47,Sort_Alpha!K$5:K$47,"",0)</f>
        <v>1.556839608662114E-17</v>
      </c>
      <c r="L50" s="1">
        <f>_xlfn.XLOOKUP($B50,Sort_Alpha!$B$5:$B$47,Sort_Alpha!L$5:L$47,"",0)</f>
        <v>2.972248223960726E-17</v>
      </c>
      <c r="M50" s="1">
        <f>_xlfn.XLOOKUP($B50,Sort_Alpha!$B$5:$B$47,Sort_Alpha!M$5:M$47,"",0)</f>
        <v>2.972248223960726E-17</v>
      </c>
      <c r="N50" s="1">
        <f>_xlfn.XLOOKUP($B50,Sort_Alpha!$B$5:$B$47,Sort_Alpha!N$5:N$47,"",0)</f>
        <v>2.972248223960726E-17</v>
      </c>
      <c r="O50" s="1">
        <f>_xlfn.XLOOKUP($B50,Sort_Alpha!$B$5:$B$47,Sort_Alpha!O$5:O$47,"",0)</f>
        <v>1.0492811086355224E-15</v>
      </c>
      <c r="P50" s="1">
        <f>_xlfn.XLOOKUP($B50,Sort_Alpha!$B$5:$B$47,Sort_Alpha!P$5:P$47,"",0)</f>
        <v>2.4282349569387917E-16</v>
      </c>
      <c r="Q50" s="1">
        <f>_xlfn.XLOOKUP($B50,Sort_Alpha!$B$5:$B$47,Sort_Alpha!Q$5:Q$47,"",0)</f>
        <v>8.0338711425333117E-16</v>
      </c>
      <c r="R50" s="1">
        <f>_xlfn.XLOOKUP($B50,Sort_Alpha!$B$5:$B$47,Sort_Alpha!R$5:R$47,"",0)</f>
        <v>8.0338711425333117E-16</v>
      </c>
      <c r="S50" s="1">
        <f>_xlfn.XLOOKUP($B50,Sort_Alpha!$B$5:$B$47,Sort_Alpha!S$5:S$47,"",0)</f>
        <v>6.2760918180500327E-18</v>
      </c>
      <c r="T50" s="1">
        <f>_xlfn.XLOOKUP($B50,Sort_Alpha!$B$5:$B$47,Sort_Alpha!T$5:T$47,"",0)</f>
        <v>3.9828741368680274E-18</v>
      </c>
      <c r="U50" s="1">
        <f>_xlfn.XLOOKUP($B50,Sort_Alpha!$B$5:$B$47,Sort_Alpha!U$5:U$47,"",0)</f>
        <v>3.9828741368680274E-18</v>
      </c>
      <c r="V50" s="1">
        <f>_xlfn.XLOOKUP($B50,Sort_Alpha!$B$5:$B$47,Sort_Alpha!V$5:V$47,"",0)</f>
        <v>3.9828741368680274E-18</v>
      </c>
      <c r="W50" s="1">
        <f>_xlfn.XLOOKUP($B50,Sort_Alpha!$B$5:$B$47,Sort_Alpha!W$5:W$47,"",0)</f>
        <v>3.9828741368680274E-18</v>
      </c>
      <c r="X50" s="1">
        <f>_xlfn.XLOOKUP($B50,Sort_Alpha!$B$5:$B$47,Sort_Alpha!X$5:X$47,"",0)</f>
        <v>3.9828741368680274E-18</v>
      </c>
      <c r="Y50" s="1">
        <f>_xlfn.XLOOKUP($B50,Sort_Alpha!$B$5:$B$47,Sort_Alpha!Y$5:Y$47,"",0)</f>
        <v>5.3933303024171785E-18</v>
      </c>
      <c r="Z50" s="1">
        <f>_xlfn.XLOOKUP($B50,Sort_Alpha!$B$5:$B$47,Sort_Alpha!Z$5:Z$47,"",0)</f>
        <v>1.7153888782204803E-16</v>
      </c>
      <c r="AA50" s="1">
        <f>_xlfn.XLOOKUP($B50,Sort_Alpha!$B$5:$B$47,Sort_Alpha!AA$5:AA$47,"",0)</f>
        <v>1.7194150762062506E-16</v>
      </c>
      <c r="AB50" s="1">
        <f>_xlfn.XLOOKUP($B50,Sort_Alpha!$B$5:$B$47,Sort_Alpha!AB$5:AB$47,"",0)</f>
        <v>3.6322549798826443E-17</v>
      </c>
      <c r="AC50" s="1">
        <f>_xlfn.XLOOKUP($B50,Sort_Alpha!$B$5:$B$47,Sort_Alpha!AC$5:AC$47,"",0)</f>
        <v>2.5346631580027072E-16</v>
      </c>
      <c r="AD50" s="1">
        <f>_xlfn.XLOOKUP($B50,Sort_Alpha!$B$5:$B$47,Sort_Alpha!AD$5:AD$47,"",0)</f>
        <v>1.850025194983332E-15</v>
      </c>
      <c r="AE50" s="1">
        <f>_xlfn.XLOOKUP($B50,Sort_Alpha!$B$5:$B$47,Sort_Alpha!AE$5:AE$47,"",0)</f>
        <v>2.1568624684449801E-15</v>
      </c>
      <c r="AF50" s="1">
        <f>_xlfn.XLOOKUP($B50,Sort_Alpha!$B$5:$B$47,Sort_Alpha!AF$5:AF$47,"",0)</f>
        <v>2.1568624684449801E-15</v>
      </c>
      <c r="AG50" s="1">
        <f>_xlfn.XLOOKUP($B50,Sort_Alpha!$B$5:$B$47,Sort_Alpha!AG$5:AG$47,"",0)</f>
        <v>1.0914189003094597E-16</v>
      </c>
      <c r="AH50" s="1">
        <f>_xlfn.XLOOKUP($B50,Sort_Alpha!$B$5:$B$47,Sort_Alpha!AH$5:AH$47,"",0)</f>
        <v>2.9254262076732198E-17</v>
      </c>
      <c r="AI50" s="1">
        <f>_xlfn.XLOOKUP($B50,Sort_Alpha!$B$5:$B$47,Sort_Alpha!AI$5:AI$47,"",0)</f>
        <v>2.9044526460386083E-17</v>
      </c>
      <c r="AJ50" s="1">
        <f>_xlfn.XLOOKUP($B50,Sort_Alpha!$B$5:$B$47,Sort_Alpha!AJ$5:AJ$47,"",0)</f>
        <v>5.3092335532625626E-18</v>
      </c>
      <c r="AK50" s="1">
        <f>_xlfn.XLOOKUP($B50,Sort_Alpha!$B$5:$B$47,Sort_Alpha!AK$5:AK$47,"",0)</f>
        <v>2.466804599382197E-15</v>
      </c>
      <c r="AL50" s="1">
        <f>_xlfn.XLOOKUP($B50,Sort_Alpha!$B$5:$B$47,Sort_Alpha!AL$5:AL$47,"",0)</f>
        <v>1.4281276666750424E-17</v>
      </c>
      <c r="AM50" s="1">
        <f>_xlfn.XLOOKUP($B50,Sort_Alpha!$B$5:$B$47,Sort_Alpha!AM$5:AM$47,"",0)</f>
        <v>9.775958280990173E-16</v>
      </c>
      <c r="AN50" s="1">
        <f>_xlfn.XLOOKUP($B50,Sort_Alpha!$B$5:$B$47,Sort_Alpha!AN$5:AN$47,"",0)</f>
        <v>2.5482644750000406E-17</v>
      </c>
      <c r="AO50" s="1">
        <f>_xlfn.XLOOKUP($B50,Sort_Alpha!$B$5:$B$47,Sort_Alpha!AO$5:AO$47,"",0)</f>
        <v>2.5482644750000406E-17</v>
      </c>
      <c r="AP50" s="1">
        <f>_xlfn.XLOOKUP($B50,Sort_Alpha!$B$5:$B$47,Sort_Alpha!AP$5:AP$47,"",0)</f>
        <v>2.5482644750000406E-17</v>
      </c>
      <c r="AQ50" s="1">
        <f>_xlfn.XLOOKUP($B50,Sort_Alpha!$B$5:$B$47,Sort_Alpha!AQ$5:AQ$47,"",0)</f>
        <v>5.2011456807009226E-18</v>
      </c>
      <c r="AR50" s="1">
        <f>_xlfn.XLOOKUP($B50,Sort_Alpha!$B$5:$B$47,Sort_Alpha!AR$5:AR$47,"",0)</f>
        <v>5.2011456807009226E-18</v>
      </c>
      <c r="AS50" s="1">
        <f>_xlfn.XLOOKUP($B50,Sort_Alpha!$B$5:$B$47,Sort_Alpha!AS$5:AS$47,"",0)</f>
        <v>1.2065954200976476E-14</v>
      </c>
      <c r="AT50" s="1">
        <f>_xlfn.XLOOKUP($B50,Sort_Alpha!$B$5:$B$47,Sort_Alpha!AT$5:AT$47,"",0)</f>
        <v>2.7054297743279315E-16</v>
      </c>
      <c r="AU50" s="1">
        <f>_xlfn.XLOOKUP($B50,Sort_Alpha!$B$5:$B$47,Sort_Alpha!AU$5:AU$47,"",0)</f>
        <v>1.8864113749241544E-18</v>
      </c>
      <c r="AV50" s="1">
        <f>_xlfn.XLOOKUP($B50,Sort_Alpha!$B$5:$B$47,Sort_Alpha!AV$5:AV$47,"",0)</f>
        <v>0</v>
      </c>
      <c r="AW50" s="1">
        <f>_xlfn.XLOOKUP($B50,Sort_Alpha!$B$5:$B$47,Sort_Alpha!AW$5:AW$47,"",0)</f>
        <v>9.633747942162818E-15</v>
      </c>
      <c r="AX50" s="1">
        <f>_xlfn.XLOOKUP($B50,Sort_Alpha!$B$5:$B$47,Sort_Alpha!AX$5:AX$47,"",0)</f>
        <v>1.2469028736698452E-14</v>
      </c>
      <c r="AY50" s="1">
        <f>_xlfn.XLOOKUP($B50,Sort_Alpha!$B$5:$B$47,Sort_Alpha!AY$5:AY$47,"",0)</f>
        <v>1.2469028736698452E-14</v>
      </c>
      <c r="AZ50" s="1">
        <f>_xlfn.XLOOKUP($B50,Sort_Alpha!$B$5:$B$47,Sort_Alpha!AZ$5:AZ$47,"",0)</f>
        <v>1.6386366106757664E-15</v>
      </c>
      <c r="BA50" s="1">
        <f>_xlfn.XLOOKUP($B50,Sort_Alpha!$B$5:$B$47,Sort_Alpha!BA$5:BA$47,"",0)</f>
        <v>2.9336504863029231E-17</v>
      </c>
      <c r="BB50" s="1">
        <f>_xlfn.XLOOKUP($B50,Sort_Alpha!$B$5:$B$47,Sort_Alpha!BB$5:BB$47,"",0)</f>
        <v>1.510376602823058E-15</v>
      </c>
      <c r="BC50" s="1">
        <f>_xlfn.XLOOKUP($B50,Sort_Alpha!$B$5:$B$47,Sort_Alpha!BC$5:BC$47,"",0)</f>
        <v>1.5840835503616354E-15</v>
      </c>
      <c r="BD50" s="1">
        <f>_xlfn.XLOOKUP($B50,Sort_Alpha!$B$5:$B$47,Sort_Alpha!BD$5:BD$47,"",0)</f>
        <v>1.5840835503616354E-15</v>
      </c>
      <c r="BE50" s="1">
        <f>_xlfn.XLOOKUP($B50,Sort_Alpha!$B$5:$B$47,Sort_Alpha!BE$5:BE$47,"",0)</f>
        <v>3.4879622985042373E-18</v>
      </c>
      <c r="BF50" s="1">
        <f>_xlfn.XLOOKUP($B50,Sort_Alpha!$B$5:$B$47,Sort_Alpha!BF$5:BF$47,"",0)</f>
        <v>4.2923874500253449E-16</v>
      </c>
      <c r="BG50" s="1">
        <f>_xlfn.XLOOKUP($B50,Sort_Alpha!$B$5:$B$47,Sort_Alpha!BG$5:BG$47,"",0)</f>
        <v>4.0380125538030194E-15</v>
      </c>
      <c r="BH50" s="1">
        <f>_xlfn.XLOOKUP($B50,Sort_Alpha!$B$5:$B$47,Sort_Alpha!BH$5:BH$47,"",0)</f>
        <v>4.1431462759185403E-15</v>
      </c>
      <c r="BI50" s="1">
        <f>_xlfn.XLOOKUP($B50,Sort_Alpha!$B$5:$B$47,Sort_Alpha!BI$5:BI$47,"",0)</f>
        <v>4.1431462759185403E-15</v>
      </c>
      <c r="BJ50" s="1">
        <f>_xlfn.XLOOKUP($B50,Sort_Alpha!$B$5:$B$47,Sort_Alpha!BJ$5:BJ$47,"",0)</f>
        <v>4.1431462759185403E-15</v>
      </c>
      <c r="BK50" s="1">
        <f>_xlfn.XLOOKUP($B50,Sort_Alpha!$B$5:$B$47,Sort_Alpha!BK$5:BK$47,"",0)</f>
        <v>9.2470196735710969E-17</v>
      </c>
      <c r="BL50" s="1">
        <f>_xlfn.XLOOKUP($B50,Sort_Alpha!$B$5:$B$47,Sort_Alpha!BL$5:BL$47,"",0)</f>
        <v>1.282546949667954E-16</v>
      </c>
      <c r="BM50" s="1">
        <f>_xlfn.XLOOKUP($B50,Sort_Alpha!$B$5:$B$47,Sort_Alpha!BM$5:BM$47,"",0)</f>
        <v>1.6066434042311483E-16</v>
      </c>
      <c r="BN50" s="1">
        <f>_xlfn.XLOOKUP($B50,Sort_Alpha!$B$5:$B$47,Sort_Alpha!BN$5:BN$47,"",0)</f>
        <v>1.6066434042311483E-16</v>
      </c>
      <c r="BO50" s="1">
        <f>_xlfn.XLOOKUP($B50,Sort_Alpha!$B$5:$B$47,Sort_Alpha!BO$5:BO$47,"",0)</f>
        <v>4.8701746834023033E-18</v>
      </c>
      <c r="BP50" s="1">
        <f>_xlfn.XLOOKUP($B50,Sort_Alpha!$B$5:$B$47,Sort_Alpha!BP$5:BP$47,"",0)</f>
        <v>4.8701746834023033E-18</v>
      </c>
      <c r="BQ50" s="1">
        <f>_xlfn.XLOOKUP($B50,Sort_Alpha!$B$5:$B$47,Sort_Alpha!BQ$5:BQ$47,"",0)</f>
        <v>0</v>
      </c>
      <c r="BR50" s="1">
        <f>_xlfn.XLOOKUP($B50,Sort_Alpha!$B$5:$B$47,Sort_Alpha!BR$5:BR$47,"",0)</f>
        <v>1.3866642636210013E-17</v>
      </c>
      <c r="BS50" s="1">
        <f>_xlfn.XLOOKUP($B50,Sort_Alpha!$B$5:$B$47,Sort_Alpha!BS$5:BS$47,"",0)</f>
        <v>7.0180067703712082E-18</v>
      </c>
      <c r="BT50" s="1">
        <f>_xlfn.XLOOKUP($B50,Sort_Alpha!$B$5:$B$47,Sort_Alpha!BT$5:BT$47,"",0)</f>
        <v>4.0507778828639077E-18</v>
      </c>
      <c r="BU50" s="1">
        <f>_xlfn.XLOOKUP($B50,Sort_Alpha!$B$5:$B$47,Sort_Alpha!BU$5:BU$47,"",0)</f>
        <v>3.3260396608746741E-18</v>
      </c>
      <c r="BV50" s="1">
        <f>_xlfn.XLOOKUP($B50,Sort_Alpha!$B$5:$B$47,Sort_Alpha!BV$5:BV$47,"",0)</f>
        <v>1.2785221499791127E-15</v>
      </c>
      <c r="BW50" s="1">
        <f>_xlfn.XLOOKUP($B50,Sort_Alpha!$B$5:$B$47,Sort_Alpha!BW$5:BW$47,"",0)</f>
        <v>8.4488813653237804E-16</v>
      </c>
      <c r="BX50" s="1">
        <f>_xlfn.XLOOKUP($B50,Sort_Alpha!$B$5:$B$47,Sort_Alpha!BX$5:BX$47,"",0)</f>
        <v>8.4488813653237804E-16</v>
      </c>
      <c r="BY50" s="1">
        <f>_xlfn.XLOOKUP($B50,Sort_Alpha!$B$5:$B$47,Sort_Alpha!BY$5:BY$47,"",0)</f>
        <v>6.1578427524156777E-15</v>
      </c>
      <c r="BZ50" s="1">
        <f>_xlfn.XLOOKUP($B50,Sort_Alpha!$B$5:$B$47,Sort_Alpha!BZ$5:BZ$47,"",0)</f>
        <v>4.9832555731231778E-14</v>
      </c>
      <c r="CA50" s="1">
        <f>_xlfn.XLOOKUP($B50,Sort_Alpha!$B$5:$B$47,Sort_Alpha!CA$5:CA$47,"",0)</f>
        <v>9.0053855435066335E-13</v>
      </c>
      <c r="CB50" s="1">
        <f>_xlfn.XLOOKUP($B50,Sort_Alpha!$B$5:$B$47,Sort_Alpha!CB$5:CB$47,"",0)</f>
        <v>3.1460549797593641E-14</v>
      </c>
      <c r="CC50" s="1">
        <f>_xlfn.XLOOKUP($B50,Sort_Alpha!$B$5:$B$47,Sort_Alpha!CC$5:CC$47,"",0)</f>
        <v>9.3158682614673199E-16</v>
      </c>
    </row>
    <row r="51" spans="2:81" x14ac:dyDescent="0.15">
      <c r="B51" t="s">
        <v>41</v>
      </c>
      <c r="C51" s="1">
        <f>_xlfn.XLOOKUP($B51,Sort_Alpha!$B$5:$B$47,Sort_Alpha!C$5:C$47,"",0)</f>
        <v>1.0157510582568497E-15</v>
      </c>
      <c r="D51" s="1">
        <f>_xlfn.XLOOKUP($B51,Sort_Alpha!$B$5:$B$47,Sort_Alpha!D$5:D$47,"",0)</f>
        <v>1.511329265751815E-16</v>
      </c>
      <c r="E51" s="1">
        <f>_xlfn.XLOOKUP($B51,Sort_Alpha!$B$5:$B$47,Sort_Alpha!E$5:E$47,"",0)</f>
        <v>2.9790937036104949E-17</v>
      </c>
      <c r="F51" s="1">
        <f>_xlfn.XLOOKUP($B51,Sort_Alpha!$B$5:$B$47,Sort_Alpha!F$5:F$47,"",0)</f>
        <v>5.0940122006741313E-16</v>
      </c>
      <c r="G51" s="1">
        <f>_xlfn.XLOOKUP($B51,Sort_Alpha!$B$5:$B$47,Sort_Alpha!G$5:G$47,"",0)</f>
        <v>1.1111328400880288E-18</v>
      </c>
      <c r="H51" s="1">
        <f>_xlfn.XLOOKUP($B51,Sort_Alpha!$B$5:$B$47,Sort_Alpha!H$5:H$47,"",0)</f>
        <v>2.366791061563955E-17</v>
      </c>
      <c r="I51" s="1">
        <f>_xlfn.XLOOKUP($B51,Sort_Alpha!$B$5:$B$47,Sort_Alpha!I$5:I$47,"",0)</f>
        <v>1.7059322642201751E-17</v>
      </c>
      <c r="J51" s="1">
        <f>_xlfn.XLOOKUP($B51,Sort_Alpha!$B$5:$B$47,Sort_Alpha!J$5:J$47,"",0)</f>
        <v>1.7059322642201751E-17</v>
      </c>
      <c r="K51" s="1">
        <f>_xlfn.XLOOKUP($B51,Sort_Alpha!$B$5:$B$47,Sort_Alpha!K$5:K$47,"",0)</f>
        <v>1.7059322642201751E-17</v>
      </c>
      <c r="L51" s="1">
        <f>_xlfn.XLOOKUP($B51,Sort_Alpha!$B$5:$B$47,Sort_Alpha!L$5:L$47,"",0)</f>
        <v>2.9790283649307117E-17</v>
      </c>
      <c r="M51" s="1">
        <f>_xlfn.XLOOKUP($B51,Sort_Alpha!$B$5:$B$47,Sort_Alpha!M$5:M$47,"",0)</f>
        <v>2.9790283649307117E-17</v>
      </c>
      <c r="N51" s="1">
        <f>_xlfn.XLOOKUP($B51,Sort_Alpha!$B$5:$B$47,Sort_Alpha!N$5:N$47,"",0)</f>
        <v>2.9790283649307117E-17</v>
      </c>
      <c r="O51" s="1">
        <f>_xlfn.XLOOKUP($B51,Sort_Alpha!$B$5:$B$47,Sort_Alpha!O$5:O$47,"",0)</f>
        <v>1.0135726783278603E-15</v>
      </c>
      <c r="P51" s="1">
        <f>_xlfn.XLOOKUP($B51,Sort_Alpha!$B$5:$B$47,Sort_Alpha!P$5:P$47,"",0)</f>
        <v>2.7337151825957776E-16</v>
      </c>
      <c r="Q51" s="1">
        <f>_xlfn.XLOOKUP($B51,Sort_Alpha!$B$5:$B$47,Sort_Alpha!Q$5:Q$47,"",0)</f>
        <v>7.4431547327834663E-16</v>
      </c>
      <c r="R51" s="1">
        <f>_xlfn.XLOOKUP($B51,Sort_Alpha!$B$5:$B$47,Sort_Alpha!R$5:R$47,"",0)</f>
        <v>7.4431547327834663E-16</v>
      </c>
      <c r="S51" s="1">
        <f>_xlfn.XLOOKUP($B51,Sort_Alpha!$B$5:$B$47,Sort_Alpha!S$5:S$47,"",0)</f>
        <v>4.1395791257213966E-18</v>
      </c>
      <c r="T51" s="1">
        <f>_xlfn.XLOOKUP($B51,Sort_Alpha!$B$5:$B$47,Sort_Alpha!T$5:T$47,"",0)</f>
        <v>3.1108736506636849E-18</v>
      </c>
      <c r="U51" s="1">
        <f>_xlfn.XLOOKUP($B51,Sort_Alpha!$B$5:$B$47,Sort_Alpha!U$5:U$47,"",0)</f>
        <v>3.1108736506636849E-18</v>
      </c>
      <c r="V51" s="1">
        <f>_xlfn.XLOOKUP($B51,Sort_Alpha!$B$5:$B$47,Sort_Alpha!V$5:V$47,"",0)</f>
        <v>3.1108736506636849E-18</v>
      </c>
      <c r="W51" s="1">
        <f>_xlfn.XLOOKUP($B51,Sort_Alpha!$B$5:$B$47,Sort_Alpha!W$5:W$47,"",0)</f>
        <v>3.1108736506636849E-18</v>
      </c>
      <c r="X51" s="1">
        <f>_xlfn.XLOOKUP($B51,Sort_Alpha!$B$5:$B$47,Sort_Alpha!X$5:X$47,"",0)</f>
        <v>3.1108736506636849E-18</v>
      </c>
      <c r="Y51" s="1">
        <f>_xlfn.XLOOKUP($B51,Sort_Alpha!$B$5:$B$47,Sort_Alpha!Y$5:Y$47,"",0)</f>
        <v>3.7642653084757973E-18</v>
      </c>
      <c r="Z51" s="1">
        <f>_xlfn.XLOOKUP($B51,Sort_Alpha!$B$5:$B$47,Sort_Alpha!Z$5:Z$47,"",0)</f>
        <v>1.6385769615937735E-16</v>
      </c>
      <c r="AA51" s="1">
        <f>_xlfn.XLOOKUP($B51,Sort_Alpha!$B$5:$B$47,Sort_Alpha!AA$5:AA$47,"",0)</f>
        <v>1.6425220497799562E-16</v>
      </c>
      <c r="AB51" s="1">
        <f>_xlfn.XLOOKUP($B51,Sort_Alpha!$B$5:$B$47,Sort_Alpha!AB$5:AB$47,"",0)</f>
        <v>3.6527914821868476E-17</v>
      </c>
      <c r="AC51" s="1">
        <f>_xlfn.XLOOKUP($B51,Sort_Alpha!$B$5:$B$47,Sort_Alpha!AC$5:AC$47,"",0)</f>
        <v>2.7451722354025276E-16</v>
      </c>
      <c r="AD51" s="1">
        <f>_xlfn.XLOOKUP($B51,Sort_Alpha!$B$5:$B$47,Sort_Alpha!AD$5:AD$47,"",0)</f>
        <v>1.4328041513965275E-15</v>
      </c>
      <c r="AE51" s="1">
        <f>_xlfn.XLOOKUP($B51,Sort_Alpha!$B$5:$B$47,Sort_Alpha!AE$5:AE$47,"",0)</f>
        <v>1.6033238165420129E-15</v>
      </c>
      <c r="AF51" s="1">
        <f>_xlfn.XLOOKUP($B51,Sort_Alpha!$B$5:$B$47,Sort_Alpha!AF$5:AF$47,"",0)</f>
        <v>1.6033238165420129E-15</v>
      </c>
      <c r="AG51" s="1">
        <f>_xlfn.XLOOKUP($B51,Sort_Alpha!$B$5:$B$47,Sort_Alpha!AG$5:AG$47,"",0)</f>
        <v>1.1564623943250283E-16</v>
      </c>
      <c r="AH51" s="1">
        <f>_xlfn.XLOOKUP($B51,Sort_Alpha!$B$5:$B$47,Sort_Alpha!AH$5:AH$47,"",0)</f>
        <v>2.9360418256500447E-17</v>
      </c>
      <c r="AI51" s="1">
        <f>_xlfn.XLOOKUP($B51,Sort_Alpha!$B$5:$B$47,Sort_Alpha!AI$5:AI$47,"",0)</f>
        <v>3.0931802540742638E-17</v>
      </c>
      <c r="AJ51" s="1">
        <f>_xlfn.XLOOKUP($B51,Sort_Alpha!$B$5:$B$47,Sort_Alpha!AJ$5:AJ$47,"",0)</f>
        <v>4.3542259983323511E-18</v>
      </c>
      <c r="AK51" s="1">
        <f>_xlfn.XLOOKUP($B51,Sort_Alpha!$B$5:$B$47,Sort_Alpha!AK$5:AK$47,"",0)</f>
        <v>3.1566748846923442E-15</v>
      </c>
      <c r="AL51" s="1">
        <f>_xlfn.XLOOKUP($B51,Sort_Alpha!$B$5:$B$47,Sort_Alpha!AL$5:AL$47,"",0)</f>
        <v>1.506754104916339E-17</v>
      </c>
      <c r="AM51" s="1">
        <f>_xlfn.XLOOKUP($B51,Sort_Alpha!$B$5:$B$47,Sort_Alpha!AM$5:AM$47,"",0)</f>
        <v>1.0919562041747077E-15</v>
      </c>
      <c r="AN51" s="1">
        <f>_xlfn.XLOOKUP($B51,Sort_Alpha!$B$5:$B$47,Sort_Alpha!AN$5:AN$47,"",0)</f>
        <v>2.3745204020847468E-17</v>
      </c>
      <c r="AO51" s="1">
        <f>_xlfn.XLOOKUP($B51,Sort_Alpha!$B$5:$B$47,Sort_Alpha!AO$5:AO$47,"",0)</f>
        <v>2.3745204020847468E-17</v>
      </c>
      <c r="AP51" s="1">
        <f>_xlfn.XLOOKUP($B51,Sort_Alpha!$B$5:$B$47,Sort_Alpha!AP$5:AP$47,"",0)</f>
        <v>2.3745204020847468E-17</v>
      </c>
      <c r="AQ51" s="1">
        <f>_xlfn.XLOOKUP($B51,Sort_Alpha!$B$5:$B$47,Sort_Alpha!AQ$5:AQ$47,"",0)</f>
        <v>4.4192182357227796E-18</v>
      </c>
      <c r="AR51" s="1">
        <f>_xlfn.XLOOKUP($B51,Sort_Alpha!$B$5:$B$47,Sort_Alpha!AR$5:AR$47,"",0)</f>
        <v>4.4192182357227796E-18</v>
      </c>
      <c r="AS51" s="1">
        <f>_xlfn.XLOOKUP($B51,Sort_Alpha!$B$5:$B$47,Sort_Alpha!AS$5:AS$47,"",0)</f>
        <v>4.07783848704742E-14</v>
      </c>
      <c r="AT51" s="1">
        <f>_xlfn.XLOOKUP($B51,Sort_Alpha!$B$5:$B$47,Sort_Alpha!AT$5:AT$47,"",0)</f>
        <v>2.5984213109766589E-16</v>
      </c>
      <c r="AU51" s="1">
        <f>_xlfn.XLOOKUP($B51,Sort_Alpha!$B$5:$B$47,Sort_Alpha!AU$5:AU$47,"",0)</f>
        <v>1.9189424315371447E-18</v>
      </c>
      <c r="AV51" s="1">
        <f>_xlfn.XLOOKUP($B51,Sort_Alpha!$B$5:$B$47,Sort_Alpha!AV$5:AV$47,"",0)</f>
        <v>0</v>
      </c>
      <c r="AW51" s="1">
        <f>_xlfn.XLOOKUP($B51,Sort_Alpha!$B$5:$B$47,Sort_Alpha!AW$5:AW$47,"",0)</f>
        <v>1.9683359131706035E-14</v>
      </c>
      <c r="AX51" s="1">
        <f>_xlfn.XLOOKUP($B51,Sort_Alpha!$B$5:$B$47,Sort_Alpha!AX$5:AX$47,"",0)</f>
        <v>3.0219978404953189E-14</v>
      </c>
      <c r="AY51" s="1">
        <f>_xlfn.XLOOKUP($B51,Sort_Alpha!$B$5:$B$47,Sort_Alpha!AY$5:AY$47,"",0)</f>
        <v>3.0219978404953189E-14</v>
      </c>
      <c r="AZ51" s="1">
        <f>_xlfn.XLOOKUP($B51,Sort_Alpha!$B$5:$B$47,Sort_Alpha!AZ$5:AZ$47,"",0)</f>
        <v>1.717222103953774E-15</v>
      </c>
      <c r="BA51" s="1">
        <f>_xlfn.XLOOKUP($B51,Sort_Alpha!$B$5:$B$47,Sort_Alpha!BA$5:BA$47,"",0)</f>
        <v>2.9406649659868568E-17</v>
      </c>
      <c r="BB51" s="1">
        <f>_xlfn.XLOOKUP($B51,Sort_Alpha!$B$5:$B$47,Sort_Alpha!BB$5:BB$47,"",0)</f>
        <v>1.1529199254301639E-15</v>
      </c>
      <c r="BC51" s="1">
        <f>_xlfn.XLOOKUP($B51,Sort_Alpha!$B$5:$B$47,Sort_Alpha!BC$5:BC$47,"",0)</f>
        <v>1.1769565990555303E-15</v>
      </c>
      <c r="BD51" s="1">
        <f>_xlfn.XLOOKUP($B51,Sort_Alpha!$B$5:$B$47,Sort_Alpha!BD$5:BD$47,"",0)</f>
        <v>1.1769565990555303E-15</v>
      </c>
      <c r="BE51" s="1">
        <f>_xlfn.XLOOKUP($B51,Sort_Alpha!$B$5:$B$47,Sort_Alpha!BE$5:BE$47,"",0)</f>
        <v>3.4407401453252092E-18</v>
      </c>
      <c r="BF51" s="1">
        <f>_xlfn.XLOOKUP($B51,Sort_Alpha!$B$5:$B$47,Sort_Alpha!BF$5:BF$47,"",0)</f>
        <v>3.6236669523599865E-16</v>
      </c>
      <c r="BG51" s="1">
        <f>_xlfn.XLOOKUP($B51,Sort_Alpha!$B$5:$B$47,Sort_Alpha!BG$5:BG$47,"",0)</f>
        <v>5.2396431377831615E-15</v>
      </c>
      <c r="BH51" s="1">
        <f>_xlfn.XLOOKUP($B51,Sort_Alpha!$B$5:$B$47,Sort_Alpha!BH$5:BH$47,"",0)</f>
        <v>4.1632337604791609E-15</v>
      </c>
      <c r="BI51" s="1">
        <f>_xlfn.XLOOKUP($B51,Sort_Alpha!$B$5:$B$47,Sort_Alpha!BI$5:BI$47,"",0)</f>
        <v>4.1632337604791609E-15</v>
      </c>
      <c r="BJ51" s="1">
        <f>_xlfn.XLOOKUP($B51,Sort_Alpha!$B$5:$B$47,Sort_Alpha!BJ$5:BJ$47,"",0)</f>
        <v>4.1632337604791609E-15</v>
      </c>
      <c r="BK51" s="1">
        <f>_xlfn.XLOOKUP($B51,Sort_Alpha!$B$5:$B$47,Sort_Alpha!BK$5:BK$47,"",0)</f>
        <v>9.9228756307723617E-17</v>
      </c>
      <c r="BL51" s="1">
        <f>_xlfn.XLOOKUP($B51,Sort_Alpha!$B$5:$B$47,Sort_Alpha!BL$5:BL$47,"",0)</f>
        <v>1.2709162045112657E-16</v>
      </c>
      <c r="BM51" s="1">
        <f>_xlfn.XLOOKUP($B51,Sort_Alpha!$B$5:$B$47,Sort_Alpha!BM$5:BM$47,"",0)</f>
        <v>1.5893323977087728E-16</v>
      </c>
      <c r="BN51" s="1">
        <f>_xlfn.XLOOKUP($B51,Sort_Alpha!$B$5:$B$47,Sort_Alpha!BN$5:BN$47,"",0)</f>
        <v>1.5893323977087728E-16</v>
      </c>
      <c r="BO51" s="1">
        <f>_xlfn.XLOOKUP($B51,Sort_Alpha!$B$5:$B$47,Sort_Alpha!BO$5:BO$47,"",0)</f>
        <v>4.0649027091205604E-18</v>
      </c>
      <c r="BP51" s="1">
        <f>_xlfn.XLOOKUP($B51,Sort_Alpha!$B$5:$B$47,Sort_Alpha!BP$5:BP$47,"",0)</f>
        <v>4.0649027091205604E-18</v>
      </c>
      <c r="BQ51" s="1">
        <f>_xlfn.XLOOKUP($B51,Sort_Alpha!$B$5:$B$47,Sort_Alpha!BQ$5:BQ$47,"",0)</f>
        <v>0</v>
      </c>
      <c r="BR51" s="1">
        <f>_xlfn.XLOOKUP($B51,Sort_Alpha!$B$5:$B$47,Sort_Alpha!BR$5:BR$47,"",0)</f>
        <v>1.2542034726992375E-17</v>
      </c>
      <c r="BS51" s="1">
        <f>_xlfn.XLOOKUP($B51,Sort_Alpha!$B$5:$B$47,Sort_Alpha!BS$5:BS$47,"",0)</f>
        <v>7.0845806059872123E-18</v>
      </c>
      <c r="BT51" s="1">
        <f>_xlfn.XLOOKUP($B51,Sort_Alpha!$B$5:$B$47,Sort_Alpha!BT$5:BT$47,"",0)</f>
        <v>4.1631838592723048E-18</v>
      </c>
      <c r="BU51" s="1">
        <f>_xlfn.XLOOKUP($B51,Sort_Alpha!$B$5:$B$47,Sort_Alpha!BU$5:BU$47,"",0)</f>
        <v>3.0071923629688945E-18</v>
      </c>
      <c r="BV51" s="1">
        <f>_xlfn.XLOOKUP($B51,Sort_Alpha!$B$5:$B$47,Sort_Alpha!BV$5:BV$47,"",0)</f>
        <v>1.3008089991228832E-15</v>
      </c>
      <c r="BW51" s="1">
        <f>_xlfn.XLOOKUP($B51,Sort_Alpha!$B$5:$B$47,Sort_Alpha!BW$5:BW$47,"",0)</f>
        <v>8.3226414583775952E-16</v>
      </c>
      <c r="BX51" s="1">
        <f>_xlfn.XLOOKUP($B51,Sort_Alpha!$B$5:$B$47,Sort_Alpha!BX$5:BX$47,"",0)</f>
        <v>8.3226414583775952E-16</v>
      </c>
      <c r="BY51" s="1">
        <f>_xlfn.XLOOKUP($B51,Sort_Alpha!$B$5:$B$47,Sort_Alpha!BY$5:BY$47,"",0)</f>
        <v>4.1607276091183411E-15</v>
      </c>
      <c r="BZ51" s="1">
        <f>_xlfn.XLOOKUP($B51,Sort_Alpha!$B$5:$B$47,Sort_Alpha!BZ$5:BZ$47,"",0)</f>
        <v>1.9493509774504981E-14</v>
      </c>
      <c r="CA51" s="1">
        <f>_xlfn.XLOOKUP($B51,Sort_Alpha!$B$5:$B$47,Sort_Alpha!CA$5:CA$47,"",0)</f>
        <v>3.1518599268226946E-14</v>
      </c>
      <c r="CB51" s="1">
        <f>_xlfn.XLOOKUP($B51,Sort_Alpha!$B$5:$B$47,Sort_Alpha!CB$5:CB$47,"",0)</f>
        <v>5.5573360818777081E-13</v>
      </c>
      <c r="CC51" s="1">
        <f>_xlfn.XLOOKUP($B51,Sort_Alpha!$B$5:$B$47,Sort_Alpha!CC$5:CC$47,"",0)</f>
        <v>9.4988520459861556E-16</v>
      </c>
    </row>
    <row r="52" spans="2:81" x14ac:dyDescent="0.15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2:81" x14ac:dyDescent="0.15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2:81" x14ac:dyDescent="0.15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2:81" x14ac:dyDescent="0.15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2:81" x14ac:dyDescent="0.15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2:81" x14ac:dyDescent="0.15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4DBE-3E00-4B4A-B2EA-D2DC5A8A9194}">
  <sheetPr codeName="Sheet1"/>
  <dimension ref="B2:CG55"/>
  <sheetViews>
    <sheetView workbookViewId="0"/>
  </sheetViews>
  <sheetFormatPr defaultRowHeight="12" x14ac:dyDescent="0.15"/>
  <cols>
    <col min="1" max="1" width="9.140625" style="5"/>
    <col min="2" max="2" width="11.85546875" style="5" bestFit="1" customWidth="1"/>
    <col min="3" max="81" width="8.7109375" style="5" customWidth="1"/>
    <col min="82" max="16384" width="9.140625" style="5"/>
  </cols>
  <sheetData>
    <row r="2" spans="2:85" x14ac:dyDescent="0.15">
      <c r="B2" s="5" t="s">
        <v>102</v>
      </c>
    </row>
    <row r="3" spans="2:85" x14ac:dyDescent="0.15">
      <c r="C3" s="5" t="s">
        <v>43</v>
      </c>
      <c r="D3" s="5" t="s">
        <v>0</v>
      </c>
      <c r="E3" s="5" t="s">
        <v>98</v>
      </c>
      <c r="F3" s="5" t="s">
        <v>50</v>
      </c>
      <c r="G3" s="5" t="s">
        <v>2</v>
      </c>
      <c r="H3" s="5" t="s">
        <v>3</v>
      </c>
      <c r="I3" s="5" t="s">
        <v>51</v>
      </c>
      <c r="J3" s="5" t="s">
        <v>52</v>
      </c>
      <c r="K3" s="5" t="s">
        <v>53</v>
      </c>
      <c r="L3" s="5" t="s">
        <v>54</v>
      </c>
      <c r="M3" s="5" t="s">
        <v>55</v>
      </c>
      <c r="N3" s="5" t="s">
        <v>56</v>
      </c>
      <c r="O3" s="5" t="s">
        <v>57</v>
      </c>
      <c r="P3" s="5" t="s">
        <v>59</v>
      </c>
      <c r="Q3" s="5" t="s">
        <v>58</v>
      </c>
      <c r="R3" s="5" t="s">
        <v>60</v>
      </c>
      <c r="S3" s="5" t="s">
        <v>62</v>
      </c>
      <c r="T3" s="5" t="s">
        <v>61</v>
      </c>
      <c r="U3" s="5" t="s">
        <v>63</v>
      </c>
      <c r="V3" s="5" t="s">
        <v>64</v>
      </c>
      <c r="W3" s="5" t="s">
        <v>65</v>
      </c>
      <c r="X3" s="5" t="s">
        <v>66</v>
      </c>
      <c r="Y3" s="5" t="s">
        <v>10</v>
      </c>
      <c r="Z3" s="5" t="s">
        <v>67</v>
      </c>
      <c r="AA3" s="5" t="s">
        <v>11</v>
      </c>
      <c r="AB3" s="5" t="s">
        <v>12</v>
      </c>
      <c r="AC3" s="5" t="s">
        <v>13</v>
      </c>
      <c r="AD3" s="5" t="s">
        <v>68</v>
      </c>
      <c r="AE3" s="5" t="s">
        <v>69</v>
      </c>
      <c r="AF3" s="5" t="s">
        <v>70</v>
      </c>
      <c r="AG3" s="5" t="s">
        <v>15</v>
      </c>
      <c r="AH3" s="5" t="s">
        <v>71</v>
      </c>
      <c r="AI3" s="5" t="s">
        <v>72</v>
      </c>
      <c r="AJ3" s="5" t="s">
        <v>16</v>
      </c>
      <c r="AK3" s="5" t="s">
        <v>17</v>
      </c>
      <c r="AL3" s="5" t="s">
        <v>18</v>
      </c>
      <c r="AM3" s="5" t="s">
        <v>19</v>
      </c>
      <c r="AN3" s="5" t="s">
        <v>73</v>
      </c>
      <c r="AO3" s="5" t="s">
        <v>74</v>
      </c>
      <c r="AP3" s="5" t="s">
        <v>75</v>
      </c>
      <c r="AQ3" s="5" t="s">
        <v>76</v>
      </c>
      <c r="AR3" s="5" t="s">
        <v>21</v>
      </c>
      <c r="AS3" s="5" t="s">
        <v>22</v>
      </c>
      <c r="AT3" s="5" t="s">
        <v>23</v>
      </c>
      <c r="AU3" s="5" t="s">
        <v>24</v>
      </c>
      <c r="AV3" s="5" t="s">
        <v>25</v>
      </c>
      <c r="AW3" s="5" t="s">
        <v>77</v>
      </c>
      <c r="AX3" s="5" t="s">
        <v>78</v>
      </c>
      <c r="AY3" s="5" t="s">
        <v>79</v>
      </c>
      <c r="AZ3" s="5" t="s">
        <v>27</v>
      </c>
      <c r="BA3" s="5" t="s">
        <v>80</v>
      </c>
      <c r="BB3" s="5" t="s">
        <v>81</v>
      </c>
      <c r="BC3" s="5" t="s">
        <v>82</v>
      </c>
      <c r="BD3" s="5" t="s">
        <v>83</v>
      </c>
      <c r="BE3" s="5" t="s">
        <v>29</v>
      </c>
      <c r="BF3" s="5" t="s">
        <v>30</v>
      </c>
      <c r="BG3" s="5" t="s">
        <v>84</v>
      </c>
      <c r="BH3" s="5" t="s">
        <v>85</v>
      </c>
      <c r="BI3" s="5" t="s">
        <v>86</v>
      </c>
      <c r="BJ3" s="5" t="s">
        <v>44</v>
      </c>
      <c r="BK3" s="5" t="s">
        <v>32</v>
      </c>
      <c r="BL3" s="5" t="s">
        <v>87</v>
      </c>
      <c r="BM3" s="5" t="s">
        <v>88</v>
      </c>
      <c r="BN3" s="5" t="s">
        <v>89</v>
      </c>
      <c r="BO3" s="5" t="s">
        <v>90</v>
      </c>
      <c r="BP3" s="5" t="s">
        <v>91</v>
      </c>
      <c r="BQ3" s="5" t="s">
        <v>34</v>
      </c>
      <c r="BR3" s="5" t="s">
        <v>35</v>
      </c>
      <c r="BS3" s="5" t="s">
        <v>36</v>
      </c>
      <c r="BT3" s="5" t="s">
        <v>37</v>
      </c>
      <c r="BU3" s="5" t="s">
        <v>38</v>
      </c>
      <c r="BV3" s="5" t="s">
        <v>92</v>
      </c>
      <c r="BW3" s="5" t="s">
        <v>93</v>
      </c>
      <c r="BX3" s="5" t="s">
        <v>94</v>
      </c>
      <c r="BY3" s="5" t="s">
        <v>39</v>
      </c>
      <c r="BZ3" s="5" t="s">
        <v>95</v>
      </c>
      <c r="CA3" s="5" t="s">
        <v>40</v>
      </c>
      <c r="CB3" s="5" t="s">
        <v>41</v>
      </c>
      <c r="CC3" s="5" t="s">
        <v>96</v>
      </c>
    </row>
    <row r="4" spans="2:85" x14ac:dyDescent="0.15">
      <c r="C4" s="5" t="s">
        <v>99</v>
      </c>
      <c r="D4" s="5" t="s">
        <v>99</v>
      </c>
      <c r="E4" s="5" t="s">
        <v>99</v>
      </c>
      <c r="F4" s="5" t="s">
        <v>99</v>
      </c>
      <c r="G4" s="5" t="s">
        <v>99</v>
      </c>
      <c r="H4" s="5" t="s">
        <v>99</v>
      </c>
      <c r="I4" s="5" t="s">
        <v>99</v>
      </c>
      <c r="J4" s="5" t="s">
        <v>99</v>
      </c>
      <c r="K4" s="5" t="s">
        <v>99</v>
      </c>
      <c r="L4" s="5" t="s">
        <v>99</v>
      </c>
      <c r="M4" s="5" t="s">
        <v>99</v>
      </c>
      <c r="N4" s="5" t="s">
        <v>99</v>
      </c>
      <c r="O4" s="5" t="s">
        <v>99</v>
      </c>
      <c r="P4" s="5" t="s">
        <v>99</v>
      </c>
      <c r="Q4" s="5" t="s">
        <v>99</v>
      </c>
      <c r="R4" s="5" t="s">
        <v>99</v>
      </c>
      <c r="S4" s="5" t="s">
        <v>99</v>
      </c>
      <c r="T4" s="5" t="s">
        <v>99</v>
      </c>
      <c r="U4" s="5" t="s">
        <v>99</v>
      </c>
      <c r="V4" s="5" t="s">
        <v>99</v>
      </c>
      <c r="W4" s="5" t="s">
        <v>99</v>
      </c>
      <c r="X4" s="5" t="s">
        <v>99</v>
      </c>
      <c r="Y4" s="5" t="s">
        <v>99</v>
      </c>
      <c r="Z4" s="5" t="s">
        <v>99</v>
      </c>
      <c r="AA4" s="5" t="s">
        <v>99</v>
      </c>
      <c r="AB4" s="5" t="s">
        <v>99</v>
      </c>
      <c r="AC4" s="5" t="s">
        <v>99</v>
      </c>
      <c r="AD4" s="5" t="s">
        <v>99</v>
      </c>
      <c r="AE4" s="5" t="s">
        <v>99</v>
      </c>
      <c r="AF4" s="5" t="s">
        <v>99</v>
      </c>
      <c r="AG4" s="5" t="s">
        <v>99</v>
      </c>
      <c r="AH4" s="5" t="s">
        <v>99</v>
      </c>
      <c r="AI4" s="5" t="s">
        <v>99</v>
      </c>
      <c r="AJ4" s="5" t="s">
        <v>99</v>
      </c>
      <c r="AK4" s="5" t="s">
        <v>99</v>
      </c>
      <c r="AL4" s="5" t="s">
        <v>99</v>
      </c>
      <c r="AM4" s="5" t="s">
        <v>99</v>
      </c>
      <c r="AN4" s="5" t="s">
        <v>99</v>
      </c>
      <c r="AO4" s="5" t="s">
        <v>99</v>
      </c>
      <c r="AP4" s="5" t="s">
        <v>99</v>
      </c>
      <c r="AQ4" s="5" t="s">
        <v>99</v>
      </c>
      <c r="AR4" s="5" t="s">
        <v>99</v>
      </c>
      <c r="AS4" s="5" t="s">
        <v>99</v>
      </c>
      <c r="AT4" s="5" t="s">
        <v>99</v>
      </c>
      <c r="AU4" s="5" t="s">
        <v>99</v>
      </c>
      <c r="AV4" s="5" t="s">
        <v>99</v>
      </c>
      <c r="AW4" s="5" t="s">
        <v>99</v>
      </c>
      <c r="AX4" s="5" t="s">
        <v>99</v>
      </c>
      <c r="AY4" s="5" t="s">
        <v>99</v>
      </c>
      <c r="AZ4" s="5" t="s">
        <v>99</v>
      </c>
      <c r="BA4" s="5" t="s">
        <v>99</v>
      </c>
      <c r="BB4" s="5" t="s">
        <v>99</v>
      </c>
      <c r="BC4" s="5" t="s">
        <v>99</v>
      </c>
      <c r="BD4" s="5" t="s">
        <v>99</v>
      </c>
      <c r="BE4" s="5" t="s">
        <v>99</v>
      </c>
      <c r="BF4" s="5" t="s">
        <v>99</v>
      </c>
      <c r="BG4" s="5" t="s">
        <v>99</v>
      </c>
      <c r="BH4" s="5" t="s">
        <v>99</v>
      </c>
      <c r="BI4" s="5" t="s">
        <v>99</v>
      </c>
      <c r="BJ4" s="5" t="s">
        <v>99</v>
      </c>
      <c r="BK4" s="5" t="s">
        <v>99</v>
      </c>
      <c r="BL4" s="5" t="s">
        <v>99</v>
      </c>
      <c r="BM4" s="5" t="s">
        <v>99</v>
      </c>
      <c r="BN4" s="5" t="s">
        <v>99</v>
      </c>
      <c r="BO4" s="5" t="s">
        <v>99</v>
      </c>
      <c r="BP4" s="5" t="s">
        <v>99</v>
      </c>
      <c r="BQ4" s="5" t="s">
        <v>99</v>
      </c>
      <c r="BR4" s="5" t="s">
        <v>99</v>
      </c>
      <c r="BS4" s="5" t="s">
        <v>99</v>
      </c>
      <c r="BT4" s="5" t="s">
        <v>99</v>
      </c>
      <c r="BU4" s="5" t="s">
        <v>99</v>
      </c>
      <c r="BV4" s="5" t="s">
        <v>99</v>
      </c>
      <c r="BW4" s="5" t="s">
        <v>99</v>
      </c>
      <c r="BX4" s="5" t="s">
        <v>99</v>
      </c>
      <c r="BY4" s="5" t="s">
        <v>99</v>
      </c>
      <c r="BZ4" s="5" t="s">
        <v>99</v>
      </c>
      <c r="CA4" s="5" t="s">
        <v>99</v>
      </c>
      <c r="CB4" s="5" t="s">
        <v>99</v>
      </c>
      <c r="CC4" s="5" t="s">
        <v>99</v>
      </c>
    </row>
    <row r="5" spans="2:85" x14ac:dyDescent="0.15">
      <c r="B5" s="5" t="s">
        <v>48</v>
      </c>
      <c r="C5" s="6">
        <f>IF(Sort_IDAC!$B5="","",IF(Sort_IDAC!C5=0,0,ROUND(Sort_IDAC!C5,-1*INT(LOG10(Sort_IDAC!C5))+2)))</f>
        <v>2.67E-15</v>
      </c>
      <c r="D5" s="6">
        <f>IF(Sort_IDAC!$B5="","",IF(Sort_IDAC!D5=0,0,ROUND(Sort_IDAC!D5,-1*INT(LOG10(Sort_IDAC!D5))+2)))</f>
        <v>6.5600000000000001E-16</v>
      </c>
      <c r="E5" s="6">
        <f>IF(Sort_IDAC!$B5="","",IF(Sort_IDAC!E5=0,0,ROUND(Sort_IDAC!E5,-1*INT(LOG10(Sort_IDAC!E5))+2)))</f>
        <v>5.7700000000000001E-16</v>
      </c>
      <c r="F5" s="6">
        <f>IF(Sort_IDAC!$B5="","",IF(Sort_IDAC!F5=0,0,ROUND(Sort_IDAC!F5,-1*INT(LOG10(Sort_IDAC!F5))+2)))</f>
        <v>5.6199999999999996E-16</v>
      </c>
      <c r="G5" s="6">
        <f>IF(Sort_IDAC!$B5="","",IF(Sort_IDAC!G5=0,0,ROUND(Sort_IDAC!G5,-1*INT(LOG10(Sort_IDAC!G5))+2)))</f>
        <v>2.2900000000000002E-16</v>
      </c>
      <c r="H5" s="6">
        <f>IF(Sort_IDAC!$B5="","",IF(Sort_IDAC!H5=0,0,ROUND(Sort_IDAC!H5,-1*INT(LOG10(Sort_IDAC!H5))+2)))</f>
        <v>1.6099999999999999E-15</v>
      </c>
      <c r="I5" s="6">
        <f>IF(Sort_IDAC!$B5="","",IF(Sort_IDAC!I5=0,0,ROUND(Sort_IDAC!I5,-1*INT(LOG10(Sort_IDAC!I5))+2)))</f>
        <v>6.2700000000000003E-16</v>
      </c>
      <c r="J5" s="6">
        <f>IF(Sort_IDAC!$B5="","",IF(Sort_IDAC!J5=0,0,ROUND(Sort_IDAC!J5,-1*INT(LOG10(Sort_IDAC!J5))+2)))</f>
        <v>6.2700000000000003E-16</v>
      </c>
      <c r="K5" s="6">
        <f>IF(Sort_IDAC!$B5="","",IF(Sort_IDAC!K5=0,0,ROUND(Sort_IDAC!K5,-1*INT(LOG10(Sort_IDAC!K5))+2)))</f>
        <v>6.2700000000000003E-16</v>
      </c>
      <c r="L5" s="6">
        <f>IF(Sort_IDAC!$B5="","",IF(Sort_IDAC!L5=0,0,ROUND(Sort_IDAC!L5,-1*INT(LOG10(Sort_IDAC!L5))+2)))</f>
        <v>5.7700000000000001E-16</v>
      </c>
      <c r="M5" s="6">
        <f>IF(Sort_IDAC!$B5="","",IF(Sort_IDAC!M5=0,0,ROUND(Sort_IDAC!M5,-1*INT(LOG10(Sort_IDAC!M5))+2)))</f>
        <v>5.7700000000000001E-16</v>
      </c>
      <c r="N5" s="6">
        <f>IF(Sort_IDAC!$B5="","",IF(Sort_IDAC!N5=0,0,ROUND(Sort_IDAC!N5,-1*INT(LOG10(Sort_IDAC!N5))+2)))</f>
        <v>5.7700000000000001E-16</v>
      </c>
      <c r="O5" s="6">
        <f>IF(Sort_IDAC!$B5="","",IF(Sort_IDAC!O5=0,0,ROUND(Sort_IDAC!O5,-1*INT(LOG10(Sort_IDAC!O5))+2)))</f>
        <v>6.1400000000000002E-16</v>
      </c>
      <c r="P5" s="6">
        <f>IF(Sort_IDAC!$B5="","",IF(Sort_IDAC!P5=0,0,ROUND(Sort_IDAC!P5,-1*INT(LOG10(Sort_IDAC!P5))+2)))</f>
        <v>5.4800000000000003E-16</v>
      </c>
      <c r="Q5" s="6">
        <f>IF(Sort_IDAC!$B5="","",IF(Sort_IDAC!Q5=0,0,ROUND(Sort_IDAC!Q5,-1*INT(LOG10(Sort_IDAC!Q5))+2)))</f>
        <v>5.6100000000000004E-16</v>
      </c>
      <c r="R5" s="6">
        <f>IF(Sort_IDAC!$B5="","",IF(Sort_IDAC!R5=0,0,ROUND(Sort_IDAC!R5,-1*INT(LOG10(Sort_IDAC!R5))+2)))</f>
        <v>5.6100000000000004E-16</v>
      </c>
      <c r="S5" s="6">
        <f>IF(Sort_IDAC!$B5="","",IF(Sort_IDAC!S5=0,0,ROUND(Sort_IDAC!S5,-1*INT(LOG10(Sort_IDAC!S5))+2)))</f>
        <v>7.5300000000000001E-16</v>
      </c>
      <c r="T5" s="6">
        <f>IF(Sort_IDAC!$B5="","",IF(Sort_IDAC!T5=0,0,ROUND(Sort_IDAC!T5,-1*INT(LOG10(Sort_IDAC!T5))+2)))</f>
        <v>6.5000000000000001E-16</v>
      </c>
      <c r="U5" s="6">
        <f>IF(Sort_IDAC!$B5="","",IF(Sort_IDAC!U5=0,0,ROUND(Sort_IDAC!U5,-1*INT(LOG10(Sort_IDAC!U5))+2)))</f>
        <v>6.5000000000000001E-16</v>
      </c>
      <c r="V5" s="6">
        <f>IF(Sort_IDAC!$B5="","",IF(Sort_IDAC!V5=0,0,ROUND(Sort_IDAC!V5,-1*INT(LOG10(Sort_IDAC!V5))+2)))</f>
        <v>6.5000000000000001E-16</v>
      </c>
      <c r="W5" s="6">
        <f>IF(Sort_IDAC!$B5="","",IF(Sort_IDAC!W5=0,0,ROUND(Sort_IDAC!W5,-1*INT(LOG10(Sort_IDAC!W5))+2)))</f>
        <v>6.5000000000000001E-16</v>
      </c>
      <c r="X5" s="6">
        <f>IF(Sort_IDAC!$B5="","",IF(Sort_IDAC!X5=0,0,ROUND(Sort_IDAC!X5,-1*INT(LOG10(Sort_IDAC!X5))+2)))</f>
        <v>6.5000000000000001E-16</v>
      </c>
      <c r="Y5" s="6">
        <f>IF(Sort_IDAC!$B5="","",IF(Sort_IDAC!Y5=0,0,ROUND(Sort_IDAC!Y5,-1*INT(LOG10(Sort_IDAC!Y5))+2)))</f>
        <v>4.1000000000000001E-16</v>
      </c>
      <c r="Z5" s="6">
        <f>IF(Sort_IDAC!$B5="","",IF(Sort_IDAC!Z5=0,0,ROUND(Sort_IDAC!Z5,-1*INT(LOG10(Sort_IDAC!Z5))+2)))</f>
        <v>5.3500000000000002E-16</v>
      </c>
      <c r="AA5" s="6">
        <f>IF(Sort_IDAC!$B5="","",IF(Sort_IDAC!AA5=0,0,ROUND(Sort_IDAC!AA5,-1*INT(LOG10(Sort_IDAC!AA5))+2)))</f>
        <v>5.5400000000000003E-16</v>
      </c>
      <c r="AB5" s="6">
        <f>IF(Sort_IDAC!$B5="","",IF(Sort_IDAC!AB5=0,0,ROUND(Sort_IDAC!AB5,-1*INT(LOG10(Sort_IDAC!AB5))+2)))</f>
        <v>5.2400000000000003E-16</v>
      </c>
      <c r="AC5" s="6">
        <f>IF(Sort_IDAC!$B5="","",IF(Sort_IDAC!AC5=0,0,ROUND(Sort_IDAC!AC5,-1*INT(LOG10(Sort_IDAC!AC5))+2)))</f>
        <v>7.3999999999999999E-16</v>
      </c>
      <c r="AD5" s="6">
        <f>IF(Sort_IDAC!$B5="","",IF(Sort_IDAC!AD5=0,0,ROUND(Sort_IDAC!AD5,-1*INT(LOG10(Sort_IDAC!AD5))+2)))</f>
        <v>8.3900000000000003E-16</v>
      </c>
      <c r="AE5" s="6">
        <f>IF(Sort_IDAC!$B5="","",IF(Sort_IDAC!AE5=0,0,ROUND(Sort_IDAC!AE5,-1*INT(LOG10(Sort_IDAC!AE5))+2)))</f>
        <v>8.9299999999999992E-16</v>
      </c>
      <c r="AF5" s="6">
        <f>IF(Sort_IDAC!$B5="","",IF(Sort_IDAC!AF5=0,0,ROUND(Sort_IDAC!AF5,-1*INT(LOG10(Sort_IDAC!AF5))+2)))</f>
        <v>8.9299999999999992E-16</v>
      </c>
      <c r="AG5" s="6">
        <f>IF(Sort_IDAC!$B5="","",IF(Sort_IDAC!AG5=0,0,ROUND(Sort_IDAC!AG5,-1*INT(LOG10(Sort_IDAC!AG5))+2)))</f>
        <v>5.34E-16</v>
      </c>
      <c r="AH5" s="6">
        <f>IF(Sort_IDAC!$B5="","",IF(Sort_IDAC!AH5=0,0,ROUND(Sort_IDAC!AH5,-1*INT(LOG10(Sort_IDAC!AH5))+2)))</f>
        <v>5.7900000000000004E-16</v>
      </c>
      <c r="AI5" s="6">
        <f>IF(Sort_IDAC!$B5="","",IF(Sort_IDAC!AI5=0,0,ROUND(Sort_IDAC!AI5,-1*INT(LOG10(Sort_IDAC!AI5))+2)))</f>
        <v>5.7200000000000003E-16</v>
      </c>
      <c r="AJ5" s="6">
        <f>IF(Sort_IDAC!$B5="","",IF(Sort_IDAC!AJ5=0,0,ROUND(Sort_IDAC!AJ5,-1*INT(LOG10(Sort_IDAC!AJ5))+2)))</f>
        <v>5.7800000000000002E-16</v>
      </c>
      <c r="AK5" s="6">
        <f>IF(Sort_IDAC!$B5="","",IF(Sort_IDAC!AK5=0,0,ROUND(Sort_IDAC!AK5,-1*INT(LOG10(Sort_IDAC!AK5))+2)))</f>
        <v>1.01E-15</v>
      </c>
      <c r="AL5" s="6">
        <f>IF(Sort_IDAC!$B5="","",IF(Sort_IDAC!AL5=0,0,ROUND(Sort_IDAC!AL5,-1*INT(LOG10(Sort_IDAC!AL5))+2)))</f>
        <v>7.0899999999999998E-16</v>
      </c>
      <c r="AM5" s="6">
        <f>IF(Sort_IDAC!$B5="","",IF(Sort_IDAC!AM5=0,0,ROUND(Sort_IDAC!AM5,-1*INT(LOG10(Sort_IDAC!AM5))+2)))</f>
        <v>7.3600000000000003E-16</v>
      </c>
      <c r="AN5" s="6">
        <f>IF(Sort_IDAC!$B5="","",IF(Sort_IDAC!AN5=0,0,ROUND(Sort_IDAC!AN5,-1*INT(LOG10(Sort_IDAC!AN5))+2)))</f>
        <v>5.3899999999999998E-16</v>
      </c>
      <c r="AO5" s="6">
        <f>IF(Sort_IDAC!$B5="","",IF(Sort_IDAC!AO5=0,0,ROUND(Sort_IDAC!AO5,-1*INT(LOG10(Sort_IDAC!AO5))+2)))</f>
        <v>5.3899999999999998E-16</v>
      </c>
      <c r="AP5" s="6">
        <f>IF(Sort_IDAC!$B5="","",IF(Sort_IDAC!AP5=0,0,ROUND(Sort_IDAC!AP5,-1*INT(LOG10(Sort_IDAC!AP5))+2)))</f>
        <v>5.3899999999999998E-16</v>
      </c>
      <c r="AQ5" s="6">
        <f>IF(Sort_IDAC!$B5="","",IF(Sort_IDAC!AQ5=0,0,ROUND(Sort_IDAC!AQ5,-1*INT(LOG10(Sort_IDAC!AQ5))+2)))</f>
        <v>5.0600000000000004E-16</v>
      </c>
      <c r="AR5" s="6">
        <f>IF(Sort_IDAC!$B5="","",IF(Sort_IDAC!AR5=0,0,ROUND(Sort_IDAC!AR5,-1*INT(LOG10(Sort_IDAC!AR5))+2)))</f>
        <v>5.0600000000000004E-16</v>
      </c>
      <c r="AS5" s="6">
        <f>IF(Sort_IDAC!$B5="","",IF(Sort_IDAC!AS5=0,0,ROUND(Sort_IDAC!AS5,-1*INT(LOG10(Sort_IDAC!AS5))+2)))</f>
        <v>1.1700000000000001E-15</v>
      </c>
      <c r="AT5" s="6">
        <f>IF(Sort_IDAC!$B5="","",IF(Sort_IDAC!AT5=0,0,ROUND(Sort_IDAC!AT5,-1*INT(LOG10(Sort_IDAC!AT5))+2)))</f>
        <v>6.5000000000000001E-16</v>
      </c>
      <c r="AU5" s="6">
        <f>IF(Sort_IDAC!$B5="","",IF(Sort_IDAC!AU5=0,0,ROUND(Sort_IDAC!AU5,-1*INT(LOG10(Sort_IDAC!AU5))+2)))</f>
        <v>3.7499999999999998E-16</v>
      </c>
      <c r="AV5" s="6">
        <f>IF(Sort_IDAC!$B5="","",IF(Sort_IDAC!AV5=0,0,ROUND(Sort_IDAC!AV5,-1*INT(LOG10(Sort_IDAC!AV5))+2)))</f>
        <v>0</v>
      </c>
      <c r="AW5" s="6">
        <f>IF(Sort_IDAC!$B5="","",IF(Sort_IDAC!AW5=0,0,ROUND(Sort_IDAC!AW5,-1*INT(LOG10(Sort_IDAC!AW5))+2)))</f>
        <v>1.0399999999999999E-15</v>
      </c>
      <c r="AX5" s="6">
        <f>IF(Sort_IDAC!$B5="","",IF(Sort_IDAC!AX5=0,0,ROUND(Sort_IDAC!AX5,-1*INT(LOG10(Sort_IDAC!AX5))+2)))</f>
        <v>1.13E-15</v>
      </c>
      <c r="AY5" s="6">
        <f>IF(Sort_IDAC!$B5="","",IF(Sort_IDAC!AY5=0,0,ROUND(Sort_IDAC!AY5,-1*INT(LOG10(Sort_IDAC!AY5))+2)))</f>
        <v>1.13E-15</v>
      </c>
      <c r="AZ5" s="6">
        <f>IF(Sort_IDAC!$B5="","",IF(Sort_IDAC!AZ5=0,0,ROUND(Sort_IDAC!AZ5,-1*INT(LOG10(Sort_IDAC!AZ5))+2)))</f>
        <v>6.7500000000000002E-16</v>
      </c>
      <c r="BA5" s="6">
        <f>IF(Sort_IDAC!$B5="","",IF(Sort_IDAC!BA5=0,0,ROUND(Sort_IDAC!BA5,-1*INT(LOG10(Sort_IDAC!BA5))+2)))</f>
        <v>5.7800000000000002E-16</v>
      </c>
      <c r="BB5" s="6">
        <f>IF(Sort_IDAC!$B5="","",IF(Sort_IDAC!BB5=0,0,ROUND(Sort_IDAC!BB5,-1*INT(LOG10(Sort_IDAC!BB5))+2)))</f>
        <v>7.8099999999999997E-16</v>
      </c>
      <c r="BC5" s="6">
        <f>IF(Sort_IDAC!$B5="","",IF(Sort_IDAC!BC5=0,0,ROUND(Sort_IDAC!BC5,-1*INT(LOG10(Sort_IDAC!BC5))+2)))</f>
        <v>8.4299999999999999E-16</v>
      </c>
      <c r="BD5" s="6">
        <f>IF(Sort_IDAC!$B5="","",IF(Sort_IDAC!BD5=0,0,ROUND(Sort_IDAC!BD5,-1*INT(LOG10(Sort_IDAC!BD5))+2)))</f>
        <v>8.4299999999999999E-16</v>
      </c>
      <c r="BE5" s="6">
        <f>IF(Sort_IDAC!$B5="","",IF(Sort_IDAC!BE5=0,0,ROUND(Sort_IDAC!BE5,-1*INT(LOG10(Sort_IDAC!BE5))+2)))</f>
        <v>5.0799999999999997E-16</v>
      </c>
      <c r="BF5" s="6">
        <f>IF(Sort_IDAC!$B5="","",IF(Sort_IDAC!BF5=0,0,ROUND(Sort_IDAC!BF5,-1*INT(LOG10(Sort_IDAC!BF5))+2)))</f>
        <v>7.8699999999999997E-16</v>
      </c>
      <c r="BG5" s="6">
        <f>IF(Sort_IDAC!$B5="","",IF(Sort_IDAC!BG5=0,0,ROUND(Sort_IDAC!BG5,-1*INT(LOG10(Sort_IDAC!BG5))+2)))</f>
        <v>8.4199999999999998E-16</v>
      </c>
      <c r="BH5" s="6">
        <f>IF(Sort_IDAC!$B5="","",IF(Sort_IDAC!BH5=0,0,ROUND(Sort_IDAC!BH5,-1*INT(LOG10(Sort_IDAC!BH5))+2)))</f>
        <v>9.4399999999999996E-16</v>
      </c>
      <c r="BI5" s="6">
        <f>IF(Sort_IDAC!$B5="","",IF(Sort_IDAC!BI5=0,0,ROUND(Sort_IDAC!BI5,-1*INT(LOG10(Sort_IDAC!BI5))+2)))</f>
        <v>9.4399999999999996E-16</v>
      </c>
      <c r="BJ5" s="6">
        <f>IF(Sort_IDAC!$B5="","",IF(Sort_IDAC!BJ5=0,0,ROUND(Sort_IDAC!BJ5,-1*INT(LOG10(Sort_IDAC!BJ5))+2)))</f>
        <v>9.4399999999999996E-16</v>
      </c>
      <c r="BK5" s="6">
        <f>IF(Sort_IDAC!$B5="","",IF(Sort_IDAC!BK5=0,0,ROUND(Sort_IDAC!BK5,-1*INT(LOG10(Sort_IDAC!BK5))+2)))</f>
        <v>7.34E-16</v>
      </c>
      <c r="BL5" s="6">
        <f>IF(Sort_IDAC!$B5="","",IF(Sort_IDAC!BL5=0,0,ROUND(Sort_IDAC!BL5,-1*INT(LOG10(Sort_IDAC!BL5))+2)))</f>
        <v>5.9399999999999999E-16</v>
      </c>
      <c r="BM5" s="6">
        <f>IF(Sort_IDAC!$B5="","",IF(Sort_IDAC!BM5=0,0,ROUND(Sort_IDAC!BM5,-1*INT(LOG10(Sort_IDAC!BM5))+2)))</f>
        <v>6.6800000000000001E-16</v>
      </c>
      <c r="BN5" s="6">
        <f>IF(Sort_IDAC!$B5="","",IF(Sort_IDAC!BN5=0,0,ROUND(Sort_IDAC!BN5,-1*INT(LOG10(Sort_IDAC!BN5))+2)))</f>
        <v>6.6800000000000001E-16</v>
      </c>
      <c r="BO5" s="6">
        <f>IF(Sort_IDAC!$B5="","",IF(Sort_IDAC!BO5=0,0,ROUND(Sort_IDAC!BO5,-1*INT(LOG10(Sort_IDAC!BO5))+2)))</f>
        <v>4.4699999999999997E-16</v>
      </c>
      <c r="BP5" s="6">
        <f>IF(Sort_IDAC!$B5="","",IF(Sort_IDAC!BP5=0,0,ROUND(Sort_IDAC!BP5,-1*INT(LOG10(Sort_IDAC!BP5))+2)))</f>
        <v>4.4699999999999997E-16</v>
      </c>
      <c r="BQ5" s="6">
        <f>IF(Sort_IDAC!$B5="","",IF(Sort_IDAC!BQ5=0,0,ROUND(Sort_IDAC!BQ5,-1*INT(LOG10(Sort_IDAC!BQ5))+2)))</f>
        <v>0</v>
      </c>
      <c r="BR5" s="6">
        <f>IF(Sort_IDAC!$B5="","",IF(Sort_IDAC!BR5=0,0,ROUND(Sort_IDAC!BR5,-1*INT(LOG10(Sort_IDAC!BR5))+2)))</f>
        <v>6.3400000000000005E-16</v>
      </c>
      <c r="BS5" s="6">
        <f>IF(Sort_IDAC!$B5="","",IF(Sort_IDAC!BS5=0,0,ROUND(Sort_IDAC!BS5,-1*INT(LOG10(Sort_IDAC!BS5))+2)))</f>
        <v>5.9299999999999997E-16</v>
      </c>
      <c r="BT5" s="6">
        <f>IF(Sort_IDAC!$B5="","",IF(Sort_IDAC!BT5=0,0,ROUND(Sort_IDAC!BT5,-1*INT(LOG10(Sort_IDAC!BT5))+2)))</f>
        <v>4.7199999999999998E-16</v>
      </c>
      <c r="BU5" s="6">
        <f>IF(Sort_IDAC!$B5="","",IF(Sort_IDAC!BU5=0,0,ROUND(Sort_IDAC!BU5,-1*INT(LOG10(Sort_IDAC!BU5))+2)))</f>
        <v>5.9799999999999995E-16</v>
      </c>
      <c r="BV5" s="6">
        <f>IF(Sort_IDAC!$B5="","",IF(Sort_IDAC!BV5=0,0,ROUND(Sort_IDAC!BV5,-1*INT(LOG10(Sort_IDAC!BV5))+2)))</f>
        <v>6.0200000000000002E-16</v>
      </c>
      <c r="BW5" s="6">
        <f>IF(Sort_IDAC!$B5="","",IF(Sort_IDAC!BW5=0,0,ROUND(Sort_IDAC!BW5,-1*INT(LOG10(Sort_IDAC!BW5))+2)))</f>
        <v>5.2599999999999997E-16</v>
      </c>
      <c r="BX5" s="6">
        <f>IF(Sort_IDAC!$B5="","",IF(Sort_IDAC!BX5=0,0,ROUND(Sort_IDAC!BX5,-1*INT(LOG10(Sort_IDAC!BX5))+2)))</f>
        <v>5.2599999999999997E-16</v>
      </c>
      <c r="BY5" s="6">
        <f>IF(Sort_IDAC!$B5="","",IF(Sort_IDAC!BY5=0,0,ROUND(Sort_IDAC!BY5,-1*INT(LOG10(Sort_IDAC!BY5))+2)))</f>
        <v>1.0499999999999999E-15</v>
      </c>
      <c r="BZ5" s="6">
        <f>IF(Sort_IDAC!$B5="","",IF(Sort_IDAC!BZ5=0,0,ROUND(Sort_IDAC!BZ5,-1*INT(LOG10(Sort_IDAC!BZ5))+2)))</f>
        <v>8.0900000000000003E-16</v>
      </c>
      <c r="CA5" s="6">
        <f>IF(Sort_IDAC!$B5="","",IF(Sort_IDAC!CA5=0,0,ROUND(Sort_IDAC!CA5,-1*INT(LOG10(Sort_IDAC!CA5))+2)))</f>
        <v>9.1100000000000001E-16</v>
      </c>
      <c r="CB5" s="6">
        <f>IF(Sort_IDAC!$B5="","",IF(Sort_IDAC!CB5=0,0,ROUND(Sort_IDAC!CB5,-1*INT(LOG10(Sort_IDAC!CB5))+2)))</f>
        <v>1.01E-15</v>
      </c>
      <c r="CC5" s="6">
        <f>IF(Sort_IDAC!$B5="","",IF(Sort_IDAC!CC5=0,0,ROUND(Sort_IDAC!CC5,-1*INT(LOG10(Sort_IDAC!CC5))+2)))</f>
        <v>5.58E-16</v>
      </c>
      <c r="CD5" s="6"/>
      <c r="CE5" s="6"/>
      <c r="CF5" s="6"/>
      <c r="CG5" s="6"/>
    </row>
    <row r="6" spans="2:85" x14ac:dyDescent="0.15">
      <c r="B6" s="5" t="s">
        <v>0</v>
      </c>
      <c r="C6" s="6">
        <f>IF(Sort_IDAC!$B6="","",IF(Sort_IDAC!C6=0,0,ROUND(Sort_IDAC!C6,-1*INT(LOG10(Sort_IDAC!C6))+2)))</f>
        <v>6.5600000000000001E-16</v>
      </c>
      <c r="D6" s="6">
        <f>IF(Sort_IDAC!$B6="","",IF(Sort_IDAC!D6=0,0,ROUND(Sort_IDAC!D6,-1*INT(LOG10(Sort_IDAC!D6))+2)))</f>
        <v>2.61E-12</v>
      </c>
      <c r="E6" s="6">
        <f>IF(Sort_IDAC!$B6="","",IF(Sort_IDAC!E6=0,0,ROUND(Sort_IDAC!E6,-1*INT(LOG10(Sort_IDAC!E6))+2)))</f>
        <v>1.53E-15</v>
      </c>
      <c r="F6" s="6">
        <f>IF(Sort_IDAC!$B6="","",IF(Sort_IDAC!F6=0,0,ROUND(Sort_IDAC!F6,-1*INT(LOG10(Sort_IDAC!F6))+2)))</f>
        <v>3.81E-15</v>
      </c>
      <c r="G6" s="6">
        <f>IF(Sort_IDAC!$B6="","",IF(Sort_IDAC!G6=0,0,ROUND(Sort_IDAC!G6,-1*INT(LOG10(Sort_IDAC!G6))+2)))</f>
        <v>3.39E-17</v>
      </c>
      <c r="H6" s="6">
        <f>IF(Sort_IDAC!$B6="","",IF(Sort_IDAC!H6=0,0,ROUND(Sort_IDAC!H6,-1*INT(LOG10(Sort_IDAC!H6))+2)))</f>
        <v>8.4000000000000004E-16</v>
      </c>
      <c r="I6" s="6">
        <f>IF(Sort_IDAC!$B6="","",IF(Sort_IDAC!I6=0,0,ROUND(Sort_IDAC!I6,-1*INT(LOG10(Sort_IDAC!I6))+2)))</f>
        <v>8.3599999999999998E-16</v>
      </c>
      <c r="J6" s="6">
        <f>IF(Sort_IDAC!$B6="","",IF(Sort_IDAC!J6=0,0,ROUND(Sort_IDAC!J6,-1*INT(LOG10(Sort_IDAC!J6))+2)))</f>
        <v>8.3599999999999998E-16</v>
      </c>
      <c r="K6" s="6">
        <f>IF(Sort_IDAC!$B6="","",IF(Sort_IDAC!K6=0,0,ROUND(Sort_IDAC!K6,-1*INT(LOG10(Sort_IDAC!K6))+2)))</f>
        <v>8.3599999999999998E-16</v>
      </c>
      <c r="L6" s="6">
        <f>IF(Sort_IDAC!$B6="","",IF(Sort_IDAC!L6=0,0,ROUND(Sort_IDAC!L6,-1*INT(LOG10(Sort_IDAC!L6))+2)))</f>
        <v>1.53E-15</v>
      </c>
      <c r="M6" s="6">
        <f>IF(Sort_IDAC!$B6="","",IF(Sort_IDAC!M6=0,0,ROUND(Sort_IDAC!M6,-1*INT(LOG10(Sort_IDAC!M6))+2)))</f>
        <v>1.53E-15</v>
      </c>
      <c r="N6" s="6">
        <f>IF(Sort_IDAC!$B6="","",IF(Sort_IDAC!N6=0,0,ROUND(Sort_IDAC!N6,-1*INT(LOG10(Sort_IDAC!N6))+2)))</f>
        <v>1.53E-15</v>
      </c>
      <c r="O6" s="6">
        <f>IF(Sort_IDAC!$B6="","",IF(Sort_IDAC!O6=0,0,ROUND(Sort_IDAC!O6,-1*INT(LOG10(Sort_IDAC!O6))+2)))</f>
        <v>1.48E-15</v>
      </c>
      <c r="P6" s="6">
        <f>IF(Sort_IDAC!$B6="","",IF(Sort_IDAC!P6=0,0,ROUND(Sort_IDAC!P6,-1*INT(LOG10(Sort_IDAC!P6))+2)))</f>
        <v>1.2999999999999999E-16</v>
      </c>
      <c r="Q6" s="6">
        <f>IF(Sort_IDAC!$B6="","",IF(Sort_IDAC!Q6=0,0,ROUND(Sort_IDAC!Q6,-1*INT(LOG10(Sort_IDAC!Q6))+2)))</f>
        <v>1.1100000000000001E-15</v>
      </c>
      <c r="R6" s="6">
        <f>IF(Sort_IDAC!$B6="","",IF(Sort_IDAC!R6=0,0,ROUND(Sort_IDAC!R6,-1*INT(LOG10(Sort_IDAC!R6))+2)))</f>
        <v>1.1100000000000001E-15</v>
      </c>
      <c r="S6" s="6">
        <f>IF(Sort_IDAC!$B6="","",IF(Sort_IDAC!S6=0,0,ROUND(Sort_IDAC!S6,-1*INT(LOG10(Sort_IDAC!S6))+2)))</f>
        <v>8.4899999999999997E-17</v>
      </c>
      <c r="T6" s="6">
        <f>IF(Sort_IDAC!$B6="","",IF(Sort_IDAC!T6=0,0,ROUND(Sort_IDAC!T6,-1*INT(LOG10(Sort_IDAC!T6))+2)))</f>
        <v>9.4899999999999999E-17</v>
      </c>
      <c r="U6" s="6">
        <f>IF(Sort_IDAC!$B6="","",IF(Sort_IDAC!U6=0,0,ROUND(Sort_IDAC!U6,-1*INT(LOG10(Sort_IDAC!U6))+2)))</f>
        <v>9.4899999999999999E-17</v>
      </c>
      <c r="V6" s="6">
        <f>IF(Sort_IDAC!$B6="","",IF(Sort_IDAC!V6=0,0,ROUND(Sort_IDAC!V6,-1*INT(LOG10(Sort_IDAC!V6))+2)))</f>
        <v>9.4899999999999999E-17</v>
      </c>
      <c r="W6" s="6">
        <f>IF(Sort_IDAC!$B6="","",IF(Sort_IDAC!W6=0,0,ROUND(Sort_IDAC!W6,-1*INT(LOG10(Sort_IDAC!W6))+2)))</f>
        <v>9.4899999999999999E-17</v>
      </c>
      <c r="X6" s="6">
        <f>IF(Sort_IDAC!$B6="","",IF(Sort_IDAC!X6=0,0,ROUND(Sort_IDAC!X6,-1*INT(LOG10(Sort_IDAC!X6))+2)))</f>
        <v>9.4899999999999999E-17</v>
      </c>
      <c r="Y6" s="6">
        <f>IF(Sort_IDAC!$B6="","",IF(Sort_IDAC!Y6=0,0,ROUND(Sort_IDAC!Y6,-1*INT(LOG10(Sort_IDAC!Y6))+2)))</f>
        <v>6.51E-17</v>
      </c>
      <c r="Z6" s="6">
        <f>IF(Sort_IDAC!$B6="","",IF(Sort_IDAC!Z6=0,0,ROUND(Sort_IDAC!Z6,-1*INT(LOG10(Sort_IDAC!Z6))+2)))</f>
        <v>1.8699999999999999E-14</v>
      </c>
      <c r="AA6" s="6">
        <f>IF(Sort_IDAC!$B6="","",IF(Sort_IDAC!AA6=0,0,ROUND(Sort_IDAC!AA6,-1*INT(LOG10(Sort_IDAC!AA6))+2)))</f>
        <v>2.2899999999999999E-14</v>
      </c>
      <c r="AB6" s="6">
        <f>IF(Sort_IDAC!$B6="","",IF(Sort_IDAC!AB6=0,0,ROUND(Sort_IDAC!AB6,-1*INT(LOG10(Sort_IDAC!AB6))+2)))</f>
        <v>2.0299999999999999E-15</v>
      </c>
      <c r="AC6" s="6">
        <f>IF(Sort_IDAC!$B6="","",IF(Sort_IDAC!AC6=0,0,ROUND(Sort_IDAC!AC6,-1*INT(LOG10(Sort_IDAC!AC6))+2)))</f>
        <v>1.55E-14</v>
      </c>
      <c r="AD6" s="6">
        <f>IF(Sort_IDAC!$B6="","",IF(Sort_IDAC!AD6=0,0,ROUND(Sort_IDAC!AD6,-1*INT(LOG10(Sort_IDAC!AD6))+2)))</f>
        <v>7.1700000000000002E-16</v>
      </c>
      <c r="AE6" s="6">
        <f>IF(Sort_IDAC!$B6="","",IF(Sort_IDAC!AE6=0,0,ROUND(Sort_IDAC!AE6,-1*INT(LOG10(Sort_IDAC!AE6))+2)))</f>
        <v>7.0600000000000003E-16</v>
      </c>
      <c r="AF6" s="6">
        <f>IF(Sort_IDAC!$B6="","",IF(Sort_IDAC!AF6=0,0,ROUND(Sort_IDAC!AF6,-1*INT(LOG10(Sort_IDAC!AF6))+2)))</f>
        <v>7.0600000000000003E-16</v>
      </c>
      <c r="AG6" s="6">
        <f>IF(Sort_IDAC!$B6="","",IF(Sort_IDAC!AG6=0,0,ROUND(Sort_IDAC!AG6,-1*INT(LOG10(Sort_IDAC!AG6))+2)))</f>
        <v>9.0599999999999997E-15</v>
      </c>
      <c r="AH6" s="6">
        <f>IF(Sort_IDAC!$B6="","",IF(Sort_IDAC!AH6=0,0,ROUND(Sort_IDAC!AH6,-1*INT(LOG10(Sort_IDAC!AH6))+2)))</f>
        <v>1.4999999999999999E-15</v>
      </c>
      <c r="AI6" s="6">
        <f>IF(Sort_IDAC!$B6="","",IF(Sort_IDAC!AI6=0,0,ROUND(Sort_IDAC!AI6,-1*INT(LOG10(Sort_IDAC!AI6))+2)))</f>
        <v>1.6E-15</v>
      </c>
      <c r="AJ6" s="6">
        <f>IF(Sort_IDAC!$B6="","",IF(Sort_IDAC!AJ6=0,0,ROUND(Sort_IDAC!AJ6,-1*INT(LOG10(Sort_IDAC!AJ6))+2)))</f>
        <v>1.3400000000000001E-16</v>
      </c>
      <c r="AK6" s="6">
        <f>IF(Sort_IDAC!$B6="","",IF(Sort_IDAC!AK6=0,0,ROUND(Sort_IDAC!AK6,-1*INT(LOG10(Sort_IDAC!AK6))+2)))</f>
        <v>4.1299999999999997E-15</v>
      </c>
      <c r="AL6" s="6">
        <f>IF(Sort_IDAC!$B6="","",IF(Sort_IDAC!AL6=0,0,ROUND(Sort_IDAC!AL6,-1*INT(LOG10(Sort_IDAC!AL6))+2)))</f>
        <v>7.1200000000000003E-16</v>
      </c>
      <c r="AM6" s="6">
        <f>IF(Sort_IDAC!$B6="","",IF(Sort_IDAC!AM6=0,0,ROUND(Sort_IDAC!AM6,-1*INT(LOG10(Sort_IDAC!AM6))+2)))</f>
        <v>7.3100000000000005E-16</v>
      </c>
      <c r="AN6" s="6">
        <f>IF(Sort_IDAC!$B6="","",IF(Sort_IDAC!AN6=0,0,ROUND(Sort_IDAC!AN6,-1*INT(LOG10(Sort_IDAC!AN6))+2)))</f>
        <v>2.2900000000000001E-15</v>
      </c>
      <c r="AO6" s="6">
        <f>IF(Sort_IDAC!$B6="","",IF(Sort_IDAC!AO6=0,0,ROUND(Sort_IDAC!AO6,-1*INT(LOG10(Sort_IDAC!AO6))+2)))</f>
        <v>2.2900000000000001E-15</v>
      </c>
      <c r="AP6" s="6">
        <f>IF(Sort_IDAC!$B6="","",IF(Sort_IDAC!AP6=0,0,ROUND(Sort_IDAC!AP6,-1*INT(LOG10(Sort_IDAC!AP6))+2)))</f>
        <v>2.2900000000000001E-15</v>
      </c>
      <c r="AQ6" s="6">
        <f>IF(Sort_IDAC!$B6="","",IF(Sort_IDAC!AQ6=0,0,ROUND(Sort_IDAC!AQ6,-1*INT(LOG10(Sort_IDAC!AQ6))+2)))</f>
        <v>1.08E-16</v>
      </c>
      <c r="AR6" s="6">
        <f>IF(Sort_IDAC!$B6="","",IF(Sort_IDAC!AR6=0,0,ROUND(Sort_IDAC!AR6,-1*INT(LOG10(Sort_IDAC!AR6))+2)))</f>
        <v>1.08E-16</v>
      </c>
      <c r="AS6" s="6">
        <f>IF(Sort_IDAC!$B6="","",IF(Sort_IDAC!AS6=0,0,ROUND(Sort_IDAC!AS6,-1*INT(LOG10(Sort_IDAC!AS6))+2)))</f>
        <v>1.53E-16</v>
      </c>
      <c r="AT6" s="6">
        <f>IF(Sort_IDAC!$B6="","",IF(Sort_IDAC!AT6=0,0,ROUND(Sort_IDAC!AT6,-1*INT(LOG10(Sort_IDAC!AT6))+2)))</f>
        <v>7.8299999999999998E-15</v>
      </c>
      <c r="AU6" s="6">
        <f>IF(Sort_IDAC!$B6="","",IF(Sort_IDAC!AU6=0,0,ROUND(Sort_IDAC!AU6,-1*INT(LOG10(Sort_IDAC!AU6))+2)))</f>
        <v>4.8899999999999997E-17</v>
      </c>
      <c r="AV6" s="6">
        <f>IF(Sort_IDAC!$B6="","",IF(Sort_IDAC!AV6=0,0,ROUND(Sort_IDAC!AV6,-1*INT(LOG10(Sort_IDAC!AV6))+2)))</f>
        <v>0</v>
      </c>
      <c r="AW6" s="6">
        <f>IF(Sort_IDAC!$B6="","",IF(Sort_IDAC!AW6=0,0,ROUND(Sort_IDAC!AW6,-1*INT(LOG10(Sort_IDAC!AW6))+2)))</f>
        <v>1.97E-16</v>
      </c>
      <c r="AX6" s="6">
        <f>IF(Sort_IDAC!$B6="","",IF(Sort_IDAC!AX6=0,0,ROUND(Sort_IDAC!AX6,-1*INT(LOG10(Sort_IDAC!AX6))+2)))</f>
        <v>1.6000000000000001E-16</v>
      </c>
      <c r="AY6" s="6">
        <f>IF(Sort_IDAC!$B6="","",IF(Sort_IDAC!AY6=0,0,ROUND(Sort_IDAC!AY6,-1*INT(LOG10(Sort_IDAC!AY6))+2)))</f>
        <v>1.6000000000000001E-16</v>
      </c>
      <c r="AZ6" s="6">
        <f>IF(Sort_IDAC!$B6="","",IF(Sort_IDAC!AZ6=0,0,ROUND(Sort_IDAC!AZ6,-1*INT(LOG10(Sort_IDAC!AZ6))+2)))</f>
        <v>3.01E-15</v>
      </c>
      <c r="BA6" s="6">
        <f>IF(Sort_IDAC!$B6="","",IF(Sort_IDAC!BA6=0,0,ROUND(Sort_IDAC!BA6,-1*INT(LOG10(Sort_IDAC!BA6))+2)))</f>
        <v>1.5100000000000001E-15</v>
      </c>
      <c r="BB6" s="6">
        <f>IF(Sort_IDAC!$B6="","",IF(Sort_IDAC!BB6=0,0,ROUND(Sort_IDAC!BB6,-1*INT(LOG10(Sort_IDAC!BB6))+2)))</f>
        <v>1.1700000000000001E-15</v>
      </c>
      <c r="BC6" s="6">
        <f>IF(Sort_IDAC!$B6="","",IF(Sort_IDAC!BC6=0,0,ROUND(Sort_IDAC!BC6,-1*INT(LOG10(Sort_IDAC!BC6))+2)))</f>
        <v>1.2099999999999999E-15</v>
      </c>
      <c r="BD6" s="6">
        <f>IF(Sort_IDAC!$B6="","",IF(Sort_IDAC!BD6=0,0,ROUND(Sort_IDAC!BD6,-1*INT(LOG10(Sort_IDAC!BD6))+2)))</f>
        <v>1.2099999999999999E-15</v>
      </c>
      <c r="BE6" s="6">
        <f>IF(Sort_IDAC!$B6="","",IF(Sort_IDAC!BE6=0,0,ROUND(Sort_IDAC!BE6,-1*INT(LOG10(Sort_IDAC!BE6))+2)))</f>
        <v>9.2399999999999995E-17</v>
      </c>
      <c r="BF6" s="6">
        <f>IF(Sort_IDAC!$B6="","",IF(Sort_IDAC!BF6=0,0,ROUND(Sort_IDAC!BF6,-1*INT(LOG10(Sort_IDAC!BF6))+2)))</f>
        <v>3.73E-16</v>
      </c>
      <c r="BG6" s="6">
        <f>IF(Sort_IDAC!$B6="","",IF(Sort_IDAC!BG6=0,0,ROUND(Sort_IDAC!BG6,-1*INT(LOG10(Sort_IDAC!BG6))+2)))</f>
        <v>2.89E-15</v>
      </c>
      <c r="BH6" s="6">
        <f>IF(Sort_IDAC!$B6="","",IF(Sort_IDAC!BH6=0,0,ROUND(Sort_IDAC!BH6,-1*INT(LOG10(Sort_IDAC!BH6))+2)))</f>
        <v>2.4100000000000001E-15</v>
      </c>
      <c r="BI6" s="6">
        <f>IF(Sort_IDAC!$B6="","",IF(Sort_IDAC!BI6=0,0,ROUND(Sort_IDAC!BI6,-1*INT(LOG10(Sort_IDAC!BI6))+2)))</f>
        <v>2.4100000000000001E-15</v>
      </c>
      <c r="BJ6" s="6">
        <f>IF(Sort_IDAC!$B6="","",IF(Sort_IDAC!BJ6=0,0,ROUND(Sort_IDAC!BJ6,-1*INT(LOG10(Sort_IDAC!BJ6))+2)))</f>
        <v>2.4100000000000001E-15</v>
      </c>
      <c r="BK6" s="6">
        <f>IF(Sort_IDAC!$B6="","",IF(Sort_IDAC!BK6=0,0,ROUND(Sort_IDAC!BK6,-1*INT(LOG10(Sort_IDAC!BK6))+2)))</f>
        <v>5.95E-15</v>
      </c>
      <c r="BL6" s="6">
        <f>IF(Sort_IDAC!$B6="","",IF(Sort_IDAC!BL6=0,0,ROUND(Sort_IDAC!BL6,-1*INT(LOG10(Sort_IDAC!BL6))+2)))</f>
        <v>6.5399999999999998E-15</v>
      </c>
      <c r="BM6" s="6">
        <f>IF(Sort_IDAC!$B6="","",IF(Sort_IDAC!BM6=0,0,ROUND(Sort_IDAC!BM6,-1*INT(LOG10(Sort_IDAC!BM6))+2)))</f>
        <v>6.2699999999999997E-15</v>
      </c>
      <c r="BN6" s="6">
        <f>IF(Sort_IDAC!$B6="","",IF(Sort_IDAC!BN6=0,0,ROUND(Sort_IDAC!BN6,-1*INT(LOG10(Sort_IDAC!BN6))+2)))</f>
        <v>6.2699999999999997E-15</v>
      </c>
      <c r="BO6" s="6">
        <f>IF(Sort_IDAC!$B6="","",IF(Sort_IDAC!BO6=0,0,ROUND(Sort_IDAC!BO6,-1*INT(LOG10(Sort_IDAC!BO6))+2)))</f>
        <v>1.06E-16</v>
      </c>
      <c r="BP6" s="6">
        <f>IF(Sort_IDAC!$B6="","",IF(Sort_IDAC!BP6=0,0,ROUND(Sort_IDAC!BP6,-1*INT(LOG10(Sort_IDAC!BP6))+2)))</f>
        <v>1.06E-16</v>
      </c>
      <c r="BQ6" s="6">
        <f>IF(Sort_IDAC!$B6="","",IF(Sort_IDAC!BQ6=0,0,ROUND(Sort_IDAC!BQ6,-1*INT(LOG10(Sort_IDAC!BQ6))+2)))</f>
        <v>0</v>
      </c>
      <c r="BR6" s="6">
        <f>IF(Sort_IDAC!$B6="","",IF(Sort_IDAC!BR6=0,0,ROUND(Sort_IDAC!BR6,-1*INT(LOG10(Sort_IDAC!BR6))+2)))</f>
        <v>5.1499999999999999E-16</v>
      </c>
      <c r="BS6" s="6">
        <f>IF(Sort_IDAC!$B6="","",IF(Sort_IDAC!BS6=0,0,ROUND(Sort_IDAC!BS6,-1*INT(LOG10(Sort_IDAC!BS6))+2)))</f>
        <v>2.5699999999999999E-16</v>
      </c>
      <c r="BT6" s="6">
        <f>IF(Sort_IDAC!$B6="","",IF(Sort_IDAC!BT6=0,0,ROUND(Sort_IDAC!BT6,-1*INT(LOG10(Sort_IDAC!BT6))+2)))</f>
        <v>1.08E-16</v>
      </c>
      <c r="BU6" s="6">
        <f>IF(Sort_IDAC!$B6="","",IF(Sort_IDAC!BU6=0,0,ROUND(Sort_IDAC!BU6,-1*INT(LOG10(Sort_IDAC!BU6))+2)))</f>
        <v>8.1100000000000001E-17</v>
      </c>
      <c r="BV6" s="6">
        <f>IF(Sort_IDAC!$B6="","",IF(Sort_IDAC!BV6=0,0,ROUND(Sort_IDAC!BV6,-1*INT(LOG10(Sort_IDAC!BV6))+2)))</f>
        <v>1.58E-15</v>
      </c>
      <c r="BW6" s="6">
        <f>IF(Sort_IDAC!$B6="","",IF(Sort_IDAC!BW6=0,0,ROUND(Sort_IDAC!BW6,-1*INT(LOG10(Sort_IDAC!BW6))+2)))</f>
        <v>1.2699999999999999E-15</v>
      </c>
      <c r="BX6" s="6">
        <f>IF(Sort_IDAC!$B6="","",IF(Sort_IDAC!BX6=0,0,ROUND(Sort_IDAC!BX6,-1*INT(LOG10(Sort_IDAC!BX6))+2)))</f>
        <v>1.2699999999999999E-15</v>
      </c>
      <c r="BY6" s="6">
        <f>IF(Sort_IDAC!$B6="","",IF(Sort_IDAC!BY6=0,0,ROUND(Sort_IDAC!BY6,-1*INT(LOG10(Sort_IDAC!BY6))+2)))</f>
        <v>3.2100000000000001E-15</v>
      </c>
      <c r="BZ6" s="6">
        <f>IF(Sort_IDAC!$B6="","",IF(Sort_IDAC!BZ6=0,0,ROUND(Sort_IDAC!BZ6,-1*INT(LOG10(Sort_IDAC!BZ6))+2)))</f>
        <v>1.4799999999999999E-16</v>
      </c>
      <c r="CA6" s="6">
        <f>IF(Sort_IDAC!$B6="","",IF(Sort_IDAC!CA6=0,0,ROUND(Sort_IDAC!CA6,-1*INT(LOG10(Sort_IDAC!CA6))+2)))</f>
        <v>1.35E-16</v>
      </c>
      <c r="CB6" s="6">
        <f>IF(Sort_IDAC!$B6="","",IF(Sort_IDAC!CB6=0,0,ROUND(Sort_IDAC!CB6,-1*INT(LOG10(Sort_IDAC!CB6))+2)))</f>
        <v>1.4300000000000001E-16</v>
      </c>
      <c r="CC6" s="6">
        <f>IF(Sort_IDAC!$B6="","",IF(Sort_IDAC!CC6=0,0,ROUND(Sort_IDAC!CC6,-1*INT(LOG10(Sort_IDAC!CC6))+2)))</f>
        <v>7.0600000000000003E-16</v>
      </c>
      <c r="CD6" s="6"/>
      <c r="CE6" s="6"/>
      <c r="CF6" s="6"/>
      <c r="CG6" s="6"/>
    </row>
    <row r="7" spans="2:85" x14ac:dyDescent="0.15">
      <c r="B7" s="5" t="s">
        <v>1</v>
      </c>
      <c r="C7" s="6">
        <f>IF(Sort_IDAC!$B7="","",IF(Sort_IDAC!C7=0,0,ROUND(Sort_IDAC!C7,-1*INT(LOG10(Sort_IDAC!C7))+2)))</f>
        <v>5.7599999999999999E-16</v>
      </c>
      <c r="D7" s="6">
        <f>IF(Sort_IDAC!$B7="","",IF(Sort_IDAC!D7=0,0,ROUND(Sort_IDAC!D7,-1*INT(LOG10(Sort_IDAC!D7))+2)))</f>
        <v>1.58E-15</v>
      </c>
      <c r="E7" s="6">
        <f>IF(Sort_IDAC!$B7="","",IF(Sort_IDAC!E7=0,0,ROUND(Sort_IDAC!E7,-1*INT(LOG10(Sort_IDAC!E7))+2)))</f>
        <v>5.1999999999999999E-14</v>
      </c>
      <c r="F7" s="6">
        <f>IF(Sort_IDAC!$B7="","",IF(Sort_IDAC!F7=0,0,ROUND(Sort_IDAC!F7,-1*INT(LOG10(Sort_IDAC!F7))+2)))</f>
        <v>8.0599999999999992E-15</v>
      </c>
      <c r="G7" s="6">
        <f>IF(Sort_IDAC!$B7="","",IF(Sort_IDAC!G7=0,0,ROUND(Sort_IDAC!G7,-1*INT(LOG10(Sort_IDAC!G7))+2)))</f>
        <v>1.5700000000000001E-16</v>
      </c>
      <c r="H7" s="6">
        <f>IF(Sort_IDAC!$B7="","",IF(Sort_IDAC!H7=0,0,ROUND(Sort_IDAC!H7,-1*INT(LOG10(Sort_IDAC!H7))+2)))</f>
        <v>2.8599999999999999E-15</v>
      </c>
      <c r="I7" s="6">
        <f>IF(Sort_IDAC!$B7="","",IF(Sort_IDAC!I7=0,0,ROUND(Sort_IDAC!I7,-1*INT(LOG10(Sort_IDAC!I7))+2)))</f>
        <v>9.9399999999999998E-15</v>
      </c>
      <c r="J7" s="6">
        <f>IF(Sort_IDAC!$B7="","",IF(Sort_IDAC!J7=0,0,ROUND(Sort_IDAC!J7,-1*INT(LOG10(Sort_IDAC!J7))+2)))</f>
        <v>9.9399999999999998E-15</v>
      </c>
      <c r="K7" s="6">
        <f>IF(Sort_IDAC!$B7="","",IF(Sort_IDAC!K7=0,0,ROUND(Sort_IDAC!K7,-1*INT(LOG10(Sort_IDAC!K7))+2)))</f>
        <v>9.9399999999999998E-15</v>
      </c>
      <c r="L7" s="6">
        <f>IF(Sort_IDAC!$B7="","",IF(Sort_IDAC!L7=0,0,ROUND(Sort_IDAC!L7,-1*INT(LOG10(Sort_IDAC!L7))+2)))</f>
        <v>5.0000000000000002E-14</v>
      </c>
      <c r="M7" s="6">
        <f>IF(Sort_IDAC!$B7="","",IF(Sort_IDAC!M7=0,0,ROUND(Sort_IDAC!M7,-1*INT(LOG10(Sort_IDAC!M7))+2)))</f>
        <v>5.0000000000000002E-14</v>
      </c>
      <c r="N7" s="6">
        <f>IF(Sort_IDAC!$B7="","",IF(Sort_IDAC!N7=0,0,ROUND(Sort_IDAC!N7,-1*INT(LOG10(Sort_IDAC!N7))+2)))</f>
        <v>5.0000000000000002E-14</v>
      </c>
      <c r="O7" s="6">
        <f>IF(Sort_IDAC!$B7="","",IF(Sort_IDAC!O7=0,0,ROUND(Sort_IDAC!O7,-1*INT(LOG10(Sort_IDAC!O7))+2)))</f>
        <v>7.89E-16</v>
      </c>
      <c r="P7" s="6">
        <f>IF(Sort_IDAC!$B7="","",IF(Sort_IDAC!P7=0,0,ROUND(Sort_IDAC!P7,-1*INT(LOG10(Sort_IDAC!P7))+2)))</f>
        <v>2.2800000000000001E-16</v>
      </c>
      <c r="Q7" s="6">
        <f>IF(Sort_IDAC!$B7="","",IF(Sort_IDAC!Q7=0,0,ROUND(Sort_IDAC!Q7,-1*INT(LOG10(Sort_IDAC!Q7))+2)))</f>
        <v>9.3199999999999996E-16</v>
      </c>
      <c r="R7" s="6">
        <f>IF(Sort_IDAC!$B7="","",IF(Sort_IDAC!R7=0,0,ROUND(Sort_IDAC!R7,-1*INT(LOG10(Sort_IDAC!R7))+2)))</f>
        <v>9.3199999999999996E-16</v>
      </c>
      <c r="S7" s="6">
        <f>IF(Sort_IDAC!$B7="","",IF(Sort_IDAC!S7=0,0,ROUND(Sort_IDAC!S7,-1*INT(LOG10(Sort_IDAC!S7))+2)))</f>
        <v>3.1199999999999999E-16</v>
      </c>
      <c r="T7" s="6">
        <f>IF(Sort_IDAC!$B7="","",IF(Sort_IDAC!T7=0,0,ROUND(Sort_IDAC!T7,-1*INT(LOG10(Sort_IDAC!T7))+2)))</f>
        <v>6.2600000000000002E-16</v>
      </c>
      <c r="U7" s="6">
        <f>IF(Sort_IDAC!$B7="","",IF(Sort_IDAC!U7=0,0,ROUND(Sort_IDAC!U7,-1*INT(LOG10(Sort_IDAC!U7))+2)))</f>
        <v>6.2600000000000002E-16</v>
      </c>
      <c r="V7" s="6">
        <f>IF(Sort_IDAC!$B7="","",IF(Sort_IDAC!V7=0,0,ROUND(Sort_IDAC!V7,-1*INT(LOG10(Sort_IDAC!V7))+2)))</f>
        <v>6.2600000000000002E-16</v>
      </c>
      <c r="W7" s="6">
        <f>IF(Sort_IDAC!$B7="","",IF(Sort_IDAC!W7=0,0,ROUND(Sort_IDAC!W7,-1*INT(LOG10(Sort_IDAC!W7))+2)))</f>
        <v>6.2600000000000002E-16</v>
      </c>
      <c r="X7" s="6">
        <f>IF(Sort_IDAC!$B7="","",IF(Sort_IDAC!X7=0,0,ROUND(Sort_IDAC!X7,-1*INT(LOG10(Sort_IDAC!X7))+2)))</f>
        <v>6.2600000000000002E-16</v>
      </c>
      <c r="Y7" s="6">
        <f>IF(Sort_IDAC!$B7="","",IF(Sort_IDAC!Y7=0,0,ROUND(Sort_IDAC!Y7,-1*INT(LOG10(Sort_IDAC!Y7))+2)))</f>
        <v>2.4E-16</v>
      </c>
      <c r="Z7" s="6">
        <f>IF(Sort_IDAC!$B7="","",IF(Sort_IDAC!Z7=0,0,ROUND(Sort_IDAC!Z7,-1*INT(LOG10(Sort_IDAC!Z7))+2)))</f>
        <v>1.3E-15</v>
      </c>
      <c r="AA7" s="6">
        <f>IF(Sort_IDAC!$B7="","",IF(Sort_IDAC!AA7=0,0,ROUND(Sort_IDAC!AA7,-1*INT(LOG10(Sort_IDAC!AA7))+2)))</f>
        <v>1.2900000000000001E-15</v>
      </c>
      <c r="AB7" s="6">
        <f>IF(Sort_IDAC!$B7="","",IF(Sort_IDAC!AB7=0,0,ROUND(Sort_IDAC!AB7,-1*INT(LOG10(Sort_IDAC!AB7))+2)))</f>
        <v>7.0799999999999999E-15</v>
      </c>
      <c r="AC7" s="6">
        <f>IF(Sort_IDAC!$B7="","",IF(Sort_IDAC!AC7=0,0,ROUND(Sort_IDAC!AC7,-1*INT(LOG10(Sort_IDAC!AC7))+2)))</f>
        <v>8.0300000000000003E-16</v>
      </c>
      <c r="AD7" s="6">
        <f>IF(Sort_IDAC!$B7="","",IF(Sort_IDAC!AD7=0,0,ROUND(Sort_IDAC!AD7,-1*INT(LOG10(Sort_IDAC!AD7))+2)))</f>
        <v>1.4300000000000001E-16</v>
      </c>
      <c r="AE7" s="6">
        <f>IF(Sort_IDAC!$B7="","",IF(Sort_IDAC!AE7=0,0,ROUND(Sort_IDAC!AE7,-1*INT(LOG10(Sort_IDAC!AE7))+2)))</f>
        <v>1.3899999999999999E-16</v>
      </c>
      <c r="AF7" s="6">
        <f>IF(Sort_IDAC!$B7="","",IF(Sort_IDAC!AF7=0,0,ROUND(Sort_IDAC!AF7,-1*INT(LOG10(Sort_IDAC!AF7))+2)))</f>
        <v>1.3899999999999999E-16</v>
      </c>
      <c r="AG7" s="6">
        <f>IF(Sort_IDAC!$B7="","",IF(Sort_IDAC!AG7=0,0,ROUND(Sort_IDAC!AG7,-1*INT(LOG10(Sort_IDAC!AG7))+2)))</f>
        <v>2.4199999999999999E-15</v>
      </c>
      <c r="AH7" s="6">
        <f>IF(Sort_IDAC!$B7="","",IF(Sort_IDAC!AH7=0,0,ROUND(Sort_IDAC!AH7,-1*INT(LOG10(Sort_IDAC!AH7))+2)))</f>
        <v>5.06E-14</v>
      </c>
      <c r="AI7" s="6">
        <f>IF(Sort_IDAC!$B7="","",IF(Sort_IDAC!AI7=0,0,ROUND(Sort_IDAC!AI7,-1*INT(LOG10(Sort_IDAC!AI7))+2)))</f>
        <v>5.0499999999999999E-14</v>
      </c>
      <c r="AJ7" s="6">
        <f>IF(Sort_IDAC!$B7="","",IF(Sort_IDAC!AJ7=0,0,ROUND(Sort_IDAC!AJ7,-1*INT(LOG10(Sort_IDAC!AJ7))+2)))</f>
        <v>9.1999999999999996E-16</v>
      </c>
      <c r="AK7" s="6">
        <f>IF(Sort_IDAC!$B7="","",IF(Sort_IDAC!AK7=0,0,ROUND(Sort_IDAC!AK7,-1*INT(LOG10(Sort_IDAC!AK7))+2)))</f>
        <v>1.8399999999999999E-15</v>
      </c>
      <c r="AL7" s="6">
        <f>IF(Sort_IDAC!$B7="","",IF(Sort_IDAC!AL7=0,0,ROUND(Sort_IDAC!AL7,-1*INT(LOG10(Sort_IDAC!AL7))+2)))</f>
        <v>7.7900000000000008E-15</v>
      </c>
      <c r="AM7" s="6">
        <f>IF(Sort_IDAC!$B7="","",IF(Sort_IDAC!AM7=0,0,ROUND(Sort_IDAC!AM7,-1*INT(LOG10(Sort_IDAC!AM7))+2)))</f>
        <v>7.0799999999999997E-16</v>
      </c>
      <c r="AN7" s="6">
        <f>IF(Sort_IDAC!$B7="","",IF(Sort_IDAC!AN7=0,0,ROUND(Sort_IDAC!AN7,-1*INT(LOG10(Sort_IDAC!AN7))+2)))</f>
        <v>5.5199999999999998E-15</v>
      </c>
      <c r="AO7" s="6">
        <f>IF(Sort_IDAC!$B7="","",IF(Sort_IDAC!AO7=0,0,ROUND(Sort_IDAC!AO7,-1*INT(LOG10(Sort_IDAC!AO7))+2)))</f>
        <v>5.5199999999999998E-15</v>
      </c>
      <c r="AP7" s="6">
        <f>IF(Sort_IDAC!$B7="","",IF(Sort_IDAC!AP7=0,0,ROUND(Sort_IDAC!AP7,-1*INT(LOG10(Sort_IDAC!AP7))+2)))</f>
        <v>5.5199999999999998E-15</v>
      </c>
      <c r="AQ7" s="6">
        <f>IF(Sort_IDAC!$B7="","",IF(Sort_IDAC!AQ7=0,0,ROUND(Sort_IDAC!AQ7,-1*INT(LOG10(Sort_IDAC!AQ7))+2)))</f>
        <v>5.9299999999999997E-16</v>
      </c>
      <c r="AR7" s="6">
        <f>IF(Sort_IDAC!$B7="","",IF(Sort_IDAC!AR7=0,0,ROUND(Sort_IDAC!AR7,-1*INT(LOG10(Sort_IDAC!AR7))+2)))</f>
        <v>5.9299999999999997E-16</v>
      </c>
      <c r="AS7" s="6">
        <f>IF(Sort_IDAC!$B7="","",IF(Sort_IDAC!AS7=0,0,ROUND(Sort_IDAC!AS7,-1*INT(LOG10(Sort_IDAC!AS7))+2)))</f>
        <v>2.9799999999999999E-17</v>
      </c>
      <c r="AT7" s="6">
        <f>IF(Sort_IDAC!$B7="","",IF(Sort_IDAC!AT7=0,0,ROUND(Sort_IDAC!AT7,-1*INT(LOG10(Sort_IDAC!AT7))+2)))</f>
        <v>7.7200000000000002E-16</v>
      </c>
      <c r="AU7" s="6">
        <f>IF(Sort_IDAC!$B7="","",IF(Sort_IDAC!AU7=0,0,ROUND(Sort_IDAC!AU7,-1*INT(LOG10(Sort_IDAC!AU7))+2)))</f>
        <v>2.5099999999999999E-16</v>
      </c>
      <c r="AV7" s="6">
        <f>IF(Sort_IDAC!$B7="","",IF(Sort_IDAC!AV7=0,0,ROUND(Sort_IDAC!AV7,-1*INT(LOG10(Sort_IDAC!AV7))+2)))</f>
        <v>0</v>
      </c>
      <c r="AW7" s="6">
        <f>IF(Sort_IDAC!$B7="","",IF(Sort_IDAC!AW7=0,0,ROUND(Sort_IDAC!AW7,-1*INT(LOG10(Sort_IDAC!AW7))+2)))</f>
        <v>3.8199999999999997E-17</v>
      </c>
      <c r="AX7" s="6">
        <f>IF(Sort_IDAC!$B7="","",IF(Sort_IDAC!AX7=0,0,ROUND(Sort_IDAC!AX7,-1*INT(LOG10(Sort_IDAC!AX7))+2)))</f>
        <v>3.27E-17</v>
      </c>
      <c r="AY7" s="6">
        <f>IF(Sort_IDAC!$B7="","",IF(Sort_IDAC!AY7=0,0,ROUND(Sort_IDAC!AY7,-1*INT(LOG10(Sort_IDAC!AY7))+2)))</f>
        <v>3.27E-17</v>
      </c>
      <c r="AZ7" s="6">
        <f>IF(Sort_IDAC!$B7="","",IF(Sort_IDAC!AZ7=0,0,ROUND(Sort_IDAC!AZ7,-1*INT(LOG10(Sort_IDAC!AZ7))+2)))</f>
        <v>2.0500000000000002E-15</v>
      </c>
      <c r="BA7" s="6">
        <f>IF(Sort_IDAC!$B7="","",IF(Sort_IDAC!BA7=0,0,ROUND(Sort_IDAC!BA7,-1*INT(LOG10(Sort_IDAC!BA7))+2)))</f>
        <v>5.1099999999999998E-14</v>
      </c>
      <c r="BB7" s="6">
        <f>IF(Sort_IDAC!$B7="","",IF(Sort_IDAC!BB7=0,0,ROUND(Sort_IDAC!BB7,-1*INT(LOG10(Sort_IDAC!BB7))+2)))</f>
        <v>1.76E-16</v>
      </c>
      <c r="BC7" s="6">
        <f>IF(Sort_IDAC!$B7="","",IF(Sort_IDAC!BC7=0,0,ROUND(Sort_IDAC!BC7,-1*INT(LOG10(Sort_IDAC!BC7))+2)))</f>
        <v>1.7800000000000001E-16</v>
      </c>
      <c r="BD7" s="6">
        <f>IF(Sort_IDAC!$B7="","",IF(Sort_IDAC!BD7=0,0,ROUND(Sort_IDAC!BD7,-1*INT(LOG10(Sort_IDAC!BD7))+2)))</f>
        <v>1.7800000000000001E-16</v>
      </c>
      <c r="BE7" s="6">
        <f>IF(Sort_IDAC!$B7="","",IF(Sort_IDAC!BE7=0,0,ROUND(Sort_IDAC!BE7,-1*INT(LOG10(Sort_IDAC!BE7))+2)))</f>
        <v>5.6999999999999999E-16</v>
      </c>
      <c r="BF7" s="6">
        <f>IF(Sort_IDAC!$B7="","",IF(Sort_IDAC!BF7=0,0,ROUND(Sort_IDAC!BF7,-1*INT(LOG10(Sort_IDAC!BF7))+2)))</f>
        <v>4.5999999999999998E-16</v>
      </c>
      <c r="BG7" s="6">
        <f>IF(Sort_IDAC!$B7="","",IF(Sort_IDAC!BG7=0,0,ROUND(Sort_IDAC!BG7,-1*INT(LOG10(Sort_IDAC!BG7))+2)))</f>
        <v>3.3599999999999999E-16</v>
      </c>
      <c r="BH7" s="6">
        <f>IF(Sort_IDAC!$B7="","",IF(Sort_IDAC!BH7=0,0,ROUND(Sort_IDAC!BH7,-1*INT(LOG10(Sort_IDAC!BH7))+2)))</f>
        <v>2.73E-16</v>
      </c>
      <c r="BI7" s="6">
        <f>IF(Sort_IDAC!$B7="","",IF(Sort_IDAC!BI7=0,0,ROUND(Sort_IDAC!BI7,-1*INT(LOG10(Sort_IDAC!BI7))+2)))</f>
        <v>2.73E-16</v>
      </c>
      <c r="BJ7" s="6">
        <f>IF(Sort_IDAC!$B7="","",IF(Sort_IDAC!BJ7=0,0,ROUND(Sort_IDAC!BJ7,-1*INT(LOG10(Sort_IDAC!BJ7))+2)))</f>
        <v>2.73E-16</v>
      </c>
      <c r="BK7" s="6">
        <f>IF(Sort_IDAC!$B7="","",IF(Sort_IDAC!BK7=0,0,ROUND(Sort_IDAC!BK7,-1*INT(LOG10(Sort_IDAC!BK7))+2)))</f>
        <v>2.8099999999999999E-15</v>
      </c>
      <c r="BL7" s="6">
        <f>IF(Sort_IDAC!$B7="","",IF(Sort_IDAC!BL7=0,0,ROUND(Sort_IDAC!BL7,-1*INT(LOG10(Sort_IDAC!BL7))+2)))</f>
        <v>1.9500000000000001E-15</v>
      </c>
      <c r="BM7" s="6">
        <f>IF(Sort_IDAC!$B7="","",IF(Sort_IDAC!BM7=0,0,ROUND(Sort_IDAC!BM7,-1*INT(LOG10(Sort_IDAC!BM7))+2)))</f>
        <v>1.64E-15</v>
      </c>
      <c r="BN7" s="6">
        <f>IF(Sort_IDAC!$B7="","",IF(Sort_IDAC!BN7=0,0,ROUND(Sort_IDAC!BN7,-1*INT(LOG10(Sort_IDAC!BN7))+2)))</f>
        <v>1.64E-15</v>
      </c>
      <c r="BO7" s="6">
        <f>IF(Sort_IDAC!$B7="","",IF(Sort_IDAC!BO7=0,0,ROUND(Sort_IDAC!BO7,-1*INT(LOG10(Sort_IDAC!BO7))+2)))</f>
        <v>5.1100000000000002E-16</v>
      </c>
      <c r="BP7" s="6">
        <f>IF(Sort_IDAC!$B7="","",IF(Sort_IDAC!BP7=0,0,ROUND(Sort_IDAC!BP7,-1*INT(LOG10(Sort_IDAC!BP7))+2)))</f>
        <v>5.1100000000000002E-16</v>
      </c>
      <c r="BQ7" s="6">
        <f>IF(Sort_IDAC!$B7="","",IF(Sort_IDAC!BQ7=0,0,ROUND(Sort_IDAC!BQ7,-1*INT(LOG10(Sort_IDAC!BQ7))+2)))</f>
        <v>0</v>
      </c>
      <c r="BR7" s="6">
        <f>IF(Sort_IDAC!$B7="","",IF(Sort_IDAC!BR7=0,0,ROUND(Sort_IDAC!BR7,-1*INT(LOG10(Sort_IDAC!BR7))+2)))</f>
        <v>5.7199999999999999E-15</v>
      </c>
      <c r="BS7" s="6">
        <f>IF(Sort_IDAC!$B7="","",IF(Sort_IDAC!BS7=0,0,ROUND(Sort_IDAC!BS7,-1*INT(LOG10(Sort_IDAC!BS7))+2)))</f>
        <v>2.55E-15</v>
      </c>
      <c r="BT7" s="6">
        <f>IF(Sort_IDAC!$B7="","",IF(Sort_IDAC!BT7=0,0,ROUND(Sort_IDAC!BT7,-1*INT(LOG10(Sort_IDAC!BT7))+2)))</f>
        <v>6.1099999999999997E-16</v>
      </c>
      <c r="BU7" s="6">
        <f>IF(Sort_IDAC!$B7="","",IF(Sort_IDAC!BU7=0,0,ROUND(Sort_IDAC!BU7,-1*INT(LOG10(Sort_IDAC!BU7))+2)))</f>
        <v>4.9499999999999996E-16</v>
      </c>
      <c r="BV7" s="6">
        <f>IF(Sort_IDAC!$B7="","",IF(Sort_IDAC!BV7=0,0,ROUND(Sort_IDAC!BV7,-1*INT(LOG10(Sort_IDAC!BV7))+2)))</f>
        <v>1.13E-15</v>
      </c>
      <c r="BW7" s="6">
        <f>IF(Sort_IDAC!$B7="","",IF(Sort_IDAC!BW7=0,0,ROUND(Sort_IDAC!BW7,-1*INT(LOG10(Sort_IDAC!BW7))+2)))</f>
        <v>7.3600000000000003E-16</v>
      </c>
      <c r="BX7" s="6">
        <f>IF(Sort_IDAC!$B7="","",IF(Sort_IDAC!BX7=0,0,ROUND(Sort_IDAC!BX7,-1*INT(LOG10(Sort_IDAC!BX7))+2)))</f>
        <v>7.3600000000000003E-16</v>
      </c>
      <c r="BY7" s="6">
        <f>IF(Sort_IDAC!$B7="","",IF(Sort_IDAC!BY7=0,0,ROUND(Sort_IDAC!BY7,-1*INT(LOG10(Sort_IDAC!BY7))+2)))</f>
        <v>2.6500000000000002E-16</v>
      </c>
      <c r="BZ7" s="6">
        <f>IF(Sort_IDAC!$B7="","",IF(Sort_IDAC!BZ7=0,0,ROUND(Sort_IDAC!BZ7,-1*INT(LOG10(Sort_IDAC!BZ7))+2)))</f>
        <v>3.12E-17</v>
      </c>
      <c r="CA7" s="6">
        <f>IF(Sort_IDAC!$B7="","",IF(Sort_IDAC!CA7=0,0,ROUND(Sort_IDAC!CA7,-1*INT(LOG10(Sort_IDAC!CA7))+2)))</f>
        <v>2.8500000000000001E-17</v>
      </c>
      <c r="CB7" s="6">
        <f>IF(Sort_IDAC!$B7="","",IF(Sort_IDAC!CB7=0,0,ROUND(Sort_IDAC!CB7,-1*INT(LOG10(Sort_IDAC!CB7))+2)))</f>
        <v>2.9400000000000001E-17</v>
      </c>
      <c r="CC7" s="6">
        <f>IF(Sort_IDAC!$B7="","",IF(Sort_IDAC!CC7=0,0,ROUND(Sort_IDAC!CC7,-1*INT(LOG10(Sort_IDAC!CC7))+2)))</f>
        <v>5.4300000000000005E-16</v>
      </c>
      <c r="CD7" s="6"/>
      <c r="CE7" s="6"/>
      <c r="CF7" s="6"/>
      <c r="CG7" s="6"/>
    </row>
    <row r="8" spans="2:85" x14ac:dyDescent="0.15">
      <c r="B8" s="5" t="s">
        <v>2</v>
      </c>
      <c r="C8" s="6">
        <f>IF(Sort_IDAC!$B8="","",IF(Sort_IDAC!C8=0,0,ROUND(Sort_IDAC!C8,-1*INT(LOG10(Sort_IDAC!C8))+2)))</f>
        <v>2.2999999999999999E-16</v>
      </c>
      <c r="D8" s="6">
        <f>IF(Sort_IDAC!$B8="","",IF(Sort_IDAC!D8=0,0,ROUND(Sort_IDAC!D8,-1*INT(LOG10(Sort_IDAC!D8))+2)))</f>
        <v>2.7900000000000001E-17</v>
      </c>
      <c r="E8" s="6">
        <f>IF(Sort_IDAC!$B8="","",IF(Sort_IDAC!E8=0,0,ROUND(Sort_IDAC!E8,-1*INT(LOG10(Sort_IDAC!E8))+2)))</f>
        <v>1.58E-16</v>
      </c>
      <c r="F8" s="6">
        <f>IF(Sort_IDAC!$B8="","",IF(Sort_IDAC!F8=0,0,ROUND(Sort_IDAC!F8,-1*INT(LOG10(Sort_IDAC!F8))+2)))</f>
        <v>7.6600000000000002E-16</v>
      </c>
      <c r="G8" s="6">
        <f>IF(Sort_IDAC!$B8="","",IF(Sort_IDAC!G8=0,0,ROUND(Sort_IDAC!G8,-1*INT(LOG10(Sort_IDAC!G8))+2)))</f>
        <v>4.6900000000000001E-14</v>
      </c>
      <c r="H8" s="6">
        <f>IF(Sort_IDAC!$B8="","",IF(Sort_IDAC!H8=0,0,ROUND(Sort_IDAC!H8,-1*INT(LOG10(Sort_IDAC!H8))+2)))</f>
        <v>1.6799999999999999E-16</v>
      </c>
      <c r="I8" s="6">
        <f>IF(Sort_IDAC!$B8="","",IF(Sort_IDAC!I8=0,0,ROUND(Sort_IDAC!I8,-1*INT(LOG10(Sort_IDAC!I8))+2)))</f>
        <v>3.4400000000000002E-16</v>
      </c>
      <c r="J8" s="6">
        <f>IF(Sort_IDAC!$B8="","",IF(Sort_IDAC!J8=0,0,ROUND(Sort_IDAC!J8,-1*INT(LOG10(Sort_IDAC!J8))+2)))</f>
        <v>3.4400000000000002E-16</v>
      </c>
      <c r="K8" s="6">
        <f>IF(Sort_IDAC!$B8="","",IF(Sort_IDAC!K8=0,0,ROUND(Sort_IDAC!K8,-1*INT(LOG10(Sort_IDAC!K8))+2)))</f>
        <v>3.4400000000000002E-16</v>
      </c>
      <c r="L8" s="6">
        <f>IF(Sort_IDAC!$B8="","",IF(Sort_IDAC!L8=0,0,ROUND(Sort_IDAC!L8,-1*INT(LOG10(Sort_IDAC!L8))+2)))</f>
        <v>1.58E-16</v>
      </c>
      <c r="M8" s="6">
        <f>IF(Sort_IDAC!$B8="","",IF(Sort_IDAC!M8=0,0,ROUND(Sort_IDAC!M8,-1*INT(LOG10(Sort_IDAC!M8))+2)))</f>
        <v>1.58E-16</v>
      </c>
      <c r="N8" s="6">
        <f>IF(Sort_IDAC!$B8="","",IF(Sort_IDAC!N8=0,0,ROUND(Sort_IDAC!N8,-1*INT(LOG10(Sort_IDAC!N8))+2)))</f>
        <v>1.58E-16</v>
      </c>
      <c r="O8" s="6">
        <f>IF(Sort_IDAC!$B8="","",IF(Sort_IDAC!O8=0,0,ROUND(Sort_IDAC!O8,-1*INT(LOG10(Sort_IDAC!O8))+2)))</f>
        <v>6.7799999999999997E-16</v>
      </c>
      <c r="P8" s="6">
        <f>IF(Sort_IDAC!$B8="","",IF(Sort_IDAC!P8=0,0,ROUND(Sort_IDAC!P8,-1*INT(LOG10(Sort_IDAC!P8))+2)))</f>
        <v>1.36E-17</v>
      </c>
      <c r="Q8" s="6">
        <f>IF(Sort_IDAC!$B8="","",IF(Sort_IDAC!Q8=0,0,ROUND(Sort_IDAC!Q8,-1*INT(LOG10(Sort_IDAC!Q8))+2)))</f>
        <v>1.41E-15</v>
      </c>
      <c r="R8" s="6">
        <f>IF(Sort_IDAC!$B8="","",IF(Sort_IDAC!R8=0,0,ROUND(Sort_IDAC!R8,-1*INT(LOG10(Sort_IDAC!R8))+2)))</f>
        <v>1.41E-15</v>
      </c>
      <c r="S8" s="6">
        <f>IF(Sort_IDAC!$B8="","",IF(Sort_IDAC!S8=0,0,ROUND(Sort_IDAC!S8,-1*INT(LOG10(Sort_IDAC!S8))+2)))</f>
        <v>3.01E-15</v>
      </c>
      <c r="T8" s="6">
        <f>IF(Sort_IDAC!$B8="","",IF(Sort_IDAC!T8=0,0,ROUND(Sort_IDAC!T8,-1*INT(LOG10(Sort_IDAC!T8))+2)))</f>
        <v>4.4800000000000002E-15</v>
      </c>
      <c r="U8" s="6">
        <f>IF(Sort_IDAC!$B8="","",IF(Sort_IDAC!U8=0,0,ROUND(Sort_IDAC!U8,-1*INT(LOG10(Sort_IDAC!U8))+2)))</f>
        <v>4.4800000000000002E-15</v>
      </c>
      <c r="V8" s="6">
        <f>IF(Sort_IDAC!$B8="","",IF(Sort_IDAC!V8=0,0,ROUND(Sort_IDAC!V8,-1*INT(LOG10(Sort_IDAC!V8))+2)))</f>
        <v>4.4800000000000002E-15</v>
      </c>
      <c r="W8" s="6">
        <f>IF(Sort_IDAC!$B8="","",IF(Sort_IDAC!W8=0,0,ROUND(Sort_IDAC!W8,-1*INT(LOG10(Sort_IDAC!W8))+2)))</f>
        <v>4.4800000000000002E-15</v>
      </c>
      <c r="X8" s="6">
        <f>IF(Sort_IDAC!$B8="","",IF(Sort_IDAC!X8=0,0,ROUND(Sort_IDAC!X8,-1*INT(LOG10(Sort_IDAC!X8))+2)))</f>
        <v>4.4800000000000002E-15</v>
      </c>
      <c r="Y8" s="6">
        <f>IF(Sort_IDAC!$B8="","",IF(Sort_IDAC!Y8=0,0,ROUND(Sort_IDAC!Y8,-1*INT(LOG10(Sort_IDAC!Y8))+2)))</f>
        <v>4.0100000000000001E-15</v>
      </c>
      <c r="Z8" s="6">
        <f>IF(Sort_IDAC!$B8="","",IF(Sort_IDAC!Z8=0,0,ROUND(Sort_IDAC!Z8,-1*INT(LOG10(Sort_IDAC!Z8))+2)))</f>
        <v>2.8299999999999999E-17</v>
      </c>
      <c r="AA8" s="6">
        <f>IF(Sort_IDAC!$B8="","",IF(Sort_IDAC!AA8=0,0,ROUND(Sort_IDAC!AA8,-1*INT(LOG10(Sort_IDAC!AA8))+2)))</f>
        <v>2.7800000000000003E-17</v>
      </c>
      <c r="AB8" s="6">
        <f>IF(Sort_IDAC!$B8="","",IF(Sort_IDAC!AB8=0,0,ROUND(Sort_IDAC!AB8,-1*INT(LOG10(Sort_IDAC!AB8))+2)))</f>
        <v>1.1300000000000001E-16</v>
      </c>
      <c r="AC8" s="6">
        <f>IF(Sort_IDAC!$B8="","",IF(Sort_IDAC!AC8=0,0,ROUND(Sort_IDAC!AC8,-1*INT(LOG10(Sort_IDAC!AC8))+2)))</f>
        <v>1.8499999999999999E-17</v>
      </c>
      <c r="AD8" s="6">
        <f>IF(Sort_IDAC!$B8="","",IF(Sort_IDAC!AD8=0,0,ROUND(Sort_IDAC!AD8,-1*INT(LOG10(Sort_IDAC!AD8))+2)))</f>
        <v>4.78E-18</v>
      </c>
      <c r="AE8" s="6">
        <f>IF(Sort_IDAC!$B8="","",IF(Sort_IDAC!AE8=0,0,ROUND(Sort_IDAC!AE8,-1*INT(LOG10(Sort_IDAC!AE8))+2)))</f>
        <v>4.7999999999999999E-18</v>
      </c>
      <c r="AF8" s="6">
        <f>IF(Sort_IDAC!$B8="","",IF(Sort_IDAC!AF8=0,0,ROUND(Sort_IDAC!AF8,-1*INT(LOG10(Sort_IDAC!AF8))+2)))</f>
        <v>4.7999999999999999E-18</v>
      </c>
      <c r="AG8" s="6">
        <f>IF(Sort_IDAC!$B8="","",IF(Sort_IDAC!AG8=0,0,ROUND(Sort_IDAC!AG8,-1*INT(LOG10(Sort_IDAC!AG8))+2)))</f>
        <v>4.3600000000000002E-17</v>
      </c>
      <c r="AH8" s="6">
        <f>IF(Sort_IDAC!$B8="","",IF(Sort_IDAC!AH8=0,0,ROUND(Sort_IDAC!AH8,-1*INT(LOG10(Sort_IDAC!AH8))+2)))</f>
        <v>1.6499999999999999E-16</v>
      </c>
      <c r="AI8" s="6">
        <f>IF(Sort_IDAC!$B8="","",IF(Sort_IDAC!AI8=0,0,ROUND(Sort_IDAC!AI8,-1*INT(LOG10(Sort_IDAC!AI8))+2)))</f>
        <v>1.56E-16</v>
      </c>
      <c r="AJ8" s="6">
        <f>IF(Sort_IDAC!$B8="","",IF(Sort_IDAC!AJ8=0,0,ROUND(Sort_IDAC!AJ8,-1*INT(LOG10(Sort_IDAC!AJ8))+2)))</f>
        <v>1.87E-15</v>
      </c>
      <c r="AK8" s="6">
        <f>IF(Sort_IDAC!$B8="","",IF(Sort_IDAC!AK8=0,0,ROUND(Sort_IDAC!AK8,-1*INT(LOG10(Sort_IDAC!AK8))+2)))</f>
        <v>2.1300000000000001E-16</v>
      </c>
      <c r="AL8" s="6">
        <f>IF(Sort_IDAC!$B8="","",IF(Sort_IDAC!AL8=0,0,ROUND(Sort_IDAC!AL8,-1*INT(LOG10(Sort_IDAC!AL8))+2)))</f>
        <v>3.8600000000000001E-16</v>
      </c>
      <c r="AM8" s="6">
        <f>IF(Sort_IDAC!$B8="","",IF(Sort_IDAC!AM8=0,0,ROUND(Sort_IDAC!AM8,-1*INT(LOG10(Sort_IDAC!AM8))+2)))</f>
        <v>1.6300000000000001E-16</v>
      </c>
      <c r="AN8" s="6">
        <f>IF(Sort_IDAC!$B8="","",IF(Sort_IDAC!AN8=0,0,ROUND(Sort_IDAC!AN8,-1*INT(LOG10(Sort_IDAC!AN8))+2)))</f>
        <v>3.4499999999999999E-16</v>
      </c>
      <c r="AO8" s="6">
        <f>IF(Sort_IDAC!$B8="","",IF(Sort_IDAC!AO8=0,0,ROUND(Sort_IDAC!AO8,-1*INT(LOG10(Sort_IDAC!AO8))+2)))</f>
        <v>3.4499999999999999E-16</v>
      </c>
      <c r="AP8" s="6">
        <f>IF(Sort_IDAC!$B8="","",IF(Sort_IDAC!AP8=0,0,ROUND(Sort_IDAC!AP8,-1*INT(LOG10(Sort_IDAC!AP8))+2)))</f>
        <v>3.4499999999999999E-16</v>
      </c>
      <c r="AQ8" s="6">
        <f>IF(Sort_IDAC!$B8="","",IF(Sort_IDAC!AQ8=0,0,ROUND(Sort_IDAC!AQ8,-1*INT(LOG10(Sort_IDAC!AQ8))+2)))</f>
        <v>2.7000000000000001E-15</v>
      </c>
      <c r="AR8" s="6">
        <f>IF(Sort_IDAC!$B8="","",IF(Sort_IDAC!AR8=0,0,ROUND(Sort_IDAC!AR8,-1*INT(LOG10(Sort_IDAC!AR8))+2)))</f>
        <v>2.7000000000000001E-15</v>
      </c>
      <c r="AS8" s="6">
        <f>IF(Sort_IDAC!$B8="","",IF(Sort_IDAC!AS8=0,0,ROUND(Sort_IDAC!AS8,-1*INT(LOG10(Sort_IDAC!AS8))+2)))</f>
        <v>1.08E-18</v>
      </c>
      <c r="AT8" s="6">
        <f>IF(Sort_IDAC!$B8="","",IF(Sort_IDAC!AT8=0,0,ROUND(Sort_IDAC!AT8,-1*INT(LOG10(Sort_IDAC!AT8))+2)))</f>
        <v>1.89E-17</v>
      </c>
      <c r="AU8" s="6">
        <f>IF(Sort_IDAC!$B8="","",IF(Sort_IDAC!AU8=0,0,ROUND(Sort_IDAC!AU8,-1*INT(LOG10(Sort_IDAC!AU8))+2)))</f>
        <v>1.9099999999999999E-14</v>
      </c>
      <c r="AV8" s="6">
        <f>IF(Sort_IDAC!$B8="","",IF(Sort_IDAC!AV8=0,0,ROUND(Sort_IDAC!AV8,-1*INT(LOG10(Sort_IDAC!AV8))+2)))</f>
        <v>0</v>
      </c>
      <c r="AW8" s="6">
        <f>IF(Sort_IDAC!$B8="","",IF(Sort_IDAC!AW8=0,0,ROUND(Sort_IDAC!AW8,-1*INT(LOG10(Sort_IDAC!AW8))+2)))</f>
        <v>1.26E-18</v>
      </c>
      <c r="AX8" s="6">
        <f>IF(Sort_IDAC!$B8="","",IF(Sort_IDAC!AX8=0,0,ROUND(Sort_IDAC!AX8,-1*INT(LOG10(Sort_IDAC!AX8))+2)))</f>
        <v>1.13E-18</v>
      </c>
      <c r="AY8" s="6">
        <f>IF(Sort_IDAC!$B8="","",IF(Sort_IDAC!AY8=0,0,ROUND(Sort_IDAC!AY8,-1*INT(LOG10(Sort_IDAC!AY8))+2)))</f>
        <v>1.13E-18</v>
      </c>
      <c r="AZ8" s="6">
        <f>IF(Sort_IDAC!$B8="","",IF(Sort_IDAC!AZ8=0,0,ROUND(Sort_IDAC!AZ8,-1*INT(LOG10(Sort_IDAC!AZ8))+2)))</f>
        <v>9.5000000000000005E-16</v>
      </c>
      <c r="BA8" s="6">
        <f>IF(Sort_IDAC!$B8="","",IF(Sort_IDAC!BA8=0,0,ROUND(Sort_IDAC!BA8,-1*INT(LOG10(Sort_IDAC!BA8))+2)))</f>
        <v>1.9799999999999999E-16</v>
      </c>
      <c r="BB8" s="6">
        <f>IF(Sort_IDAC!$B8="","",IF(Sort_IDAC!BB8=0,0,ROUND(Sort_IDAC!BB8,-1*INT(LOG10(Sort_IDAC!BB8))+2)))</f>
        <v>6.3899999999999999E-18</v>
      </c>
      <c r="BC8" s="6">
        <f>IF(Sort_IDAC!$B8="","",IF(Sort_IDAC!BC8=0,0,ROUND(Sort_IDAC!BC8,-1*INT(LOG10(Sort_IDAC!BC8))+2)))</f>
        <v>6.6699999999999999E-18</v>
      </c>
      <c r="BD8" s="6">
        <f>IF(Sort_IDAC!$B8="","",IF(Sort_IDAC!BD8=0,0,ROUND(Sort_IDAC!BD8,-1*INT(LOG10(Sort_IDAC!BD8))+2)))</f>
        <v>6.6699999999999999E-18</v>
      </c>
      <c r="BE8" s="6">
        <f>IF(Sort_IDAC!$B8="","",IF(Sort_IDAC!BE8=0,0,ROUND(Sort_IDAC!BE8,-1*INT(LOG10(Sort_IDAC!BE8))+2)))</f>
        <v>3.4500000000000001E-15</v>
      </c>
      <c r="BF8" s="6">
        <f>IF(Sort_IDAC!$B8="","",IF(Sort_IDAC!BF8=0,0,ROUND(Sort_IDAC!BF8,-1*INT(LOG10(Sort_IDAC!BF8))+2)))</f>
        <v>3.3500000000000002E-16</v>
      </c>
      <c r="BG8" s="6">
        <f>IF(Sort_IDAC!$B8="","",IF(Sort_IDAC!BG8=0,0,ROUND(Sort_IDAC!BG8,-1*INT(LOG10(Sort_IDAC!BG8))+2)))</f>
        <v>9.1600000000000006E-18</v>
      </c>
      <c r="BH8" s="6">
        <f>IF(Sort_IDAC!$B8="","",IF(Sort_IDAC!BH8=0,0,ROUND(Sort_IDAC!BH8,-1*INT(LOG10(Sort_IDAC!BH8))+2)))</f>
        <v>7.8799999999999997E-18</v>
      </c>
      <c r="BI8" s="6">
        <f>IF(Sort_IDAC!$B8="","",IF(Sort_IDAC!BI8=0,0,ROUND(Sort_IDAC!BI8,-1*INT(LOG10(Sort_IDAC!BI8))+2)))</f>
        <v>7.8799999999999997E-18</v>
      </c>
      <c r="BJ8" s="6">
        <f>IF(Sort_IDAC!$B8="","",IF(Sort_IDAC!BJ8=0,0,ROUND(Sort_IDAC!BJ8,-1*INT(LOG10(Sort_IDAC!BJ8))+2)))</f>
        <v>7.8799999999999997E-18</v>
      </c>
      <c r="BK8" s="6">
        <f>IF(Sort_IDAC!$B8="","",IF(Sort_IDAC!BK8=0,0,ROUND(Sort_IDAC!BK8,-1*INT(LOG10(Sort_IDAC!BK8))+2)))</f>
        <v>4.34E-17</v>
      </c>
      <c r="BL8" s="6">
        <f>IF(Sort_IDAC!$B8="","",IF(Sort_IDAC!BL8=0,0,ROUND(Sort_IDAC!BL8,-1*INT(LOG10(Sort_IDAC!BL8))+2)))</f>
        <v>3.42E-17</v>
      </c>
      <c r="BM8" s="6">
        <f>IF(Sort_IDAC!$B8="","",IF(Sort_IDAC!BM8=0,0,ROUND(Sort_IDAC!BM8,-1*INT(LOG10(Sort_IDAC!BM8))+2)))</f>
        <v>3.0800000000000003E-17</v>
      </c>
      <c r="BN8" s="6">
        <f>IF(Sort_IDAC!$B8="","",IF(Sort_IDAC!BN8=0,0,ROUND(Sort_IDAC!BN8,-1*INT(LOG10(Sort_IDAC!BN8))+2)))</f>
        <v>3.0800000000000003E-17</v>
      </c>
      <c r="BO8" s="6">
        <f>IF(Sort_IDAC!$B8="","",IF(Sort_IDAC!BO8=0,0,ROUND(Sort_IDAC!BO8,-1*INT(LOG10(Sort_IDAC!BO8))+2)))</f>
        <v>2.26E-15</v>
      </c>
      <c r="BP8" s="6">
        <f>IF(Sort_IDAC!$B8="","",IF(Sort_IDAC!BP8=0,0,ROUND(Sort_IDAC!BP8,-1*INT(LOG10(Sort_IDAC!BP8))+2)))</f>
        <v>2.26E-15</v>
      </c>
      <c r="BQ8" s="6">
        <f>IF(Sort_IDAC!$B8="","",IF(Sort_IDAC!BQ8=0,0,ROUND(Sort_IDAC!BQ8,-1*INT(LOG10(Sort_IDAC!BQ8))+2)))</f>
        <v>0</v>
      </c>
      <c r="BR8" s="6">
        <f>IF(Sort_IDAC!$B8="","",IF(Sort_IDAC!BR8=0,0,ROUND(Sort_IDAC!BR8,-1*INT(LOG10(Sort_IDAC!BR8))+2)))</f>
        <v>3.0199999999999998E-16</v>
      </c>
      <c r="BS8" s="6">
        <f>IF(Sort_IDAC!$B8="","",IF(Sort_IDAC!BS8=0,0,ROUND(Sort_IDAC!BS8,-1*INT(LOG10(Sort_IDAC!BS8))+2)))</f>
        <v>6.7600000000000004E-16</v>
      </c>
      <c r="BT8" s="6">
        <f>IF(Sort_IDAC!$B8="","",IF(Sort_IDAC!BT8=0,0,ROUND(Sort_IDAC!BT8,-1*INT(LOG10(Sort_IDAC!BT8))+2)))</f>
        <v>2.77E-15</v>
      </c>
      <c r="BU8" s="6">
        <f>IF(Sort_IDAC!$B8="","",IF(Sort_IDAC!BU8=0,0,ROUND(Sort_IDAC!BU8,-1*INT(LOG10(Sort_IDAC!BU8))+2)))</f>
        <v>3.98E-15</v>
      </c>
      <c r="BV8" s="6">
        <f>IF(Sort_IDAC!$B8="","",IF(Sort_IDAC!BV8=0,0,ROUND(Sort_IDAC!BV8,-1*INT(LOG10(Sort_IDAC!BV8))+2)))</f>
        <v>8.2700000000000003E-16</v>
      </c>
      <c r="BW8" s="6">
        <f>IF(Sort_IDAC!$B8="","",IF(Sort_IDAC!BW8=0,0,ROUND(Sort_IDAC!BW8,-1*INT(LOG10(Sort_IDAC!BW8))+2)))</f>
        <v>2.09E-15</v>
      </c>
      <c r="BX8" s="6">
        <f>IF(Sort_IDAC!$B8="","",IF(Sort_IDAC!BX8=0,0,ROUND(Sort_IDAC!BX8,-1*INT(LOG10(Sort_IDAC!BX8))+2)))</f>
        <v>2.09E-15</v>
      </c>
      <c r="BY8" s="6">
        <f>IF(Sort_IDAC!$B8="","",IF(Sort_IDAC!BY8=0,0,ROUND(Sort_IDAC!BY8,-1*INT(LOG10(Sort_IDAC!BY8))+2)))</f>
        <v>6.8299999999999999E-18</v>
      </c>
      <c r="BZ8" s="6">
        <f>IF(Sort_IDAC!$B8="","",IF(Sort_IDAC!BZ8=0,0,ROUND(Sort_IDAC!BZ8,-1*INT(LOG10(Sort_IDAC!BZ8))+2)))</f>
        <v>1.31E-18</v>
      </c>
      <c r="CA8" s="6">
        <f>IF(Sort_IDAC!$B8="","",IF(Sort_IDAC!CA8=0,0,ROUND(Sort_IDAC!CA8,-1*INT(LOG10(Sort_IDAC!CA8))+2)))</f>
        <v>1.0999999999999999E-18</v>
      </c>
      <c r="CB8" s="6">
        <f>IF(Sort_IDAC!$B8="","",IF(Sort_IDAC!CB8=0,0,ROUND(Sort_IDAC!CB8,-1*INT(LOG10(Sort_IDAC!CB8))+2)))</f>
        <v>1.1100000000000001E-18</v>
      </c>
      <c r="CC8" s="6">
        <f>IF(Sort_IDAC!$B8="","",IF(Sort_IDAC!CC8=0,0,ROUND(Sort_IDAC!CC8,-1*INT(LOG10(Sort_IDAC!CC8))+2)))</f>
        <v>6.4799999999999998E-16</v>
      </c>
      <c r="CD8" s="6"/>
      <c r="CE8" s="6"/>
      <c r="CF8" s="6"/>
      <c r="CG8" s="6"/>
    </row>
    <row r="9" spans="2:85" x14ac:dyDescent="0.15">
      <c r="B9" s="5" t="s">
        <v>3</v>
      </c>
      <c r="C9" s="6">
        <f>IF(Sort_IDAC!$B9="","",IF(Sort_IDAC!C9=0,0,ROUND(Sort_IDAC!C9,-1*INT(LOG10(Sort_IDAC!C9))+2)))</f>
        <v>3.9500000000000001E-16</v>
      </c>
      <c r="D9" s="6">
        <f>IF(Sort_IDAC!$B9="","",IF(Sort_IDAC!D9=0,0,ROUND(Sort_IDAC!D9,-1*INT(LOG10(Sort_IDAC!D9))+2)))</f>
        <v>8.0499999999999997E-16</v>
      </c>
      <c r="E9" s="6">
        <f>IF(Sort_IDAC!$B9="","",IF(Sort_IDAC!E9=0,0,ROUND(Sort_IDAC!E9,-1*INT(LOG10(Sort_IDAC!E9))+2)))</f>
        <v>2.94E-15</v>
      </c>
      <c r="F9" s="6">
        <f>IF(Sort_IDAC!$B9="","",IF(Sort_IDAC!F9=0,0,ROUND(Sort_IDAC!F9,-1*INT(LOG10(Sort_IDAC!F9))+2)))</f>
        <v>8.5399999999999997E-16</v>
      </c>
      <c r="G9" s="6">
        <f>IF(Sort_IDAC!$B9="","",IF(Sort_IDAC!G9=0,0,ROUND(Sort_IDAC!G9,-1*INT(LOG10(Sort_IDAC!G9))+2)))</f>
        <v>1.64E-16</v>
      </c>
      <c r="H9" s="6">
        <f>IF(Sort_IDAC!$B9="","",IF(Sort_IDAC!H9=0,0,ROUND(Sort_IDAC!H9,-1*INT(LOG10(Sort_IDAC!H9))+2)))</f>
        <v>9.66E-14</v>
      </c>
      <c r="I9" s="6">
        <f>IF(Sort_IDAC!$B9="","",IF(Sort_IDAC!I9=0,0,ROUND(Sort_IDAC!I9,-1*INT(LOG10(Sort_IDAC!I9))+2)))</f>
        <v>1.87E-15</v>
      </c>
      <c r="J9" s="6">
        <f>IF(Sort_IDAC!$B9="","",IF(Sort_IDAC!J9=0,0,ROUND(Sort_IDAC!J9,-1*INT(LOG10(Sort_IDAC!J9))+2)))</f>
        <v>1.87E-15</v>
      </c>
      <c r="K9" s="6">
        <f>IF(Sort_IDAC!$B9="","",IF(Sort_IDAC!K9=0,0,ROUND(Sort_IDAC!K9,-1*INT(LOG10(Sort_IDAC!K9))+2)))</f>
        <v>1.87E-15</v>
      </c>
      <c r="L9" s="6">
        <f>IF(Sort_IDAC!$B9="","",IF(Sort_IDAC!L9=0,0,ROUND(Sort_IDAC!L9,-1*INT(LOG10(Sort_IDAC!L9))+2)))</f>
        <v>2.94E-15</v>
      </c>
      <c r="M9" s="6">
        <f>IF(Sort_IDAC!$B9="","",IF(Sort_IDAC!M9=0,0,ROUND(Sort_IDAC!M9,-1*INT(LOG10(Sort_IDAC!M9))+2)))</f>
        <v>2.94E-15</v>
      </c>
      <c r="N9" s="6">
        <f>IF(Sort_IDAC!$B9="","",IF(Sort_IDAC!N9=0,0,ROUND(Sort_IDAC!N9,-1*INT(LOG10(Sort_IDAC!N9))+2)))</f>
        <v>2.94E-15</v>
      </c>
      <c r="O9" s="6">
        <f>IF(Sort_IDAC!$B9="","",IF(Sort_IDAC!O9=0,0,ROUND(Sort_IDAC!O9,-1*INT(LOG10(Sort_IDAC!O9))+2)))</f>
        <v>4.6800000000000001E-16</v>
      </c>
      <c r="P9" s="6">
        <f>IF(Sort_IDAC!$B9="","",IF(Sort_IDAC!P9=0,0,ROUND(Sort_IDAC!P9,-1*INT(LOG10(Sort_IDAC!P9))+2)))</f>
        <v>1.2999999999999999E-16</v>
      </c>
      <c r="Q9" s="6">
        <f>IF(Sort_IDAC!$B9="","",IF(Sort_IDAC!Q9=0,0,ROUND(Sort_IDAC!Q9,-1*INT(LOG10(Sort_IDAC!Q9))+2)))</f>
        <v>3.0599999999999999E-16</v>
      </c>
      <c r="R9" s="6">
        <f>IF(Sort_IDAC!$B9="","",IF(Sort_IDAC!R9=0,0,ROUND(Sort_IDAC!R9,-1*INT(LOG10(Sort_IDAC!R9))+2)))</f>
        <v>3.0599999999999999E-16</v>
      </c>
      <c r="S9" s="6">
        <f>IF(Sort_IDAC!$B9="","",IF(Sort_IDAC!S9=0,0,ROUND(Sort_IDAC!S9,-1*INT(LOG10(Sort_IDAC!S9))+2)))</f>
        <v>5.8799999999999999E-16</v>
      </c>
      <c r="T9" s="6">
        <f>IF(Sort_IDAC!$B9="","",IF(Sort_IDAC!T9=0,0,ROUND(Sort_IDAC!T9,-1*INT(LOG10(Sort_IDAC!T9))+2)))</f>
        <v>5.6799999999999996E-16</v>
      </c>
      <c r="U9" s="6">
        <f>IF(Sort_IDAC!$B9="","",IF(Sort_IDAC!U9=0,0,ROUND(Sort_IDAC!U9,-1*INT(LOG10(Sort_IDAC!U9))+2)))</f>
        <v>5.6799999999999996E-16</v>
      </c>
      <c r="V9" s="6">
        <f>IF(Sort_IDAC!$B9="","",IF(Sort_IDAC!V9=0,0,ROUND(Sort_IDAC!V9,-1*INT(LOG10(Sort_IDAC!V9))+2)))</f>
        <v>5.6799999999999996E-16</v>
      </c>
      <c r="W9" s="6">
        <f>IF(Sort_IDAC!$B9="","",IF(Sort_IDAC!W9=0,0,ROUND(Sort_IDAC!W9,-1*INT(LOG10(Sort_IDAC!W9))+2)))</f>
        <v>5.6799999999999996E-16</v>
      </c>
      <c r="X9" s="6">
        <f>IF(Sort_IDAC!$B9="","",IF(Sort_IDAC!X9=0,0,ROUND(Sort_IDAC!X9,-1*INT(LOG10(Sort_IDAC!X9))+2)))</f>
        <v>5.6799999999999996E-16</v>
      </c>
      <c r="Y9" s="6">
        <f>IF(Sort_IDAC!$B9="","",IF(Sort_IDAC!Y9=0,0,ROUND(Sort_IDAC!Y9,-1*INT(LOG10(Sort_IDAC!Y9))+2)))</f>
        <v>4.37E-16</v>
      </c>
      <c r="Z9" s="6">
        <f>IF(Sort_IDAC!$B9="","",IF(Sort_IDAC!Z9=0,0,ROUND(Sort_IDAC!Z9,-1*INT(LOG10(Sort_IDAC!Z9))+2)))</f>
        <v>9.5000000000000005E-16</v>
      </c>
      <c r="AA9" s="6">
        <f>IF(Sort_IDAC!$B9="","",IF(Sort_IDAC!AA9=0,0,ROUND(Sort_IDAC!AA9,-1*INT(LOG10(Sort_IDAC!AA9))+2)))</f>
        <v>9.5200000000000009E-16</v>
      </c>
      <c r="AB9" s="6">
        <f>IF(Sort_IDAC!$B9="","",IF(Sort_IDAC!AB9=0,0,ROUND(Sort_IDAC!AB9,-1*INT(LOG10(Sort_IDAC!AB9))+2)))</f>
        <v>4.0100000000000001E-15</v>
      </c>
      <c r="AC9" s="6">
        <f>IF(Sort_IDAC!$B9="","",IF(Sort_IDAC!AC9=0,0,ROUND(Sort_IDAC!AC9,-1*INT(LOG10(Sort_IDAC!AC9))+2)))</f>
        <v>4.5100000000000003E-16</v>
      </c>
      <c r="AD9" s="6">
        <f>IF(Sort_IDAC!$B9="","",IF(Sort_IDAC!AD9=0,0,ROUND(Sort_IDAC!AD9,-1*INT(LOG10(Sort_IDAC!AD9))+2)))</f>
        <v>1.15E-16</v>
      </c>
      <c r="AE9" s="6">
        <f>IF(Sort_IDAC!$B9="","",IF(Sort_IDAC!AE9=0,0,ROUND(Sort_IDAC!AE9,-1*INT(LOG10(Sort_IDAC!AE9))+2)))</f>
        <v>1.1300000000000001E-16</v>
      </c>
      <c r="AF9" s="6">
        <f>IF(Sort_IDAC!$B9="","",IF(Sort_IDAC!AF9=0,0,ROUND(Sort_IDAC!AF9,-1*INT(LOG10(Sort_IDAC!AF9))+2)))</f>
        <v>1.1300000000000001E-16</v>
      </c>
      <c r="AG9" s="6">
        <f>IF(Sort_IDAC!$B9="","",IF(Sort_IDAC!AG9=0,0,ROUND(Sort_IDAC!AG9,-1*INT(LOG10(Sort_IDAC!AG9))+2)))</f>
        <v>1.4500000000000001E-15</v>
      </c>
      <c r="AH9" s="6">
        <f>IF(Sort_IDAC!$B9="","",IF(Sort_IDAC!AH9=0,0,ROUND(Sort_IDAC!AH9,-1*INT(LOG10(Sort_IDAC!AH9))+2)))</f>
        <v>2.91E-15</v>
      </c>
      <c r="AI9" s="6">
        <f>IF(Sort_IDAC!$B9="","",IF(Sort_IDAC!AI9=0,0,ROUND(Sort_IDAC!AI9,-1*INT(LOG10(Sort_IDAC!AI9))+2)))</f>
        <v>2.8500000000000002E-15</v>
      </c>
      <c r="AJ9" s="6">
        <f>IF(Sort_IDAC!$B9="","",IF(Sort_IDAC!AJ9=0,0,ROUND(Sort_IDAC!AJ9,-1*INT(LOG10(Sort_IDAC!AJ9))+2)))</f>
        <v>8.74E-16</v>
      </c>
      <c r="AK9" s="6">
        <f>IF(Sort_IDAC!$B9="","",IF(Sort_IDAC!AK9=0,0,ROUND(Sort_IDAC!AK9,-1*INT(LOG10(Sort_IDAC!AK9))+2)))</f>
        <v>7.7999999999999995E-16</v>
      </c>
      <c r="AL9" s="6">
        <f>IF(Sort_IDAC!$B9="","",IF(Sort_IDAC!AL9=0,0,ROUND(Sort_IDAC!AL9,-1*INT(LOG10(Sort_IDAC!AL9))+2)))</f>
        <v>1.8099999999999998E-15</v>
      </c>
      <c r="AM9" s="6">
        <f>IF(Sort_IDAC!$B9="","",IF(Sort_IDAC!AM9=0,0,ROUND(Sort_IDAC!AM9,-1*INT(LOG10(Sort_IDAC!AM9))+2)))</f>
        <v>3.9299999999999998E-16</v>
      </c>
      <c r="AN9" s="6">
        <f>IF(Sort_IDAC!$B9="","",IF(Sort_IDAC!AN9=0,0,ROUND(Sort_IDAC!AN9,-1*INT(LOG10(Sort_IDAC!AN9))+2)))</f>
        <v>1.6200000000000001E-15</v>
      </c>
      <c r="AO9" s="6">
        <f>IF(Sort_IDAC!$B9="","",IF(Sort_IDAC!AO9=0,0,ROUND(Sort_IDAC!AO9,-1*INT(LOG10(Sort_IDAC!AO9))+2)))</f>
        <v>1.6200000000000001E-15</v>
      </c>
      <c r="AP9" s="6">
        <f>IF(Sort_IDAC!$B9="","",IF(Sort_IDAC!AP9=0,0,ROUND(Sort_IDAC!AP9,-1*INT(LOG10(Sort_IDAC!AP9))+2)))</f>
        <v>1.6200000000000001E-15</v>
      </c>
      <c r="AQ9" s="6">
        <f>IF(Sort_IDAC!$B9="","",IF(Sort_IDAC!AQ9=0,0,ROUND(Sort_IDAC!AQ9,-1*INT(LOG10(Sort_IDAC!AQ9))+2)))</f>
        <v>7.3700000000000004E-16</v>
      </c>
      <c r="AR9" s="6">
        <f>IF(Sort_IDAC!$B9="","",IF(Sort_IDAC!AR9=0,0,ROUND(Sort_IDAC!AR9,-1*INT(LOG10(Sort_IDAC!AR9))+2)))</f>
        <v>7.3700000000000004E-16</v>
      </c>
      <c r="AS9" s="6">
        <f>IF(Sort_IDAC!$B9="","",IF(Sort_IDAC!AS9=0,0,ROUND(Sort_IDAC!AS9,-1*INT(LOG10(Sort_IDAC!AS9))+2)))</f>
        <v>2.0999999999999999E-17</v>
      </c>
      <c r="AT9" s="6">
        <f>IF(Sort_IDAC!$B9="","",IF(Sort_IDAC!AT9=0,0,ROUND(Sort_IDAC!AT9,-1*INT(LOG10(Sort_IDAC!AT9))+2)))</f>
        <v>6.1699999999999997E-16</v>
      </c>
      <c r="AU9" s="6">
        <f>IF(Sort_IDAC!$B9="","",IF(Sort_IDAC!AU9=0,0,ROUND(Sort_IDAC!AU9,-1*INT(LOG10(Sort_IDAC!AU9))+2)))</f>
        <v>2.9999999999999999E-16</v>
      </c>
      <c r="AV9" s="6">
        <f>IF(Sort_IDAC!$B9="","",IF(Sort_IDAC!AV9=0,0,ROUND(Sort_IDAC!AV9,-1*INT(LOG10(Sort_IDAC!AV9))+2)))</f>
        <v>0</v>
      </c>
      <c r="AW9" s="6">
        <f>IF(Sort_IDAC!$B9="","",IF(Sort_IDAC!AW9=0,0,ROUND(Sort_IDAC!AW9,-1*INT(LOG10(Sort_IDAC!AW9))+2)))</f>
        <v>2.63E-17</v>
      </c>
      <c r="AX9" s="6">
        <f>IF(Sort_IDAC!$B9="","",IF(Sort_IDAC!AX9=0,0,ROUND(Sort_IDAC!AX9,-1*INT(LOG10(Sort_IDAC!AX9))+2)))</f>
        <v>2.2700000000000001E-17</v>
      </c>
      <c r="AY9" s="6">
        <f>IF(Sort_IDAC!$B9="","",IF(Sort_IDAC!AY9=0,0,ROUND(Sort_IDAC!AY9,-1*INT(LOG10(Sort_IDAC!AY9))+2)))</f>
        <v>2.2700000000000001E-17</v>
      </c>
      <c r="AZ9" s="6">
        <f>IF(Sort_IDAC!$B9="","",IF(Sort_IDAC!AZ9=0,0,ROUND(Sort_IDAC!AZ9,-1*INT(LOG10(Sort_IDAC!AZ9))+2)))</f>
        <v>8.4799999999999997E-16</v>
      </c>
      <c r="BA9" s="6">
        <f>IF(Sort_IDAC!$B9="","",IF(Sort_IDAC!BA9=0,0,ROUND(Sort_IDAC!BA9,-1*INT(LOG10(Sort_IDAC!BA9))+2)))</f>
        <v>2.91E-15</v>
      </c>
      <c r="BB9" s="6">
        <f>IF(Sort_IDAC!$B9="","",IF(Sort_IDAC!BB9=0,0,ROUND(Sort_IDAC!BB9,-1*INT(LOG10(Sort_IDAC!BB9))+2)))</f>
        <v>1.38E-16</v>
      </c>
      <c r="BC9" s="6">
        <f>IF(Sort_IDAC!$B9="","",IF(Sort_IDAC!BC9=0,0,ROUND(Sort_IDAC!BC9,-1*INT(LOG10(Sort_IDAC!BC9))+2)))</f>
        <v>1.3899999999999999E-16</v>
      </c>
      <c r="BD9" s="6">
        <f>IF(Sort_IDAC!$B9="","",IF(Sort_IDAC!BD9=0,0,ROUND(Sort_IDAC!BD9,-1*INT(LOG10(Sort_IDAC!BD9))+2)))</f>
        <v>1.3899999999999999E-16</v>
      </c>
      <c r="BE9" s="6">
        <f>IF(Sort_IDAC!$B9="","",IF(Sort_IDAC!BE9=0,0,ROUND(Sort_IDAC!BE9,-1*INT(LOG10(Sort_IDAC!BE9))+2)))</f>
        <v>5.7999999999999996E-16</v>
      </c>
      <c r="BF9" s="6">
        <f>IF(Sort_IDAC!$B9="","",IF(Sort_IDAC!BF9=0,0,ROUND(Sort_IDAC!BF9,-1*INT(LOG10(Sort_IDAC!BF9))+2)))</f>
        <v>7.8199999999999999E-16</v>
      </c>
      <c r="BG9" s="6">
        <f>IF(Sort_IDAC!$B9="","",IF(Sort_IDAC!BG9=0,0,ROUND(Sort_IDAC!BG9,-1*INT(LOG10(Sort_IDAC!BG9))+2)))</f>
        <v>2.5600000000000002E-16</v>
      </c>
      <c r="BH9" s="6">
        <f>IF(Sort_IDAC!$B9="","",IF(Sort_IDAC!BH9=0,0,ROUND(Sort_IDAC!BH9,-1*INT(LOG10(Sort_IDAC!BH9))+2)))</f>
        <v>2.0899999999999999E-16</v>
      </c>
      <c r="BI9" s="6">
        <f>IF(Sort_IDAC!$B9="","",IF(Sort_IDAC!BI9=0,0,ROUND(Sort_IDAC!BI9,-1*INT(LOG10(Sort_IDAC!BI9))+2)))</f>
        <v>2.0899999999999999E-16</v>
      </c>
      <c r="BJ9" s="6">
        <f>IF(Sort_IDAC!$B9="","",IF(Sort_IDAC!BJ9=0,0,ROUND(Sort_IDAC!BJ9,-1*INT(LOG10(Sort_IDAC!BJ9))+2)))</f>
        <v>2.0899999999999999E-16</v>
      </c>
      <c r="BK9" s="6">
        <f>IF(Sort_IDAC!$B9="","",IF(Sort_IDAC!BK9=0,0,ROUND(Sort_IDAC!BK9,-1*INT(LOG10(Sort_IDAC!BK9))+2)))</f>
        <v>8.74E-16</v>
      </c>
      <c r="BL9" s="6">
        <f>IF(Sort_IDAC!$B9="","",IF(Sort_IDAC!BL9=0,0,ROUND(Sort_IDAC!BL9,-1*INT(LOG10(Sort_IDAC!BL9))+2)))</f>
        <v>1.2099999999999999E-15</v>
      </c>
      <c r="BM9" s="6">
        <f>IF(Sort_IDAC!$B9="","",IF(Sort_IDAC!BM9=0,0,ROUND(Sort_IDAC!BM9,-1*INT(LOG10(Sort_IDAC!BM9))+2)))</f>
        <v>1.0399999999999999E-15</v>
      </c>
      <c r="BN9" s="6">
        <f>IF(Sort_IDAC!$B9="","",IF(Sort_IDAC!BN9=0,0,ROUND(Sort_IDAC!BN9,-1*INT(LOG10(Sort_IDAC!BN9))+2)))</f>
        <v>1.0399999999999999E-15</v>
      </c>
      <c r="BO9" s="6">
        <f>IF(Sort_IDAC!$B9="","",IF(Sort_IDAC!BO9=0,0,ROUND(Sort_IDAC!BO9,-1*INT(LOG10(Sort_IDAC!BO9))+2)))</f>
        <v>7.0500000000000002E-16</v>
      </c>
      <c r="BP9" s="6">
        <f>IF(Sort_IDAC!$B9="","",IF(Sort_IDAC!BP9=0,0,ROUND(Sort_IDAC!BP9,-1*INT(LOG10(Sort_IDAC!BP9))+2)))</f>
        <v>7.0500000000000002E-16</v>
      </c>
      <c r="BQ9" s="6">
        <f>IF(Sort_IDAC!$B9="","",IF(Sort_IDAC!BQ9=0,0,ROUND(Sort_IDAC!BQ9,-1*INT(LOG10(Sort_IDAC!BQ9))+2)))</f>
        <v>0</v>
      </c>
      <c r="BR9" s="6">
        <f>IF(Sort_IDAC!$B9="","",IF(Sort_IDAC!BR9=0,0,ROUND(Sort_IDAC!BR9,-1*INT(LOG10(Sort_IDAC!BR9))+2)))</f>
        <v>2.6099999999999998E-15</v>
      </c>
      <c r="BS9" s="6">
        <f>IF(Sort_IDAC!$B9="","",IF(Sort_IDAC!BS9=0,0,ROUND(Sort_IDAC!BS9,-1*INT(LOG10(Sort_IDAC!BS9))+2)))</f>
        <v>1.1100000000000001E-15</v>
      </c>
      <c r="BT9" s="6">
        <f>IF(Sort_IDAC!$B9="","",IF(Sort_IDAC!BT9=0,0,ROUND(Sort_IDAC!BT9,-1*INT(LOG10(Sort_IDAC!BT9))+2)))</f>
        <v>7.3600000000000003E-16</v>
      </c>
      <c r="BU9" s="6">
        <f>IF(Sort_IDAC!$B9="","",IF(Sort_IDAC!BU9=0,0,ROUND(Sort_IDAC!BU9,-1*INT(LOG10(Sort_IDAC!BU9))+2)))</f>
        <v>5.7200000000000003E-16</v>
      </c>
      <c r="BV9" s="6">
        <f>IF(Sort_IDAC!$B9="","",IF(Sort_IDAC!BV9=0,0,ROUND(Sort_IDAC!BV9,-1*INT(LOG10(Sort_IDAC!BV9))+2)))</f>
        <v>4.8200000000000004E-16</v>
      </c>
      <c r="BW9" s="6">
        <f>IF(Sort_IDAC!$B9="","",IF(Sort_IDAC!BW9=0,0,ROUND(Sort_IDAC!BW9,-1*INT(LOG10(Sort_IDAC!BW9))+2)))</f>
        <v>3.52E-16</v>
      </c>
      <c r="BX9" s="6">
        <f>IF(Sort_IDAC!$B9="","",IF(Sort_IDAC!BX9=0,0,ROUND(Sort_IDAC!BX9,-1*INT(LOG10(Sort_IDAC!BX9))+2)))</f>
        <v>3.52E-16</v>
      </c>
      <c r="BY9" s="6">
        <f>IF(Sort_IDAC!$B9="","",IF(Sort_IDAC!BY9=0,0,ROUND(Sort_IDAC!BY9,-1*INT(LOG10(Sort_IDAC!BY9))+2)))</f>
        <v>1.8899999999999999E-16</v>
      </c>
      <c r="BZ9" s="6">
        <f>IF(Sort_IDAC!$B9="","",IF(Sort_IDAC!BZ9=0,0,ROUND(Sort_IDAC!BZ9,-1*INT(LOG10(Sort_IDAC!BZ9))+2)))</f>
        <v>2.4500000000000001E-17</v>
      </c>
      <c r="CA9" s="6">
        <f>IF(Sort_IDAC!$B9="","",IF(Sort_IDAC!CA9=0,0,ROUND(Sort_IDAC!CA9,-1*INT(LOG10(Sort_IDAC!CA9))+2)))</f>
        <v>2.2700000000000001E-17</v>
      </c>
      <c r="CB9" s="6">
        <f>IF(Sort_IDAC!$B9="","",IF(Sort_IDAC!CB9=0,0,ROUND(Sort_IDAC!CB9,-1*INT(LOG10(Sort_IDAC!CB9))+2)))</f>
        <v>2.1500000000000001E-17</v>
      </c>
      <c r="CC9" s="6">
        <f>IF(Sort_IDAC!$B9="","",IF(Sort_IDAC!CC9=0,0,ROUND(Sort_IDAC!CC9,-1*INT(LOG10(Sort_IDAC!CC9))+2)))</f>
        <v>2.4700000000000002E-16</v>
      </c>
      <c r="CD9" s="6"/>
      <c r="CE9" s="6"/>
      <c r="CF9" s="6"/>
      <c r="CG9" s="6"/>
    </row>
    <row r="10" spans="2:85" x14ac:dyDescent="0.15">
      <c r="B10" s="5" t="s">
        <v>4</v>
      </c>
      <c r="C10" s="6">
        <f>IF(Sort_IDAC!$B10="","",IF(Sort_IDAC!C10=0,0,ROUND(Sort_IDAC!C10,-1*INT(LOG10(Sort_IDAC!C10))+2)))</f>
        <v>5.8699999999999997E-16</v>
      </c>
      <c r="D10" s="6">
        <f>IF(Sort_IDAC!$B10="","",IF(Sort_IDAC!D10=0,0,ROUND(Sort_IDAC!D10,-1*INT(LOG10(Sort_IDAC!D10))+2)))</f>
        <v>1.24E-15</v>
      </c>
      <c r="E10" s="6">
        <f>IF(Sort_IDAC!$B10="","",IF(Sort_IDAC!E10=0,0,ROUND(Sort_IDAC!E10,-1*INT(LOG10(Sort_IDAC!E10))+2)))</f>
        <v>1.3899999999999999E-14</v>
      </c>
      <c r="F10" s="6">
        <f>IF(Sort_IDAC!$B10="","",IF(Sort_IDAC!F10=0,0,ROUND(Sort_IDAC!F10,-1*INT(LOG10(Sort_IDAC!F10))+2)))</f>
        <v>4.2400000000000003E-15</v>
      </c>
      <c r="G10" s="6">
        <f>IF(Sort_IDAC!$B10="","",IF(Sort_IDAC!G10=0,0,ROUND(Sort_IDAC!G10,-1*INT(LOG10(Sort_IDAC!G10))+2)))</f>
        <v>1.5700000000000001E-16</v>
      </c>
      <c r="H10" s="6">
        <f>IF(Sort_IDAC!$B10="","",IF(Sort_IDAC!H10=0,0,ROUND(Sort_IDAC!H10,-1*INT(LOG10(Sort_IDAC!H10))+2)))</f>
        <v>2.26E-15</v>
      </c>
      <c r="I10" s="6">
        <f>IF(Sort_IDAC!$B10="","",IF(Sort_IDAC!I10=0,0,ROUND(Sort_IDAC!I10,-1*INT(LOG10(Sort_IDAC!I10))+2)))</f>
        <v>4.7700000000000001E-12</v>
      </c>
      <c r="J10" s="6">
        <f>IF(Sort_IDAC!$B10="","",IF(Sort_IDAC!J10=0,0,ROUND(Sort_IDAC!J10,-1*INT(LOG10(Sort_IDAC!J10))+2)))</f>
        <v>5.8699999999999998E-12</v>
      </c>
      <c r="K10" s="6">
        <f>IF(Sort_IDAC!$B10="","",IF(Sort_IDAC!K10=0,0,ROUND(Sort_IDAC!K10,-1*INT(LOG10(Sort_IDAC!K10))+2)))</f>
        <v>4.8999999999999997E-12</v>
      </c>
      <c r="L10" s="6">
        <f>IF(Sort_IDAC!$B10="","",IF(Sort_IDAC!L10=0,0,ROUND(Sort_IDAC!L10,-1*INT(LOG10(Sort_IDAC!L10))+2)))</f>
        <v>5.0000000000000002E-14</v>
      </c>
      <c r="M10" s="6">
        <f>IF(Sort_IDAC!$B10="","",IF(Sort_IDAC!M10=0,0,ROUND(Sort_IDAC!M10,-1*INT(LOG10(Sort_IDAC!M10))+2)))</f>
        <v>1.4E-14</v>
      </c>
      <c r="N10" s="6">
        <f>IF(Sort_IDAC!$B10="","",IF(Sort_IDAC!N10=0,0,ROUND(Sort_IDAC!N10,-1*INT(LOG10(Sort_IDAC!N10))+2)))</f>
        <v>1.4E-14</v>
      </c>
      <c r="O10" s="6">
        <f>IF(Sort_IDAC!$B10="","",IF(Sort_IDAC!O10=0,0,ROUND(Sort_IDAC!O10,-1*INT(LOG10(Sort_IDAC!O10))+2)))</f>
        <v>7.5199999999999999E-16</v>
      </c>
      <c r="P10" s="6">
        <f>IF(Sort_IDAC!$B10="","",IF(Sort_IDAC!P10=0,0,ROUND(Sort_IDAC!P10,-1*INT(LOG10(Sort_IDAC!P10))+2)))</f>
        <v>1.9300000000000001E-16</v>
      </c>
      <c r="Q10" s="6">
        <f>IF(Sort_IDAC!$B10="","",IF(Sort_IDAC!Q10=0,0,ROUND(Sort_IDAC!Q10,-1*INT(LOG10(Sort_IDAC!Q10))+2)))</f>
        <v>9.7999999999999995E-16</v>
      </c>
      <c r="R10" s="6">
        <f>IF(Sort_IDAC!$B10="","",IF(Sort_IDAC!R10=0,0,ROUND(Sort_IDAC!R10,-1*INT(LOG10(Sort_IDAC!R10))+2)))</f>
        <v>9.7999999999999995E-16</v>
      </c>
      <c r="S10" s="6">
        <f>IF(Sort_IDAC!$B10="","",IF(Sort_IDAC!S10=0,0,ROUND(Sort_IDAC!S10,-1*INT(LOG10(Sort_IDAC!S10))+2)))</f>
        <v>2.8099999999999998E-16</v>
      </c>
      <c r="T10" s="6">
        <f>IF(Sort_IDAC!$B10="","",IF(Sort_IDAC!T10=0,0,ROUND(Sort_IDAC!T10,-1*INT(LOG10(Sort_IDAC!T10))+2)))</f>
        <v>6.9400000000000004E-16</v>
      </c>
      <c r="U10" s="6">
        <f>IF(Sort_IDAC!$B10="","",IF(Sort_IDAC!U10=0,0,ROUND(Sort_IDAC!U10,-1*INT(LOG10(Sort_IDAC!U10))+2)))</f>
        <v>6.9400000000000004E-16</v>
      </c>
      <c r="V10" s="6">
        <f>IF(Sort_IDAC!$B10="","",IF(Sort_IDAC!V10=0,0,ROUND(Sort_IDAC!V10,-1*INT(LOG10(Sort_IDAC!V10))+2)))</f>
        <v>6.9400000000000004E-16</v>
      </c>
      <c r="W10" s="6">
        <f>IF(Sort_IDAC!$B10="","",IF(Sort_IDAC!W10=0,0,ROUND(Sort_IDAC!W10,-1*INT(LOG10(Sort_IDAC!W10))+2)))</f>
        <v>6.9400000000000004E-16</v>
      </c>
      <c r="X10" s="6">
        <f>IF(Sort_IDAC!$B10="","",IF(Sort_IDAC!X10=0,0,ROUND(Sort_IDAC!X10,-1*INT(LOG10(Sort_IDAC!X10))+2)))</f>
        <v>6.9400000000000004E-16</v>
      </c>
      <c r="Y10" s="6">
        <f>IF(Sort_IDAC!$B10="","",IF(Sort_IDAC!Y10=0,0,ROUND(Sort_IDAC!Y10,-1*INT(LOG10(Sort_IDAC!Y10))+2)))</f>
        <v>2.1300000000000001E-16</v>
      </c>
      <c r="Z10" s="6">
        <f>IF(Sort_IDAC!$B10="","",IF(Sort_IDAC!Z10=0,0,ROUND(Sort_IDAC!Z10,-1*INT(LOG10(Sort_IDAC!Z10))+2)))</f>
        <v>9.6999999999999998E-16</v>
      </c>
      <c r="AA10" s="6">
        <f>IF(Sort_IDAC!$B10="","",IF(Sort_IDAC!AA10=0,0,ROUND(Sort_IDAC!AA10,-1*INT(LOG10(Sort_IDAC!AA10))+2)))</f>
        <v>9.8600000000000005E-16</v>
      </c>
      <c r="AB10" s="6">
        <f>IF(Sort_IDAC!$B10="","",IF(Sort_IDAC!AB10=0,0,ROUND(Sort_IDAC!AB10,-1*INT(LOG10(Sort_IDAC!AB10))+2)))</f>
        <v>1.6799999999999998E-14</v>
      </c>
      <c r="AC10" s="6">
        <f>IF(Sort_IDAC!$B10="","",IF(Sort_IDAC!AC10=0,0,ROUND(Sort_IDAC!AC10,-1*INT(LOG10(Sort_IDAC!AC10))+2)))</f>
        <v>5.9399999999999999E-16</v>
      </c>
      <c r="AD10" s="6">
        <f>IF(Sort_IDAC!$B10="","",IF(Sort_IDAC!AD10=0,0,ROUND(Sort_IDAC!AD10,-1*INT(LOG10(Sort_IDAC!AD10))+2)))</f>
        <v>1.11E-16</v>
      </c>
      <c r="AE10" s="6">
        <f>IF(Sort_IDAC!$B10="","",IF(Sort_IDAC!AE10=0,0,ROUND(Sort_IDAC!AE10,-1*INT(LOG10(Sort_IDAC!AE10))+2)))</f>
        <v>1.08E-16</v>
      </c>
      <c r="AF10" s="6">
        <f>IF(Sort_IDAC!$B10="","",IF(Sort_IDAC!AF10=0,0,ROUND(Sort_IDAC!AF10,-1*INT(LOG10(Sort_IDAC!AF10))+2)))</f>
        <v>1.08E-16</v>
      </c>
      <c r="AG10" s="6">
        <f>IF(Sort_IDAC!$B10="","",IF(Sort_IDAC!AG10=0,0,ROUND(Sort_IDAC!AG10,-1*INT(LOG10(Sort_IDAC!AG10))+2)))</f>
        <v>1.6E-15</v>
      </c>
      <c r="AH10" s="6">
        <f>IF(Sort_IDAC!$B10="","",IF(Sort_IDAC!AH10=0,0,ROUND(Sort_IDAC!AH10,-1*INT(LOG10(Sort_IDAC!AH10))+2)))</f>
        <v>9.3100000000000002E-14</v>
      </c>
      <c r="AI10" s="6">
        <f>IF(Sort_IDAC!$B10="","",IF(Sort_IDAC!AI10=0,0,ROUND(Sort_IDAC!AI10,-1*INT(LOG10(Sort_IDAC!AI10))+2)))</f>
        <v>1.4800000000000001E-14</v>
      </c>
      <c r="AJ10" s="6">
        <f>IF(Sort_IDAC!$B10="","",IF(Sort_IDAC!AJ10=0,0,ROUND(Sort_IDAC!AJ10,-1*INT(LOG10(Sort_IDAC!AJ10))+2)))</f>
        <v>9.7200000000000002E-16</v>
      </c>
      <c r="AK10" s="6">
        <f>IF(Sort_IDAC!$B10="","",IF(Sort_IDAC!AK10=0,0,ROUND(Sort_IDAC!AK10,-1*INT(LOG10(Sort_IDAC!AK10))+2)))</f>
        <v>3.0400000000000001E-15</v>
      </c>
      <c r="AL10" s="6">
        <f>IF(Sort_IDAC!$B10="","",IF(Sort_IDAC!AL10=0,0,ROUND(Sort_IDAC!AL10,-1*INT(LOG10(Sort_IDAC!AL10))+2)))</f>
        <v>1.01E-13</v>
      </c>
      <c r="AM10" s="6">
        <f>IF(Sort_IDAC!$B10="","",IF(Sort_IDAC!AM10=0,0,ROUND(Sort_IDAC!AM10,-1*INT(LOG10(Sort_IDAC!AM10))+2)))</f>
        <v>6.4799999999999998E-16</v>
      </c>
      <c r="AN10" s="6">
        <f>IF(Sort_IDAC!$B10="","",IF(Sort_IDAC!AN10=0,0,ROUND(Sort_IDAC!AN10,-1*INT(LOG10(Sort_IDAC!AN10))+2)))</f>
        <v>1.93E-14</v>
      </c>
      <c r="AO10" s="6">
        <f>IF(Sort_IDAC!$B10="","",IF(Sort_IDAC!AO10=0,0,ROUND(Sort_IDAC!AO10,-1*INT(LOG10(Sort_IDAC!AO10))+2)))</f>
        <v>1.93E-14</v>
      </c>
      <c r="AP10" s="6">
        <f>IF(Sort_IDAC!$B10="","",IF(Sort_IDAC!AP10=0,0,ROUND(Sort_IDAC!AP10,-1*INT(LOG10(Sort_IDAC!AP10))+2)))</f>
        <v>1.93E-14</v>
      </c>
      <c r="AQ10" s="6">
        <f>IF(Sort_IDAC!$B10="","",IF(Sort_IDAC!AQ10=0,0,ROUND(Sort_IDAC!AQ10,-1*INT(LOG10(Sort_IDAC!AQ10))+2)))</f>
        <v>5.9700000000000004E-16</v>
      </c>
      <c r="AR10" s="6">
        <f>IF(Sort_IDAC!$B10="","",IF(Sort_IDAC!AR10=0,0,ROUND(Sort_IDAC!AR10,-1*INT(LOG10(Sort_IDAC!AR10))+2)))</f>
        <v>5.9700000000000004E-16</v>
      </c>
      <c r="AS10" s="6">
        <f>IF(Sort_IDAC!$B10="","",IF(Sort_IDAC!AS10=0,0,ROUND(Sort_IDAC!AS10,-1*INT(LOG10(Sort_IDAC!AS10))+2)))</f>
        <v>2.3399999999999999E-17</v>
      </c>
      <c r="AT10" s="6">
        <f>IF(Sort_IDAC!$B10="","",IF(Sort_IDAC!AT10=0,0,ROUND(Sort_IDAC!AT10,-1*INT(LOG10(Sort_IDAC!AT10))+2)))</f>
        <v>6.01E-16</v>
      </c>
      <c r="AU10" s="6">
        <f>IF(Sort_IDAC!$B10="","",IF(Sort_IDAC!AU10=0,0,ROUND(Sort_IDAC!AU10,-1*INT(LOG10(Sort_IDAC!AU10))+2)))</f>
        <v>2.6500000000000002E-16</v>
      </c>
      <c r="AV10" s="6">
        <f>IF(Sort_IDAC!$B10="","",IF(Sort_IDAC!AV10=0,0,ROUND(Sort_IDAC!AV10,-1*INT(LOG10(Sort_IDAC!AV10))+2)))</f>
        <v>0</v>
      </c>
      <c r="AW10" s="6">
        <f>IF(Sort_IDAC!$B10="","",IF(Sort_IDAC!AW10=0,0,ROUND(Sort_IDAC!AW10,-1*INT(LOG10(Sort_IDAC!AW10))+2)))</f>
        <v>3.1599999999999998E-17</v>
      </c>
      <c r="AX10" s="6">
        <f>IF(Sort_IDAC!$B10="","",IF(Sort_IDAC!AX10=0,0,ROUND(Sort_IDAC!AX10,-1*INT(LOG10(Sort_IDAC!AX10))+2)))</f>
        <v>2.51E-17</v>
      </c>
      <c r="AY10" s="6">
        <f>IF(Sort_IDAC!$B10="","",IF(Sort_IDAC!AY10=0,0,ROUND(Sort_IDAC!AY10,-1*INT(LOG10(Sort_IDAC!AY10))+2)))</f>
        <v>2.51E-17</v>
      </c>
      <c r="AZ10" s="6">
        <f>IF(Sort_IDAC!$B10="","",IF(Sort_IDAC!AZ10=0,0,ROUND(Sort_IDAC!AZ10,-1*INT(LOG10(Sort_IDAC!AZ10))+2)))</f>
        <v>2.28E-15</v>
      </c>
      <c r="BA10" s="6">
        <f>IF(Sort_IDAC!$B10="","",IF(Sort_IDAC!BA10=0,0,ROUND(Sort_IDAC!BA10,-1*INT(LOG10(Sort_IDAC!BA10))+2)))</f>
        <v>5.8899999999999994E-14</v>
      </c>
      <c r="BB10" s="6">
        <f>IF(Sort_IDAC!$B10="","",IF(Sort_IDAC!BB10=0,0,ROUND(Sort_IDAC!BB10,-1*INT(LOG10(Sort_IDAC!BB10))+2)))</f>
        <v>1.47E-16</v>
      </c>
      <c r="BC10" s="6">
        <f>IF(Sort_IDAC!$B10="","",IF(Sort_IDAC!BC10=0,0,ROUND(Sort_IDAC!BC10,-1*INT(LOG10(Sort_IDAC!BC10))+2)))</f>
        <v>1.4300000000000001E-16</v>
      </c>
      <c r="BD10" s="6">
        <f>IF(Sort_IDAC!$B10="","",IF(Sort_IDAC!BD10=0,0,ROUND(Sort_IDAC!BD10,-1*INT(LOG10(Sort_IDAC!BD10))+2)))</f>
        <v>1.4300000000000001E-16</v>
      </c>
      <c r="BE10" s="6">
        <f>IF(Sort_IDAC!$B10="","",IF(Sort_IDAC!BE10=0,0,ROUND(Sort_IDAC!BE10,-1*INT(LOG10(Sort_IDAC!BE10))+2)))</f>
        <v>5.7300000000000004E-16</v>
      </c>
      <c r="BF10" s="6">
        <f>IF(Sort_IDAC!$B10="","",IF(Sort_IDAC!BF10=0,0,ROUND(Sort_IDAC!BF10,-1*INT(LOG10(Sort_IDAC!BF10))+2)))</f>
        <v>4.1499999999999999E-16</v>
      </c>
      <c r="BG10" s="6">
        <f>IF(Sort_IDAC!$B10="","",IF(Sort_IDAC!BG10=0,0,ROUND(Sort_IDAC!BG10,-1*INT(LOG10(Sort_IDAC!BG10))+2)))</f>
        <v>2.5999999999999998E-16</v>
      </c>
      <c r="BH10" s="6">
        <f>IF(Sort_IDAC!$B10="","",IF(Sort_IDAC!BH10=0,0,ROUND(Sort_IDAC!BH10,-1*INT(LOG10(Sort_IDAC!BH10))+2)))</f>
        <v>2.1600000000000001E-16</v>
      </c>
      <c r="BI10" s="6">
        <f>IF(Sort_IDAC!$B10="","",IF(Sort_IDAC!BI10=0,0,ROUND(Sort_IDAC!BI10,-1*INT(LOG10(Sort_IDAC!BI10))+2)))</f>
        <v>2.1600000000000001E-16</v>
      </c>
      <c r="BJ10" s="6">
        <f>IF(Sort_IDAC!$B10="","",IF(Sort_IDAC!BJ10=0,0,ROUND(Sort_IDAC!BJ10,-1*INT(LOG10(Sort_IDAC!BJ10))+2)))</f>
        <v>2.1600000000000001E-16</v>
      </c>
      <c r="BK10" s="6">
        <f>IF(Sort_IDAC!$B10="","",IF(Sort_IDAC!BK10=0,0,ROUND(Sort_IDAC!BK10,-1*INT(LOG10(Sort_IDAC!BK10))+2)))</f>
        <v>1.7199999999999999E-15</v>
      </c>
      <c r="BL10" s="6">
        <f>IF(Sort_IDAC!$B10="","",IF(Sort_IDAC!BL10=0,0,ROUND(Sort_IDAC!BL10,-1*INT(LOG10(Sort_IDAC!BL10))+2)))</f>
        <v>1.32E-15</v>
      </c>
      <c r="BM10" s="6">
        <f>IF(Sort_IDAC!$B10="","",IF(Sort_IDAC!BM10=0,0,ROUND(Sort_IDAC!BM10,-1*INT(LOG10(Sort_IDAC!BM10))+2)))</f>
        <v>1.0600000000000001E-15</v>
      </c>
      <c r="BN10" s="6">
        <f>IF(Sort_IDAC!$B10="","",IF(Sort_IDAC!BN10=0,0,ROUND(Sort_IDAC!BN10,-1*INT(LOG10(Sort_IDAC!BN10))+2)))</f>
        <v>1.0600000000000001E-15</v>
      </c>
      <c r="BO10" s="6">
        <f>IF(Sort_IDAC!$B10="","",IF(Sort_IDAC!BO10=0,0,ROUND(Sort_IDAC!BO10,-1*INT(LOG10(Sort_IDAC!BO10))+2)))</f>
        <v>4.8499999999999999E-16</v>
      </c>
      <c r="BP10" s="6">
        <f>IF(Sort_IDAC!$B10="","",IF(Sort_IDAC!BP10=0,0,ROUND(Sort_IDAC!BP10,-1*INT(LOG10(Sort_IDAC!BP10))+2)))</f>
        <v>4.8499999999999999E-16</v>
      </c>
      <c r="BQ10" s="6">
        <f>IF(Sort_IDAC!$B10="","",IF(Sort_IDAC!BQ10=0,0,ROUND(Sort_IDAC!BQ10,-1*INT(LOG10(Sort_IDAC!BQ10))+2)))</f>
        <v>0</v>
      </c>
      <c r="BR10" s="6">
        <f>IF(Sort_IDAC!$B10="","",IF(Sort_IDAC!BR10=0,0,ROUND(Sort_IDAC!BR10,-1*INT(LOG10(Sort_IDAC!BR10))+2)))</f>
        <v>7.96E-15</v>
      </c>
      <c r="BS10" s="6">
        <f>IF(Sort_IDAC!$B10="","",IF(Sort_IDAC!BS10=0,0,ROUND(Sort_IDAC!BS10,-1*INT(LOG10(Sort_IDAC!BS10))+2)))</f>
        <v>2.77E-15</v>
      </c>
      <c r="BT10" s="6">
        <f>IF(Sort_IDAC!$B10="","",IF(Sort_IDAC!BT10=0,0,ROUND(Sort_IDAC!BT10,-1*INT(LOG10(Sort_IDAC!BT10))+2)))</f>
        <v>6.2800000000000005E-16</v>
      </c>
      <c r="BU10" s="6">
        <f>IF(Sort_IDAC!$B10="","",IF(Sort_IDAC!BU10=0,0,ROUND(Sort_IDAC!BU10,-1*INT(LOG10(Sort_IDAC!BU10))+2)))</f>
        <v>5.0699999999999996E-16</v>
      </c>
      <c r="BV10" s="6">
        <f>IF(Sort_IDAC!$B10="","",IF(Sort_IDAC!BV10=0,0,ROUND(Sort_IDAC!BV10,-1*INT(LOG10(Sort_IDAC!BV10))+2)))</f>
        <v>1.2199999999999999E-15</v>
      </c>
      <c r="BW10" s="6">
        <f>IF(Sort_IDAC!$B10="","",IF(Sort_IDAC!BW10=0,0,ROUND(Sort_IDAC!BW10,-1*INT(LOG10(Sort_IDAC!BW10))+2)))</f>
        <v>7.7300000000000004E-16</v>
      </c>
      <c r="BX10" s="6">
        <f>IF(Sort_IDAC!$B10="","",IF(Sort_IDAC!BX10=0,0,ROUND(Sort_IDAC!BX10,-1*INT(LOG10(Sort_IDAC!BX10))+2)))</f>
        <v>7.7300000000000004E-16</v>
      </c>
      <c r="BY10" s="6">
        <f>IF(Sort_IDAC!$B10="","",IF(Sort_IDAC!BY10=0,0,ROUND(Sort_IDAC!BY10,-1*INT(LOG10(Sort_IDAC!BY10))+2)))</f>
        <v>2.2E-16</v>
      </c>
      <c r="BZ10" s="6">
        <f>IF(Sort_IDAC!$B10="","",IF(Sort_IDAC!BZ10=0,0,ROUND(Sort_IDAC!BZ10,-1*INT(LOG10(Sort_IDAC!BZ10))+2)))</f>
        <v>2.6199999999999999E-17</v>
      </c>
      <c r="CA10" s="6">
        <f>IF(Sort_IDAC!$B10="","",IF(Sort_IDAC!CA10=0,0,ROUND(Sort_IDAC!CA10,-1*INT(LOG10(Sort_IDAC!CA10))+2)))</f>
        <v>2.4299999999999999E-17</v>
      </c>
      <c r="CB10" s="6">
        <f>IF(Sort_IDAC!$B10="","",IF(Sort_IDAC!CB10=0,0,ROUND(Sort_IDAC!CB10,-1*INT(LOG10(Sort_IDAC!CB10))+2)))</f>
        <v>2.02E-17</v>
      </c>
      <c r="CC10" s="6">
        <f>IF(Sort_IDAC!$B10="","",IF(Sort_IDAC!CC10=0,0,ROUND(Sort_IDAC!CC10,-1*INT(LOG10(Sort_IDAC!CC10))+2)))</f>
        <v>5.7100000000000001E-16</v>
      </c>
      <c r="CD10" s="6"/>
      <c r="CE10" s="6"/>
      <c r="CF10" s="6"/>
      <c r="CG10" s="6"/>
    </row>
    <row r="11" spans="2:85" x14ac:dyDescent="0.15">
      <c r="B11" s="5" t="s">
        <v>5</v>
      </c>
      <c r="C11" s="6">
        <f>IF(Sort_IDAC!$B11="","",IF(Sort_IDAC!C11=0,0,ROUND(Sort_IDAC!C11,-1*INT(LOG10(Sort_IDAC!C11))+2)))</f>
        <v>5.8699999999999997E-16</v>
      </c>
      <c r="D11" s="6">
        <f>IF(Sort_IDAC!$B11="","",IF(Sort_IDAC!D11=0,0,ROUND(Sort_IDAC!D11,-1*INT(LOG10(Sort_IDAC!D11))+2)))</f>
        <v>1.24E-15</v>
      </c>
      <c r="E11" s="6">
        <f>IF(Sort_IDAC!$B11="","",IF(Sort_IDAC!E11=0,0,ROUND(Sort_IDAC!E11,-1*INT(LOG10(Sort_IDAC!E11))+2)))</f>
        <v>1.38E-14</v>
      </c>
      <c r="F11" s="6">
        <f>IF(Sort_IDAC!$B11="","",IF(Sort_IDAC!F11=0,0,ROUND(Sort_IDAC!F11,-1*INT(LOG10(Sort_IDAC!F11))+2)))</f>
        <v>4.2400000000000003E-15</v>
      </c>
      <c r="G11" s="6">
        <f>IF(Sort_IDAC!$B11="","",IF(Sort_IDAC!G11=0,0,ROUND(Sort_IDAC!G11,-1*INT(LOG10(Sort_IDAC!G11))+2)))</f>
        <v>1.5700000000000001E-16</v>
      </c>
      <c r="H11" s="6">
        <f>IF(Sort_IDAC!$B11="","",IF(Sort_IDAC!H11=0,0,ROUND(Sort_IDAC!H11,-1*INT(LOG10(Sort_IDAC!H11))+2)))</f>
        <v>2.26E-15</v>
      </c>
      <c r="I11" s="6">
        <f>IF(Sort_IDAC!$B11="","",IF(Sort_IDAC!I11=0,0,ROUND(Sort_IDAC!I11,-1*INT(LOG10(Sort_IDAC!I11))+2)))</f>
        <v>5.8900000000000001E-12</v>
      </c>
      <c r="J11" s="6">
        <f>IF(Sort_IDAC!$B11="","",IF(Sort_IDAC!J11=0,0,ROUND(Sort_IDAC!J11,-1*INT(LOG10(Sort_IDAC!J11))+2)))</f>
        <v>6.2100000000000004E-12</v>
      </c>
      <c r="K11" s="6">
        <f>IF(Sort_IDAC!$B11="","",IF(Sort_IDAC!K11=0,0,ROUND(Sort_IDAC!K11,-1*INT(LOG10(Sort_IDAC!K11))+2)))</f>
        <v>4.4800000000000003E-12</v>
      </c>
      <c r="L11" s="6">
        <f>IF(Sort_IDAC!$B11="","",IF(Sort_IDAC!L11=0,0,ROUND(Sort_IDAC!L11,-1*INT(LOG10(Sort_IDAC!L11))+2)))</f>
        <v>5.0000000000000002E-14</v>
      </c>
      <c r="M11" s="6">
        <f>IF(Sort_IDAC!$B11="","",IF(Sort_IDAC!M11=0,0,ROUND(Sort_IDAC!M11,-1*INT(LOG10(Sort_IDAC!M11))+2)))</f>
        <v>1.4E-14</v>
      </c>
      <c r="N11" s="6">
        <f>IF(Sort_IDAC!$B11="","",IF(Sort_IDAC!N11=0,0,ROUND(Sort_IDAC!N11,-1*INT(LOG10(Sort_IDAC!N11))+2)))</f>
        <v>1.4E-14</v>
      </c>
      <c r="O11" s="6">
        <f>IF(Sort_IDAC!$B11="","",IF(Sort_IDAC!O11=0,0,ROUND(Sort_IDAC!O11,-1*INT(LOG10(Sort_IDAC!O11))+2)))</f>
        <v>7.5199999999999999E-16</v>
      </c>
      <c r="P11" s="6">
        <f>IF(Sort_IDAC!$B11="","",IF(Sort_IDAC!P11=0,0,ROUND(Sort_IDAC!P11,-1*INT(LOG10(Sort_IDAC!P11))+2)))</f>
        <v>1.9300000000000001E-16</v>
      </c>
      <c r="Q11" s="6">
        <f>IF(Sort_IDAC!$B11="","",IF(Sort_IDAC!Q11=0,0,ROUND(Sort_IDAC!Q11,-1*INT(LOG10(Sort_IDAC!Q11))+2)))</f>
        <v>9.7999999999999995E-16</v>
      </c>
      <c r="R11" s="6">
        <f>IF(Sort_IDAC!$B11="","",IF(Sort_IDAC!R11=0,0,ROUND(Sort_IDAC!R11,-1*INT(LOG10(Sort_IDAC!R11))+2)))</f>
        <v>9.7999999999999995E-16</v>
      </c>
      <c r="S11" s="6">
        <f>IF(Sort_IDAC!$B11="","",IF(Sort_IDAC!S11=0,0,ROUND(Sort_IDAC!S11,-1*INT(LOG10(Sort_IDAC!S11))+2)))</f>
        <v>2.8099999999999998E-16</v>
      </c>
      <c r="T11" s="6">
        <f>IF(Sort_IDAC!$B11="","",IF(Sort_IDAC!T11=0,0,ROUND(Sort_IDAC!T11,-1*INT(LOG10(Sort_IDAC!T11))+2)))</f>
        <v>6.9400000000000004E-16</v>
      </c>
      <c r="U11" s="6">
        <f>IF(Sort_IDAC!$B11="","",IF(Sort_IDAC!U11=0,0,ROUND(Sort_IDAC!U11,-1*INT(LOG10(Sort_IDAC!U11))+2)))</f>
        <v>6.9400000000000004E-16</v>
      </c>
      <c r="V11" s="6">
        <f>IF(Sort_IDAC!$B11="","",IF(Sort_IDAC!V11=0,0,ROUND(Sort_IDAC!V11,-1*INT(LOG10(Sort_IDAC!V11))+2)))</f>
        <v>6.9400000000000004E-16</v>
      </c>
      <c r="W11" s="6">
        <f>IF(Sort_IDAC!$B11="","",IF(Sort_IDAC!W11=0,0,ROUND(Sort_IDAC!W11,-1*INT(LOG10(Sort_IDAC!W11))+2)))</f>
        <v>6.9400000000000004E-16</v>
      </c>
      <c r="X11" s="6">
        <f>IF(Sort_IDAC!$B11="","",IF(Sort_IDAC!X11=0,0,ROUND(Sort_IDAC!X11,-1*INT(LOG10(Sort_IDAC!X11))+2)))</f>
        <v>6.9400000000000004E-16</v>
      </c>
      <c r="Y11" s="6">
        <f>IF(Sort_IDAC!$B11="","",IF(Sort_IDAC!Y11=0,0,ROUND(Sort_IDAC!Y11,-1*INT(LOG10(Sort_IDAC!Y11))+2)))</f>
        <v>2.1300000000000001E-16</v>
      </c>
      <c r="Z11" s="6">
        <f>IF(Sort_IDAC!$B11="","",IF(Sort_IDAC!Z11=0,0,ROUND(Sort_IDAC!Z11,-1*INT(LOG10(Sort_IDAC!Z11))+2)))</f>
        <v>9.6999999999999998E-16</v>
      </c>
      <c r="AA11" s="6">
        <f>IF(Sort_IDAC!$B11="","",IF(Sort_IDAC!AA11=0,0,ROUND(Sort_IDAC!AA11,-1*INT(LOG10(Sort_IDAC!AA11))+2)))</f>
        <v>9.8600000000000005E-16</v>
      </c>
      <c r="AB11" s="6">
        <f>IF(Sort_IDAC!$B11="","",IF(Sort_IDAC!AB11=0,0,ROUND(Sort_IDAC!AB11,-1*INT(LOG10(Sort_IDAC!AB11))+2)))</f>
        <v>1.6799999999999998E-14</v>
      </c>
      <c r="AC11" s="6">
        <f>IF(Sort_IDAC!$B11="","",IF(Sort_IDAC!AC11=0,0,ROUND(Sort_IDAC!AC11,-1*INT(LOG10(Sort_IDAC!AC11))+2)))</f>
        <v>5.9399999999999999E-16</v>
      </c>
      <c r="AD11" s="6">
        <f>IF(Sort_IDAC!$B11="","",IF(Sort_IDAC!AD11=0,0,ROUND(Sort_IDAC!AD11,-1*INT(LOG10(Sort_IDAC!AD11))+2)))</f>
        <v>1.11E-16</v>
      </c>
      <c r="AE11" s="6">
        <f>IF(Sort_IDAC!$B11="","",IF(Sort_IDAC!AE11=0,0,ROUND(Sort_IDAC!AE11,-1*INT(LOG10(Sort_IDAC!AE11))+2)))</f>
        <v>1.08E-16</v>
      </c>
      <c r="AF11" s="6">
        <f>IF(Sort_IDAC!$B11="","",IF(Sort_IDAC!AF11=0,0,ROUND(Sort_IDAC!AF11,-1*INT(LOG10(Sort_IDAC!AF11))+2)))</f>
        <v>1.08E-16</v>
      </c>
      <c r="AG11" s="6">
        <f>IF(Sort_IDAC!$B11="","",IF(Sort_IDAC!AG11=0,0,ROUND(Sort_IDAC!AG11,-1*INT(LOG10(Sort_IDAC!AG11))+2)))</f>
        <v>1.6E-15</v>
      </c>
      <c r="AH11" s="6">
        <f>IF(Sort_IDAC!$B11="","",IF(Sort_IDAC!AH11=0,0,ROUND(Sort_IDAC!AH11,-1*INT(LOG10(Sort_IDAC!AH11))+2)))</f>
        <v>9.2400000000000003E-14</v>
      </c>
      <c r="AI11" s="6">
        <f>IF(Sort_IDAC!$B11="","",IF(Sort_IDAC!AI11=0,0,ROUND(Sort_IDAC!AI11,-1*INT(LOG10(Sort_IDAC!AI11))+2)))</f>
        <v>1.4800000000000001E-14</v>
      </c>
      <c r="AJ11" s="6">
        <f>IF(Sort_IDAC!$B11="","",IF(Sort_IDAC!AJ11=0,0,ROUND(Sort_IDAC!AJ11,-1*INT(LOG10(Sort_IDAC!AJ11))+2)))</f>
        <v>9.7200000000000002E-16</v>
      </c>
      <c r="AK11" s="6">
        <f>IF(Sort_IDAC!$B11="","",IF(Sort_IDAC!AK11=0,0,ROUND(Sort_IDAC!AK11,-1*INT(LOG10(Sort_IDAC!AK11))+2)))</f>
        <v>3.0400000000000001E-15</v>
      </c>
      <c r="AL11" s="6">
        <f>IF(Sort_IDAC!$B11="","",IF(Sort_IDAC!AL11=0,0,ROUND(Sort_IDAC!AL11,-1*INT(LOG10(Sort_IDAC!AL11))+2)))</f>
        <v>1.01E-13</v>
      </c>
      <c r="AM11" s="6">
        <f>IF(Sort_IDAC!$B11="","",IF(Sort_IDAC!AM11=0,0,ROUND(Sort_IDAC!AM11,-1*INT(LOG10(Sort_IDAC!AM11))+2)))</f>
        <v>6.4799999999999998E-16</v>
      </c>
      <c r="AN11" s="6">
        <f>IF(Sort_IDAC!$B11="","",IF(Sort_IDAC!AN11=0,0,ROUND(Sort_IDAC!AN11,-1*INT(LOG10(Sort_IDAC!AN11))+2)))</f>
        <v>1.93E-14</v>
      </c>
      <c r="AO11" s="6">
        <f>IF(Sort_IDAC!$B11="","",IF(Sort_IDAC!AO11=0,0,ROUND(Sort_IDAC!AO11,-1*INT(LOG10(Sort_IDAC!AO11))+2)))</f>
        <v>1.93E-14</v>
      </c>
      <c r="AP11" s="6">
        <f>IF(Sort_IDAC!$B11="","",IF(Sort_IDAC!AP11=0,0,ROUND(Sort_IDAC!AP11,-1*INT(LOG10(Sort_IDAC!AP11))+2)))</f>
        <v>1.93E-14</v>
      </c>
      <c r="AQ11" s="6">
        <f>IF(Sort_IDAC!$B11="","",IF(Sort_IDAC!AQ11=0,0,ROUND(Sort_IDAC!AQ11,-1*INT(LOG10(Sort_IDAC!AQ11))+2)))</f>
        <v>5.9700000000000004E-16</v>
      </c>
      <c r="AR11" s="6">
        <f>IF(Sort_IDAC!$B11="","",IF(Sort_IDAC!AR11=0,0,ROUND(Sort_IDAC!AR11,-1*INT(LOG10(Sort_IDAC!AR11))+2)))</f>
        <v>5.9700000000000004E-16</v>
      </c>
      <c r="AS11" s="6">
        <f>IF(Sort_IDAC!$B11="","",IF(Sort_IDAC!AS11=0,0,ROUND(Sort_IDAC!AS11,-1*INT(LOG10(Sort_IDAC!AS11))+2)))</f>
        <v>2.3399999999999999E-17</v>
      </c>
      <c r="AT11" s="6">
        <f>IF(Sort_IDAC!$B11="","",IF(Sort_IDAC!AT11=0,0,ROUND(Sort_IDAC!AT11,-1*INT(LOG10(Sort_IDAC!AT11))+2)))</f>
        <v>6.01E-16</v>
      </c>
      <c r="AU11" s="6">
        <f>IF(Sort_IDAC!$B11="","",IF(Sort_IDAC!AU11=0,0,ROUND(Sort_IDAC!AU11,-1*INT(LOG10(Sort_IDAC!AU11))+2)))</f>
        <v>2.6500000000000002E-16</v>
      </c>
      <c r="AV11" s="6">
        <f>IF(Sort_IDAC!$B11="","",IF(Sort_IDAC!AV11=0,0,ROUND(Sort_IDAC!AV11,-1*INT(LOG10(Sort_IDAC!AV11))+2)))</f>
        <v>0</v>
      </c>
      <c r="AW11" s="6">
        <f>IF(Sort_IDAC!$B11="","",IF(Sort_IDAC!AW11=0,0,ROUND(Sort_IDAC!AW11,-1*INT(LOG10(Sort_IDAC!AW11))+2)))</f>
        <v>3.1599999999999998E-17</v>
      </c>
      <c r="AX11" s="6">
        <f>IF(Sort_IDAC!$B11="","",IF(Sort_IDAC!AX11=0,0,ROUND(Sort_IDAC!AX11,-1*INT(LOG10(Sort_IDAC!AX11))+2)))</f>
        <v>2.51E-17</v>
      </c>
      <c r="AY11" s="6">
        <f>IF(Sort_IDAC!$B11="","",IF(Sort_IDAC!AY11=0,0,ROUND(Sort_IDAC!AY11,-1*INT(LOG10(Sort_IDAC!AY11))+2)))</f>
        <v>2.51E-17</v>
      </c>
      <c r="AZ11" s="6">
        <f>IF(Sort_IDAC!$B11="","",IF(Sort_IDAC!AZ11=0,0,ROUND(Sort_IDAC!AZ11,-1*INT(LOG10(Sort_IDAC!AZ11))+2)))</f>
        <v>2.28E-15</v>
      </c>
      <c r="BA11" s="6">
        <f>IF(Sort_IDAC!$B11="","",IF(Sort_IDAC!BA11=0,0,ROUND(Sort_IDAC!BA11,-1*INT(LOG10(Sort_IDAC!BA11))+2)))</f>
        <v>6.4399999999999996E-14</v>
      </c>
      <c r="BB11" s="6">
        <f>IF(Sort_IDAC!$B11="","",IF(Sort_IDAC!BB11=0,0,ROUND(Sort_IDAC!BB11,-1*INT(LOG10(Sort_IDAC!BB11))+2)))</f>
        <v>1.47E-16</v>
      </c>
      <c r="BC11" s="6">
        <f>IF(Sort_IDAC!$B11="","",IF(Sort_IDAC!BC11=0,0,ROUND(Sort_IDAC!BC11,-1*INT(LOG10(Sort_IDAC!BC11))+2)))</f>
        <v>1.4300000000000001E-16</v>
      </c>
      <c r="BD11" s="6">
        <f>IF(Sort_IDAC!$B11="","",IF(Sort_IDAC!BD11=0,0,ROUND(Sort_IDAC!BD11,-1*INT(LOG10(Sort_IDAC!BD11))+2)))</f>
        <v>1.4300000000000001E-16</v>
      </c>
      <c r="BE11" s="6">
        <f>IF(Sort_IDAC!$B11="","",IF(Sort_IDAC!BE11=0,0,ROUND(Sort_IDAC!BE11,-1*INT(LOG10(Sort_IDAC!BE11))+2)))</f>
        <v>5.7300000000000004E-16</v>
      </c>
      <c r="BF11" s="6">
        <f>IF(Sort_IDAC!$B11="","",IF(Sort_IDAC!BF11=0,0,ROUND(Sort_IDAC!BF11,-1*INT(LOG10(Sort_IDAC!BF11))+2)))</f>
        <v>4.1499999999999999E-16</v>
      </c>
      <c r="BG11" s="6">
        <f>IF(Sort_IDAC!$B11="","",IF(Sort_IDAC!BG11=0,0,ROUND(Sort_IDAC!BG11,-1*INT(LOG10(Sort_IDAC!BG11))+2)))</f>
        <v>2.5999999999999998E-16</v>
      </c>
      <c r="BH11" s="6">
        <f>IF(Sort_IDAC!$B11="","",IF(Sort_IDAC!BH11=0,0,ROUND(Sort_IDAC!BH11,-1*INT(LOG10(Sort_IDAC!BH11))+2)))</f>
        <v>2.1600000000000001E-16</v>
      </c>
      <c r="BI11" s="6">
        <f>IF(Sort_IDAC!$B11="","",IF(Sort_IDAC!BI11=0,0,ROUND(Sort_IDAC!BI11,-1*INT(LOG10(Sort_IDAC!BI11))+2)))</f>
        <v>2.1600000000000001E-16</v>
      </c>
      <c r="BJ11" s="6">
        <f>IF(Sort_IDAC!$B11="","",IF(Sort_IDAC!BJ11=0,0,ROUND(Sort_IDAC!BJ11,-1*INT(LOG10(Sort_IDAC!BJ11))+2)))</f>
        <v>2.1600000000000001E-16</v>
      </c>
      <c r="BK11" s="6">
        <f>IF(Sort_IDAC!$B11="","",IF(Sort_IDAC!BK11=0,0,ROUND(Sort_IDAC!BK11,-1*INT(LOG10(Sort_IDAC!BK11))+2)))</f>
        <v>1.7199999999999999E-15</v>
      </c>
      <c r="BL11" s="6">
        <f>IF(Sort_IDAC!$B11="","",IF(Sort_IDAC!BL11=0,0,ROUND(Sort_IDAC!BL11,-1*INT(LOG10(Sort_IDAC!BL11))+2)))</f>
        <v>1.32E-15</v>
      </c>
      <c r="BM11" s="6">
        <f>IF(Sort_IDAC!$B11="","",IF(Sort_IDAC!BM11=0,0,ROUND(Sort_IDAC!BM11,-1*INT(LOG10(Sort_IDAC!BM11))+2)))</f>
        <v>1.0600000000000001E-15</v>
      </c>
      <c r="BN11" s="6">
        <f>IF(Sort_IDAC!$B11="","",IF(Sort_IDAC!BN11=0,0,ROUND(Sort_IDAC!BN11,-1*INT(LOG10(Sort_IDAC!BN11))+2)))</f>
        <v>1.0600000000000001E-15</v>
      </c>
      <c r="BO11" s="6">
        <f>IF(Sort_IDAC!$B11="","",IF(Sort_IDAC!BO11=0,0,ROUND(Sort_IDAC!BO11,-1*INT(LOG10(Sort_IDAC!BO11))+2)))</f>
        <v>4.8499999999999999E-16</v>
      </c>
      <c r="BP11" s="6">
        <f>IF(Sort_IDAC!$B11="","",IF(Sort_IDAC!BP11=0,0,ROUND(Sort_IDAC!BP11,-1*INT(LOG10(Sort_IDAC!BP11))+2)))</f>
        <v>4.8499999999999999E-16</v>
      </c>
      <c r="BQ11" s="6">
        <f>IF(Sort_IDAC!$B11="","",IF(Sort_IDAC!BQ11=0,0,ROUND(Sort_IDAC!BQ11,-1*INT(LOG10(Sort_IDAC!BQ11))+2)))</f>
        <v>0</v>
      </c>
      <c r="BR11" s="6">
        <f>IF(Sort_IDAC!$B11="","",IF(Sort_IDAC!BR11=0,0,ROUND(Sort_IDAC!BR11,-1*INT(LOG10(Sort_IDAC!BR11))+2)))</f>
        <v>7.96E-15</v>
      </c>
      <c r="BS11" s="6">
        <f>IF(Sort_IDAC!$B11="","",IF(Sort_IDAC!BS11=0,0,ROUND(Sort_IDAC!BS11,-1*INT(LOG10(Sort_IDAC!BS11))+2)))</f>
        <v>2.77E-15</v>
      </c>
      <c r="BT11" s="6">
        <f>IF(Sort_IDAC!$B11="","",IF(Sort_IDAC!BT11=0,0,ROUND(Sort_IDAC!BT11,-1*INT(LOG10(Sort_IDAC!BT11))+2)))</f>
        <v>6.2800000000000005E-16</v>
      </c>
      <c r="BU11" s="6">
        <f>IF(Sort_IDAC!$B11="","",IF(Sort_IDAC!BU11=0,0,ROUND(Sort_IDAC!BU11,-1*INT(LOG10(Sort_IDAC!BU11))+2)))</f>
        <v>5.0699999999999996E-16</v>
      </c>
      <c r="BV11" s="6">
        <f>IF(Sort_IDAC!$B11="","",IF(Sort_IDAC!BV11=0,0,ROUND(Sort_IDAC!BV11,-1*INT(LOG10(Sort_IDAC!BV11))+2)))</f>
        <v>1.2199999999999999E-15</v>
      </c>
      <c r="BW11" s="6">
        <f>IF(Sort_IDAC!$B11="","",IF(Sort_IDAC!BW11=0,0,ROUND(Sort_IDAC!BW11,-1*INT(LOG10(Sort_IDAC!BW11))+2)))</f>
        <v>7.7300000000000004E-16</v>
      </c>
      <c r="BX11" s="6">
        <f>IF(Sort_IDAC!$B11="","",IF(Sort_IDAC!BX11=0,0,ROUND(Sort_IDAC!BX11,-1*INT(LOG10(Sort_IDAC!BX11))+2)))</f>
        <v>7.7300000000000004E-16</v>
      </c>
      <c r="BY11" s="6">
        <f>IF(Sort_IDAC!$B11="","",IF(Sort_IDAC!BY11=0,0,ROUND(Sort_IDAC!BY11,-1*INT(LOG10(Sort_IDAC!BY11))+2)))</f>
        <v>2.2E-16</v>
      </c>
      <c r="BZ11" s="6">
        <f>IF(Sort_IDAC!$B11="","",IF(Sort_IDAC!BZ11=0,0,ROUND(Sort_IDAC!BZ11,-1*INT(LOG10(Sort_IDAC!BZ11))+2)))</f>
        <v>2.6199999999999999E-17</v>
      </c>
      <c r="CA11" s="6">
        <f>IF(Sort_IDAC!$B11="","",IF(Sort_IDAC!CA11=0,0,ROUND(Sort_IDAC!CA11,-1*INT(LOG10(Sort_IDAC!CA11))+2)))</f>
        <v>2.4299999999999999E-17</v>
      </c>
      <c r="CB11" s="6">
        <f>IF(Sort_IDAC!$B11="","",IF(Sort_IDAC!CB11=0,0,ROUND(Sort_IDAC!CB11,-1*INT(LOG10(Sort_IDAC!CB11))+2)))</f>
        <v>2.02E-17</v>
      </c>
      <c r="CC11" s="6">
        <f>IF(Sort_IDAC!$B11="","",IF(Sort_IDAC!CC11=0,0,ROUND(Sort_IDAC!CC11,-1*INT(LOG10(Sort_IDAC!CC11))+2)))</f>
        <v>5.7100000000000001E-16</v>
      </c>
      <c r="CD11" s="6"/>
      <c r="CE11" s="6"/>
      <c r="CF11" s="6"/>
      <c r="CG11" s="6"/>
    </row>
    <row r="12" spans="2:85" x14ac:dyDescent="0.15">
      <c r="B12" s="5" t="s">
        <v>6</v>
      </c>
      <c r="C12" s="6">
        <f>IF(Sort_IDAC!$B12="","",IF(Sort_IDAC!C12=0,0,ROUND(Sort_IDAC!C12,-1*INT(LOG10(Sort_IDAC!C12))+2)))</f>
        <v>5.7599999999999999E-16</v>
      </c>
      <c r="D12" s="6">
        <f>IF(Sort_IDAC!$B12="","",IF(Sort_IDAC!D12=0,0,ROUND(Sort_IDAC!D12,-1*INT(LOG10(Sort_IDAC!D12))+2)))</f>
        <v>1.58E-15</v>
      </c>
      <c r="E12" s="6">
        <f>IF(Sort_IDAC!$B12="","",IF(Sort_IDAC!E12=0,0,ROUND(Sort_IDAC!E12,-1*INT(LOG10(Sort_IDAC!E12))+2)))</f>
        <v>4.1000000000000002E-14</v>
      </c>
      <c r="F12" s="6">
        <f>IF(Sort_IDAC!$B12="","",IF(Sort_IDAC!F12=0,0,ROUND(Sort_IDAC!F12,-1*INT(LOG10(Sort_IDAC!F12))+2)))</f>
        <v>4.2400000000000003E-15</v>
      </c>
      <c r="G12" s="6">
        <f>IF(Sort_IDAC!$B12="","",IF(Sort_IDAC!G12=0,0,ROUND(Sort_IDAC!G12,-1*INT(LOG10(Sort_IDAC!G12))+2)))</f>
        <v>1.5700000000000001E-16</v>
      </c>
      <c r="H12" s="6">
        <f>IF(Sort_IDAC!$B12="","",IF(Sort_IDAC!H12=0,0,ROUND(Sort_IDAC!H12,-1*INT(LOG10(Sort_IDAC!H12))+2)))</f>
        <v>2.8599999999999999E-15</v>
      </c>
      <c r="I12" s="6">
        <f>IF(Sort_IDAC!$B12="","",IF(Sort_IDAC!I12=0,0,ROUND(Sort_IDAC!I12,-1*INT(LOG10(Sort_IDAC!I12))+2)))</f>
        <v>9.9399999999999998E-15</v>
      </c>
      <c r="J12" s="6">
        <f>IF(Sort_IDAC!$B12="","",IF(Sort_IDAC!J12=0,0,ROUND(Sort_IDAC!J12,-1*INT(LOG10(Sort_IDAC!J12))+2)))</f>
        <v>9.9399999999999998E-15</v>
      </c>
      <c r="K12" s="6">
        <f>IF(Sort_IDAC!$B12="","",IF(Sort_IDAC!K12=0,0,ROUND(Sort_IDAC!K12,-1*INT(LOG10(Sort_IDAC!K12))+2)))</f>
        <v>9.9399999999999998E-15</v>
      </c>
      <c r="L12" s="6">
        <f>IF(Sort_IDAC!$B12="","",IF(Sort_IDAC!L12=0,0,ROUND(Sort_IDAC!L12,-1*INT(LOG10(Sort_IDAC!L12))+2)))</f>
        <v>7.1499999999999998E-13</v>
      </c>
      <c r="M12" s="6">
        <f>IF(Sort_IDAC!$B12="","",IF(Sort_IDAC!M12=0,0,ROUND(Sort_IDAC!M12,-1*INT(LOG10(Sort_IDAC!M12))+2)))</f>
        <v>7.8699999999999998E-13</v>
      </c>
      <c r="N12" s="6">
        <f>IF(Sort_IDAC!$B12="","",IF(Sort_IDAC!N12=0,0,ROUND(Sort_IDAC!N12,-1*INT(LOG10(Sort_IDAC!N12))+2)))</f>
        <v>5.9499999999999999E-13</v>
      </c>
      <c r="O12" s="6">
        <f>IF(Sort_IDAC!$B12="","",IF(Sort_IDAC!O12=0,0,ROUND(Sort_IDAC!O12,-1*INT(LOG10(Sort_IDAC!O12))+2)))</f>
        <v>7.89E-16</v>
      </c>
      <c r="P12" s="6">
        <f>IF(Sort_IDAC!$B12="","",IF(Sort_IDAC!P12=0,0,ROUND(Sort_IDAC!P12,-1*INT(LOG10(Sort_IDAC!P12))+2)))</f>
        <v>2.2800000000000001E-16</v>
      </c>
      <c r="Q12" s="6">
        <f>IF(Sort_IDAC!$B12="","",IF(Sort_IDAC!Q12=0,0,ROUND(Sort_IDAC!Q12,-1*INT(LOG10(Sort_IDAC!Q12))+2)))</f>
        <v>9.3199999999999996E-16</v>
      </c>
      <c r="R12" s="6">
        <f>IF(Sort_IDAC!$B12="","",IF(Sort_IDAC!R12=0,0,ROUND(Sort_IDAC!R12,-1*INT(LOG10(Sort_IDAC!R12))+2)))</f>
        <v>9.3199999999999996E-16</v>
      </c>
      <c r="S12" s="6">
        <f>IF(Sort_IDAC!$B12="","",IF(Sort_IDAC!S12=0,0,ROUND(Sort_IDAC!S12,-1*INT(LOG10(Sort_IDAC!S12))+2)))</f>
        <v>3.1199999999999999E-16</v>
      </c>
      <c r="T12" s="6">
        <f>IF(Sort_IDAC!$B12="","",IF(Sort_IDAC!T12=0,0,ROUND(Sort_IDAC!T12,-1*INT(LOG10(Sort_IDAC!T12))+2)))</f>
        <v>6.2600000000000002E-16</v>
      </c>
      <c r="U12" s="6">
        <f>IF(Sort_IDAC!$B12="","",IF(Sort_IDAC!U12=0,0,ROUND(Sort_IDAC!U12,-1*INT(LOG10(Sort_IDAC!U12))+2)))</f>
        <v>6.2600000000000002E-16</v>
      </c>
      <c r="V12" s="6">
        <f>IF(Sort_IDAC!$B12="","",IF(Sort_IDAC!V12=0,0,ROUND(Sort_IDAC!V12,-1*INT(LOG10(Sort_IDAC!V12))+2)))</f>
        <v>6.2600000000000002E-16</v>
      </c>
      <c r="W12" s="6">
        <f>IF(Sort_IDAC!$B12="","",IF(Sort_IDAC!W12=0,0,ROUND(Sort_IDAC!W12,-1*INT(LOG10(Sort_IDAC!W12))+2)))</f>
        <v>6.2600000000000002E-16</v>
      </c>
      <c r="X12" s="6">
        <f>IF(Sort_IDAC!$B12="","",IF(Sort_IDAC!X12=0,0,ROUND(Sort_IDAC!X12,-1*INT(LOG10(Sort_IDAC!X12))+2)))</f>
        <v>6.2600000000000002E-16</v>
      </c>
      <c r="Y12" s="6">
        <f>IF(Sort_IDAC!$B12="","",IF(Sort_IDAC!Y12=0,0,ROUND(Sort_IDAC!Y12,-1*INT(LOG10(Sort_IDAC!Y12))+2)))</f>
        <v>2.4E-16</v>
      </c>
      <c r="Z12" s="6">
        <f>IF(Sort_IDAC!$B12="","",IF(Sort_IDAC!Z12=0,0,ROUND(Sort_IDAC!Z12,-1*INT(LOG10(Sort_IDAC!Z12))+2)))</f>
        <v>1.3E-15</v>
      </c>
      <c r="AA12" s="6">
        <f>IF(Sort_IDAC!$B12="","",IF(Sort_IDAC!AA12=0,0,ROUND(Sort_IDAC!AA12,-1*INT(LOG10(Sort_IDAC!AA12))+2)))</f>
        <v>1.2900000000000001E-15</v>
      </c>
      <c r="AB12" s="6">
        <f>IF(Sort_IDAC!$B12="","",IF(Sort_IDAC!AB12=0,0,ROUND(Sort_IDAC!AB12,-1*INT(LOG10(Sort_IDAC!AB12))+2)))</f>
        <v>7.0799999999999999E-15</v>
      </c>
      <c r="AC12" s="6">
        <f>IF(Sort_IDAC!$B12="","",IF(Sort_IDAC!AC12=0,0,ROUND(Sort_IDAC!AC12,-1*INT(LOG10(Sort_IDAC!AC12))+2)))</f>
        <v>8.0300000000000003E-16</v>
      </c>
      <c r="AD12" s="6">
        <f>IF(Sort_IDAC!$B12="","",IF(Sort_IDAC!AD12=0,0,ROUND(Sort_IDAC!AD12,-1*INT(LOG10(Sort_IDAC!AD12))+2)))</f>
        <v>1.4300000000000001E-16</v>
      </c>
      <c r="AE12" s="6">
        <f>IF(Sort_IDAC!$B12="","",IF(Sort_IDAC!AE12=0,0,ROUND(Sort_IDAC!AE12,-1*INT(LOG10(Sort_IDAC!AE12))+2)))</f>
        <v>1.3899999999999999E-16</v>
      </c>
      <c r="AF12" s="6">
        <f>IF(Sort_IDAC!$B12="","",IF(Sort_IDAC!AF12=0,0,ROUND(Sort_IDAC!AF12,-1*INT(LOG10(Sort_IDAC!AF12))+2)))</f>
        <v>1.3899999999999999E-16</v>
      </c>
      <c r="AG12" s="6">
        <f>IF(Sort_IDAC!$B12="","",IF(Sort_IDAC!AG12=0,0,ROUND(Sort_IDAC!AG12,-1*INT(LOG10(Sort_IDAC!AG12))+2)))</f>
        <v>2.4199999999999999E-15</v>
      </c>
      <c r="AH12" s="6">
        <f>IF(Sort_IDAC!$B12="","",IF(Sort_IDAC!AH12=0,0,ROUND(Sort_IDAC!AH12,-1*INT(LOG10(Sort_IDAC!AH12))+2)))</f>
        <v>5.3299999999999998E-14</v>
      </c>
      <c r="AI12" s="6">
        <f>IF(Sort_IDAC!$B12="","",IF(Sort_IDAC!AI12=0,0,ROUND(Sort_IDAC!AI12,-1*INT(LOG10(Sort_IDAC!AI12))+2)))</f>
        <v>5.0499999999999999E-14</v>
      </c>
      <c r="AJ12" s="6">
        <f>IF(Sort_IDAC!$B12="","",IF(Sort_IDAC!AJ12=0,0,ROUND(Sort_IDAC!AJ12,-1*INT(LOG10(Sort_IDAC!AJ12))+2)))</f>
        <v>9.1999999999999996E-16</v>
      </c>
      <c r="AK12" s="6">
        <f>IF(Sort_IDAC!$B12="","",IF(Sort_IDAC!AK12=0,0,ROUND(Sort_IDAC!AK12,-1*INT(LOG10(Sort_IDAC!AK12))+2)))</f>
        <v>1.8399999999999999E-15</v>
      </c>
      <c r="AL12" s="6">
        <f>IF(Sort_IDAC!$B12="","",IF(Sort_IDAC!AL12=0,0,ROUND(Sort_IDAC!AL12,-1*INT(LOG10(Sort_IDAC!AL12))+2)))</f>
        <v>7.7900000000000008E-15</v>
      </c>
      <c r="AM12" s="6">
        <f>IF(Sort_IDAC!$B12="","",IF(Sort_IDAC!AM12=0,0,ROUND(Sort_IDAC!AM12,-1*INT(LOG10(Sort_IDAC!AM12))+2)))</f>
        <v>7.0799999999999997E-16</v>
      </c>
      <c r="AN12" s="6">
        <f>IF(Sort_IDAC!$B12="","",IF(Sort_IDAC!AN12=0,0,ROUND(Sort_IDAC!AN12,-1*INT(LOG10(Sort_IDAC!AN12))+2)))</f>
        <v>5.5199999999999998E-15</v>
      </c>
      <c r="AO12" s="6">
        <f>IF(Sort_IDAC!$B12="","",IF(Sort_IDAC!AO12=0,0,ROUND(Sort_IDAC!AO12,-1*INT(LOG10(Sort_IDAC!AO12))+2)))</f>
        <v>5.5199999999999998E-15</v>
      </c>
      <c r="AP12" s="6">
        <f>IF(Sort_IDAC!$B12="","",IF(Sort_IDAC!AP12=0,0,ROUND(Sort_IDAC!AP12,-1*INT(LOG10(Sort_IDAC!AP12))+2)))</f>
        <v>5.5199999999999998E-15</v>
      </c>
      <c r="AQ12" s="6">
        <f>IF(Sort_IDAC!$B12="","",IF(Sort_IDAC!AQ12=0,0,ROUND(Sort_IDAC!AQ12,-1*INT(LOG10(Sort_IDAC!AQ12))+2)))</f>
        <v>5.9299999999999997E-16</v>
      </c>
      <c r="AR12" s="6">
        <f>IF(Sort_IDAC!$B12="","",IF(Sort_IDAC!AR12=0,0,ROUND(Sort_IDAC!AR12,-1*INT(LOG10(Sort_IDAC!AR12))+2)))</f>
        <v>5.9299999999999997E-16</v>
      </c>
      <c r="AS12" s="6">
        <f>IF(Sort_IDAC!$B12="","",IF(Sort_IDAC!AS12=0,0,ROUND(Sort_IDAC!AS12,-1*INT(LOG10(Sort_IDAC!AS12))+2)))</f>
        <v>2.9799999999999999E-17</v>
      </c>
      <c r="AT12" s="6">
        <f>IF(Sort_IDAC!$B12="","",IF(Sort_IDAC!AT12=0,0,ROUND(Sort_IDAC!AT12,-1*INT(LOG10(Sort_IDAC!AT12))+2)))</f>
        <v>7.7200000000000002E-16</v>
      </c>
      <c r="AU12" s="6">
        <f>IF(Sort_IDAC!$B12="","",IF(Sort_IDAC!AU12=0,0,ROUND(Sort_IDAC!AU12,-1*INT(LOG10(Sort_IDAC!AU12))+2)))</f>
        <v>2.5099999999999999E-16</v>
      </c>
      <c r="AV12" s="6">
        <f>IF(Sort_IDAC!$B12="","",IF(Sort_IDAC!AV12=0,0,ROUND(Sort_IDAC!AV12,-1*INT(LOG10(Sort_IDAC!AV12))+2)))</f>
        <v>0</v>
      </c>
      <c r="AW12" s="6">
        <f>IF(Sort_IDAC!$B12="","",IF(Sort_IDAC!AW12=0,0,ROUND(Sort_IDAC!AW12,-1*INT(LOG10(Sort_IDAC!AW12))+2)))</f>
        <v>3.8199999999999997E-17</v>
      </c>
      <c r="AX12" s="6">
        <f>IF(Sort_IDAC!$B12="","",IF(Sort_IDAC!AX12=0,0,ROUND(Sort_IDAC!AX12,-1*INT(LOG10(Sort_IDAC!AX12))+2)))</f>
        <v>3.27E-17</v>
      </c>
      <c r="AY12" s="6">
        <f>IF(Sort_IDAC!$B12="","",IF(Sort_IDAC!AY12=0,0,ROUND(Sort_IDAC!AY12,-1*INT(LOG10(Sort_IDAC!AY12))+2)))</f>
        <v>3.27E-17</v>
      </c>
      <c r="AZ12" s="6">
        <f>IF(Sort_IDAC!$B12="","",IF(Sort_IDAC!AZ12=0,0,ROUND(Sort_IDAC!AZ12,-1*INT(LOG10(Sort_IDAC!AZ12))+2)))</f>
        <v>2.0500000000000002E-15</v>
      </c>
      <c r="BA12" s="6">
        <f>IF(Sort_IDAC!$B12="","",IF(Sort_IDAC!BA12=0,0,ROUND(Sort_IDAC!BA12,-1*INT(LOG10(Sort_IDAC!BA12))+2)))</f>
        <v>4.9300000000000002E-14</v>
      </c>
      <c r="BB12" s="6">
        <f>IF(Sort_IDAC!$B12="","",IF(Sort_IDAC!BB12=0,0,ROUND(Sort_IDAC!BB12,-1*INT(LOG10(Sort_IDAC!BB12))+2)))</f>
        <v>1.76E-16</v>
      </c>
      <c r="BC12" s="6">
        <f>IF(Sort_IDAC!$B12="","",IF(Sort_IDAC!BC12=0,0,ROUND(Sort_IDAC!BC12,-1*INT(LOG10(Sort_IDAC!BC12))+2)))</f>
        <v>1.7800000000000001E-16</v>
      </c>
      <c r="BD12" s="6">
        <f>IF(Sort_IDAC!$B12="","",IF(Sort_IDAC!BD12=0,0,ROUND(Sort_IDAC!BD12,-1*INT(LOG10(Sort_IDAC!BD12))+2)))</f>
        <v>1.7800000000000001E-16</v>
      </c>
      <c r="BE12" s="6">
        <f>IF(Sort_IDAC!$B12="","",IF(Sort_IDAC!BE12=0,0,ROUND(Sort_IDAC!BE12,-1*INT(LOG10(Sort_IDAC!BE12))+2)))</f>
        <v>5.6999999999999999E-16</v>
      </c>
      <c r="BF12" s="6">
        <f>IF(Sort_IDAC!$B12="","",IF(Sort_IDAC!BF12=0,0,ROUND(Sort_IDAC!BF12,-1*INT(LOG10(Sort_IDAC!BF12))+2)))</f>
        <v>4.5999999999999998E-16</v>
      </c>
      <c r="BG12" s="6">
        <f>IF(Sort_IDAC!$B12="","",IF(Sort_IDAC!BG12=0,0,ROUND(Sort_IDAC!BG12,-1*INT(LOG10(Sort_IDAC!BG12))+2)))</f>
        <v>3.3599999999999999E-16</v>
      </c>
      <c r="BH12" s="6">
        <f>IF(Sort_IDAC!$B12="","",IF(Sort_IDAC!BH12=0,0,ROUND(Sort_IDAC!BH12,-1*INT(LOG10(Sort_IDAC!BH12))+2)))</f>
        <v>2.73E-16</v>
      </c>
      <c r="BI12" s="6">
        <f>IF(Sort_IDAC!$B12="","",IF(Sort_IDAC!BI12=0,0,ROUND(Sort_IDAC!BI12,-1*INT(LOG10(Sort_IDAC!BI12))+2)))</f>
        <v>2.73E-16</v>
      </c>
      <c r="BJ12" s="6">
        <f>IF(Sort_IDAC!$B12="","",IF(Sort_IDAC!BJ12=0,0,ROUND(Sort_IDAC!BJ12,-1*INT(LOG10(Sort_IDAC!BJ12))+2)))</f>
        <v>2.73E-16</v>
      </c>
      <c r="BK12" s="6">
        <f>IF(Sort_IDAC!$B12="","",IF(Sort_IDAC!BK12=0,0,ROUND(Sort_IDAC!BK12,-1*INT(LOG10(Sort_IDAC!BK12))+2)))</f>
        <v>2.8099999999999999E-15</v>
      </c>
      <c r="BL12" s="6">
        <f>IF(Sort_IDAC!$B12="","",IF(Sort_IDAC!BL12=0,0,ROUND(Sort_IDAC!BL12,-1*INT(LOG10(Sort_IDAC!BL12))+2)))</f>
        <v>1.9500000000000001E-15</v>
      </c>
      <c r="BM12" s="6">
        <f>IF(Sort_IDAC!$B12="","",IF(Sort_IDAC!BM12=0,0,ROUND(Sort_IDAC!BM12,-1*INT(LOG10(Sort_IDAC!BM12))+2)))</f>
        <v>1.64E-15</v>
      </c>
      <c r="BN12" s="6">
        <f>IF(Sort_IDAC!$B12="","",IF(Sort_IDAC!BN12=0,0,ROUND(Sort_IDAC!BN12,-1*INT(LOG10(Sort_IDAC!BN12))+2)))</f>
        <v>1.64E-15</v>
      </c>
      <c r="BO12" s="6">
        <f>IF(Sort_IDAC!$B12="","",IF(Sort_IDAC!BO12=0,0,ROUND(Sort_IDAC!BO12,-1*INT(LOG10(Sort_IDAC!BO12))+2)))</f>
        <v>5.1100000000000002E-16</v>
      </c>
      <c r="BP12" s="6">
        <f>IF(Sort_IDAC!$B12="","",IF(Sort_IDAC!BP12=0,0,ROUND(Sort_IDAC!BP12,-1*INT(LOG10(Sort_IDAC!BP12))+2)))</f>
        <v>5.1100000000000002E-16</v>
      </c>
      <c r="BQ12" s="6">
        <f>IF(Sort_IDAC!$B12="","",IF(Sort_IDAC!BQ12=0,0,ROUND(Sort_IDAC!BQ12,-1*INT(LOG10(Sort_IDAC!BQ12))+2)))</f>
        <v>0</v>
      </c>
      <c r="BR12" s="6">
        <f>IF(Sort_IDAC!$B12="","",IF(Sort_IDAC!BR12=0,0,ROUND(Sort_IDAC!BR12,-1*INT(LOG10(Sort_IDAC!BR12))+2)))</f>
        <v>5.7199999999999999E-15</v>
      </c>
      <c r="BS12" s="6">
        <f>IF(Sort_IDAC!$B12="","",IF(Sort_IDAC!BS12=0,0,ROUND(Sort_IDAC!BS12,-1*INT(LOG10(Sort_IDAC!BS12))+2)))</f>
        <v>2.55E-15</v>
      </c>
      <c r="BT12" s="6">
        <f>IF(Sort_IDAC!$B12="","",IF(Sort_IDAC!BT12=0,0,ROUND(Sort_IDAC!BT12,-1*INT(LOG10(Sort_IDAC!BT12))+2)))</f>
        <v>6.1099999999999997E-16</v>
      </c>
      <c r="BU12" s="6">
        <f>IF(Sort_IDAC!$B12="","",IF(Sort_IDAC!BU12=0,0,ROUND(Sort_IDAC!BU12,-1*INT(LOG10(Sort_IDAC!BU12))+2)))</f>
        <v>4.9499999999999996E-16</v>
      </c>
      <c r="BV12" s="6">
        <f>IF(Sort_IDAC!$B12="","",IF(Sort_IDAC!BV12=0,0,ROUND(Sort_IDAC!BV12,-1*INT(LOG10(Sort_IDAC!BV12))+2)))</f>
        <v>1.13E-15</v>
      </c>
      <c r="BW12" s="6">
        <f>IF(Sort_IDAC!$B12="","",IF(Sort_IDAC!BW12=0,0,ROUND(Sort_IDAC!BW12,-1*INT(LOG10(Sort_IDAC!BW12))+2)))</f>
        <v>7.3600000000000003E-16</v>
      </c>
      <c r="BX12" s="6">
        <f>IF(Sort_IDAC!$B12="","",IF(Sort_IDAC!BX12=0,0,ROUND(Sort_IDAC!BX12,-1*INT(LOG10(Sort_IDAC!BX12))+2)))</f>
        <v>7.3600000000000003E-16</v>
      </c>
      <c r="BY12" s="6">
        <f>IF(Sort_IDAC!$B12="","",IF(Sort_IDAC!BY12=0,0,ROUND(Sort_IDAC!BY12,-1*INT(LOG10(Sort_IDAC!BY12))+2)))</f>
        <v>2.6500000000000002E-16</v>
      </c>
      <c r="BZ12" s="6">
        <f>IF(Sort_IDAC!$B12="","",IF(Sort_IDAC!BZ12=0,0,ROUND(Sort_IDAC!BZ12,-1*INT(LOG10(Sort_IDAC!BZ12))+2)))</f>
        <v>3.12E-17</v>
      </c>
      <c r="CA12" s="6">
        <f>IF(Sort_IDAC!$B12="","",IF(Sort_IDAC!CA12=0,0,ROUND(Sort_IDAC!CA12,-1*INT(LOG10(Sort_IDAC!CA12))+2)))</f>
        <v>2.8500000000000001E-17</v>
      </c>
      <c r="CB12" s="6">
        <f>IF(Sort_IDAC!$B12="","",IF(Sort_IDAC!CB12=0,0,ROUND(Sort_IDAC!CB12,-1*INT(LOG10(Sort_IDAC!CB12))+2)))</f>
        <v>2.9400000000000001E-17</v>
      </c>
      <c r="CC12" s="6">
        <f>IF(Sort_IDAC!$B12="","",IF(Sort_IDAC!CC12=0,0,ROUND(Sort_IDAC!CC12,-1*INT(LOG10(Sort_IDAC!CC12))+2)))</f>
        <v>5.4300000000000005E-16</v>
      </c>
      <c r="CD12" s="6"/>
      <c r="CE12" s="6"/>
      <c r="CF12" s="6"/>
      <c r="CG12" s="6"/>
    </row>
    <row r="13" spans="2:85" x14ac:dyDescent="0.15">
      <c r="C13" s="6" t="str">
        <f>IF(Sort_IDAC!$B13="","",IF(Sort_IDAC!C13=0,0,ROUND(Sort_IDAC!C13,-1*INT(LOG10(Sort_IDAC!C13))+2)))</f>
        <v/>
      </c>
      <c r="D13" s="6" t="str">
        <f>IF(Sort_IDAC!$B13="","",IF(Sort_IDAC!D13=0,0,ROUND(Sort_IDAC!D13,-1*INT(LOG10(Sort_IDAC!D13))+2)))</f>
        <v/>
      </c>
      <c r="E13" s="6" t="str">
        <f>IF(Sort_IDAC!$B13="","",IF(Sort_IDAC!E13=0,0,ROUND(Sort_IDAC!E13,-1*INT(LOG10(Sort_IDAC!E13))+2)))</f>
        <v/>
      </c>
      <c r="F13" s="6" t="str">
        <f>IF(Sort_IDAC!$B13="","",IF(Sort_IDAC!F13=0,0,ROUND(Sort_IDAC!F13,-1*INT(LOG10(Sort_IDAC!F13))+2)))</f>
        <v/>
      </c>
      <c r="G13" s="6" t="str">
        <f>IF(Sort_IDAC!$B13="","",IF(Sort_IDAC!G13=0,0,ROUND(Sort_IDAC!G13,-1*INT(LOG10(Sort_IDAC!G13))+2)))</f>
        <v/>
      </c>
      <c r="H13" s="6" t="str">
        <f>IF(Sort_IDAC!$B13="","",IF(Sort_IDAC!H13=0,0,ROUND(Sort_IDAC!H13,-1*INT(LOG10(Sort_IDAC!H13))+2)))</f>
        <v/>
      </c>
      <c r="I13" s="6" t="str">
        <f>IF(Sort_IDAC!$B13="","",IF(Sort_IDAC!I13=0,0,ROUND(Sort_IDAC!I13,-1*INT(LOG10(Sort_IDAC!I13))+2)))</f>
        <v/>
      </c>
      <c r="J13" s="6" t="str">
        <f>IF(Sort_IDAC!$B13="","",IF(Sort_IDAC!J13=0,0,ROUND(Sort_IDAC!J13,-1*INT(LOG10(Sort_IDAC!J13))+2)))</f>
        <v/>
      </c>
      <c r="K13" s="6" t="str">
        <f>IF(Sort_IDAC!$B13="","",IF(Sort_IDAC!K13=0,0,ROUND(Sort_IDAC!K13,-1*INT(LOG10(Sort_IDAC!K13))+2)))</f>
        <v/>
      </c>
      <c r="L13" s="6" t="str">
        <f>IF(Sort_IDAC!$B13="","",IF(Sort_IDAC!L13=0,0,ROUND(Sort_IDAC!L13,-1*INT(LOG10(Sort_IDAC!L13))+2)))</f>
        <v/>
      </c>
      <c r="M13" s="6" t="str">
        <f>IF(Sort_IDAC!$B13="","",IF(Sort_IDAC!M13=0,0,ROUND(Sort_IDAC!M13,-1*INT(LOG10(Sort_IDAC!M13))+2)))</f>
        <v/>
      </c>
      <c r="N13" s="6" t="str">
        <f>IF(Sort_IDAC!$B13="","",IF(Sort_IDAC!N13=0,0,ROUND(Sort_IDAC!N13,-1*INT(LOG10(Sort_IDAC!N13))+2)))</f>
        <v/>
      </c>
      <c r="O13" s="6" t="str">
        <f>IF(Sort_IDAC!$B13="","",IF(Sort_IDAC!O13=0,0,ROUND(Sort_IDAC!O13,-1*INT(LOG10(Sort_IDAC!O13))+2)))</f>
        <v/>
      </c>
      <c r="P13" s="6" t="str">
        <f>IF(Sort_IDAC!$B13="","",IF(Sort_IDAC!P13=0,0,ROUND(Sort_IDAC!P13,-1*INT(LOG10(Sort_IDAC!P13))+2)))</f>
        <v/>
      </c>
      <c r="Q13" s="6" t="str">
        <f>IF(Sort_IDAC!$B13="","",IF(Sort_IDAC!Q13=0,0,ROUND(Sort_IDAC!Q13,-1*INT(LOG10(Sort_IDAC!Q13))+2)))</f>
        <v/>
      </c>
      <c r="R13" s="6" t="str">
        <f>IF(Sort_IDAC!$B13="","",IF(Sort_IDAC!R13=0,0,ROUND(Sort_IDAC!R13,-1*INT(LOG10(Sort_IDAC!R13))+2)))</f>
        <v/>
      </c>
      <c r="S13" s="6" t="str">
        <f>IF(Sort_IDAC!$B13="","",IF(Sort_IDAC!S13=0,0,ROUND(Sort_IDAC!S13,-1*INT(LOG10(Sort_IDAC!S13))+2)))</f>
        <v/>
      </c>
      <c r="T13" s="6" t="str">
        <f>IF(Sort_IDAC!$B13="","",IF(Sort_IDAC!T13=0,0,ROUND(Sort_IDAC!T13,-1*INT(LOG10(Sort_IDAC!T13))+2)))</f>
        <v/>
      </c>
      <c r="U13" s="6" t="str">
        <f>IF(Sort_IDAC!$B13="","",IF(Sort_IDAC!U13=0,0,ROUND(Sort_IDAC!U13,-1*INT(LOG10(Sort_IDAC!U13))+2)))</f>
        <v/>
      </c>
      <c r="V13" s="6" t="str">
        <f>IF(Sort_IDAC!$B13="","",IF(Sort_IDAC!V13=0,0,ROUND(Sort_IDAC!V13,-1*INT(LOG10(Sort_IDAC!V13))+2)))</f>
        <v/>
      </c>
      <c r="W13" s="6" t="str">
        <f>IF(Sort_IDAC!$B13="","",IF(Sort_IDAC!W13=0,0,ROUND(Sort_IDAC!W13,-1*INT(LOG10(Sort_IDAC!W13))+2)))</f>
        <v/>
      </c>
      <c r="X13" s="6" t="str">
        <f>IF(Sort_IDAC!$B13="","",IF(Sort_IDAC!X13=0,0,ROUND(Sort_IDAC!X13,-1*INT(LOG10(Sort_IDAC!X13))+2)))</f>
        <v/>
      </c>
      <c r="Y13" s="6" t="str">
        <f>IF(Sort_IDAC!$B13="","",IF(Sort_IDAC!Y13=0,0,ROUND(Sort_IDAC!Y13,-1*INT(LOG10(Sort_IDAC!Y13))+2)))</f>
        <v/>
      </c>
      <c r="Z13" s="6" t="str">
        <f>IF(Sort_IDAC!$B13="","",IF(Sort_IDAC!Z13=0,0,ROUND(Sort_IDAC!Z13,-1*INT(LOG10(Sort_IDAC!Z13))+2)))</f>
        <v/>
      </c>
      <c r="AA13" s="6" t="str">
        <f>IF(Sort_IDAC!$B13="","",IF(Sort_IDAC!AA13=0,0,ROUND(Sort_IDAC!AA13,-1*INT(LOG10(Sort_IDAC!AA13))+2)))</f>
        <v/>
      </c>
      <c r="AB13" s="6" t="str">
        <f>IF(Sort_IDAC!$B13="","",IF(Sort_IDAC!AB13=0,0,ROUND(Sort_IDAC!AB13,-1*INT(LOG10(Sort_IDAC!AB13))+2)))</f>
        <v/>
      </c>
      <c r="AC13" s="6" t="str">
        <f>IF(Sort_IDAC!$B13="","",IF(Sort_IDAC!AC13=0,0,ROUND(Sort_IDAC!AC13,-1*INT(LOG10(Sort_IDAC!AC13))+2)))</f>
        <v/>
      </c>
      <c r="AD13" s="6" t="str">
        <f>IF(Sort_IDAC!$B13="","",IF(Sort_IDAC!AD13=0,0,ROUND(Sort_IDAC!AD13,-1*INT(LOG10(Sort_IDAC!AD13))+2)))</f>
        <v/>
      </c>
      <c r="AE13" s="6" t="str">
        <f>IF(Sort_IDAC!$B13="","",IF(Sort_IDAC!AE13=0,0,ROUND(Sort_IDAC!AE13,-1*INT(LOG10(Sort_IDAC!AE13))+2)))</f>
        <v/>
      </c>
      <c r="AF13" s="6" t="str">
        <f>IF(Sort_IDAC!$B13="","",IF(Sort_IDAC!AF13=0,0,ROUND(Sort_IDAC!AF13,-1*INT(LOG10(Sort_IDAC!AF13))+2)))</f>
        <v/>
      </c>
      <c r="AG13" s="6" t="str">
        <f>IF(Sort_IDAC!$B13="","",IF(Sort_IDAC!AG13=0,0,ROUND(Sort_IDAC!AG13,-1*INT(LOG10(Sort_IDAC!AG13))+2)))</f>
        <v/>
      </c>
      <c r="AH13" s="6" t="str">
        <f>IF(Sort_IDAC!$B13="","",IF(Sort_IDAC!AH13=0,0,ROUND(Sort_IDAC!AH13,-1*INT(LOG10(Sort_IDAC!AH13))+2)))</f>
        <v/>
      </c>
      <c r="AI13" s="6" t="str">
        <f>IF(Sort_IDAC!$B13="","",IF(Sort_IDAC!AI13=0,0,ROUND(Sort_IDAC!AI13,-1*INT(LOG10(Sort_IDAC!AI13))+2)))</f>
        <v/>
      </c>
      <c r="AJ13" s="6" t="str">
        <f>IF(Sort_IDAC!$B13="","",IF(Sort_IDAC!AJ13=0,0,ROUND(Sort_IDAC!AJ13,-1*INT(LOG10(Sort_IDAC!AJ13))+2)))</f>
        <v/>
      </c>
      <c r="AK13" s="6" t="str">
        <f>IF(Sort_IDAC!$B13="","",IF(Sort_IDAC!AK13=0,0,ROUND(Sort_IDAC!AK13,-1*INT(LOG10(Sort_IDAC!AK13))+2)))</f>
        <v/>
      </c>
      <c r="AL13" s="6" t="str">
        <f>IF(Sort_IDAC!$B13="","",IF(Sort_IDAC!AL13=0,0,ROUND(Sort_IDAC!AL13,-1*INT(LOG10(Sort_IDAC!AL13))+2)))</f>
        <v/>
      </c>
      <c r="AM13" s="6" t="str">
        <f>IF(Sort_IDAC!$B13="","",IF(Sort_IDAC!AM13=0,0,ROUND(Sort_IDAC!AM13,-1*INT(LOG10(Sort_IDAC!AM13))+2)))</f>
        <v/>
      </c>
      <c r="AN13" s="6" t="str">
        <f>IF(Sort_IDAC!$B13="","",IF(Sort_IDAC!AN13=0,0,ROUND(Sort_IDAC!AN13,-1*INT(LOG10(Sort_IDAC!AN13))+2)))</f>
        <v/>
      </c>
      <c r="AO13" s="6" t="str">
        <f>IF(Sort_IDAC!$B13="","",IF(Sort_IDAC!AO13=0,0,ROUND(Sort_IDAC!AO13,-1*INT(LOG10(Sort_IDAC!AO13))+2)))</f>
        <v/>
      </c>
      <c r="AP13" s="6" t="str">
        <f>IF(Sort_IDAC!$B13="","",IF(Sort_IDAC!AP13=0,0,ROUND(Sort_IDAC!AP13,-1*INT(LOG10(Sort_IDAC!AP13))+2)))</f>
        <v/>
      </c>
      <c r="AQ13" s="6" t="str">
        <f>IF(Sort_IDAC!$B13="","",IF(Sort_IDAC!AQ13=0,0,ROUND(Sort_IDAC!AQ13,-1*INT(LOG10(Sort_IDAC!AQ13))+2)))</f>
        <v/>
      </c>
      <c r="AR13" s="6" t="str">
        <f>IF(Sort_IDAC!$B13="","",IF(Sort_IDAC!AR13=0,0,ROUND(Sort_IDAC!AR13,-1*INT(LOG10(Sort_IDAC!AR13))+2)))</f>
        <v/>
      </c>
      <c r="AS13" s="6" t="str">
        <f>IF(Sort_IDAC!$B13="","",IF(Sort_IDAC!AS13=0,0,ROUND(Sort_IDAC!AS13,-1*INT(LOG10(Sort_IDAC!AS13))+2)))</f>
        <v/>
      </c>
      <c r="AT13" s="6" t="str">
        <f>IF(Sort_IDAC!$B13="","",IF(Sort_IDAC!AT13=0,0,ROUND(Sort_IDAC!AT13,-1*INT(LOG10(Sort_IDAC!AT13))+2)))</f>
        <v/>
      </c>
      <c r="AU13" s="6" t="str">
        <f>IF(Sort_IDAC!$B13="","",IF(Sort_IDAC!AU13=0,0,ROUND(Sort_IDAC!AU13,-1*INT(LOG10(Sort_IDAC!AU13))+2)))</f>
        <v/>
      </c>
      <c r="AV13" s="6" t="str">
        <f>IF(Sort_IDAC!$B13="","",IF(Sort_IDAC!AV13=0,0,ROUND(Sort_IDAC!AV13,-1*INT(LOG10(Sort_IDAC!AV13))+2)))</f>
        <v/>
      </c>
      <c r="AW13" s="6" t="str">
        <f>IF(Sort_IDAC!$B13="","",IF(Sort_IDAC!AW13=0,0,ROUND(Sort_IDAC!AW13,-1*INT(LOG10(Sort_IDAC!AW13))+2)))</f>
        <v/>
      </c>
      <c r="AX13" s="6" t="str">
        <f>IF(Sort_IDAC!$B13="","",IF(Sort_IDAC!AX13=0,0,ROUND(Sort_IDAC!AX13,-1*INT(LOG10(Sort_IDAC!AX13))+2)))</f>
        <v/>
      </c>
      <c r="AY13" s="6" t="str">
        <f>IF(Sort_IDAC!$B13="","",IF(Sort_IDAC!AY13=0,0,ROUND(Sort_IDAC!AY13,-1*INT(LOG10(Sort_IDAC!AY13))+2)))</f>
        <v/>
      </c>
      <c r="AZ13" s="6" t="str">
        <f>IF(Sort_IDAC!$B13="","",IF(Sort_IDAC!AZ13=0,0,ROUND(Sort_IDAC!AZ13,-1*INT(LOG10(Sort_IDAC!AZ13))+2)))</f>
        <v/>
      </c>
      <c r="BA13" s="6" t="str">
        <f>IF(Sort_IDAC!$B13="","",IF(Sort_IDAC!BA13=0,0,ROUND(Sort_IDAC!BA13,-1*INT(LOG10(Sort_IDAC!BA13))+2)))</f>
        <v/>
      </c>
      <c r="BB13" s="6" t="str">
        <f>IF(Sort_IDAC!$B13="","",IF(Sort_IDAC!BB13=0,0,ROUND(Sort_IDAC!BB13,-1*INT(LOG10(Sort_IDAC!BB13))+2)))</f>
        <v/>
      </c>
      <c r="BC13" s="6" t="str">
        <f>IF(Sort_IDAC!$B13="","",IF(Sort_IDAC!BC13=0,0,ROUND(Sort_IDAC!BC13,-1*INT(LOG10(Sort_IDAC!BC13))+2)))</f>
        <v/>
      </c>
      <c r="BD13" s="6" t="str">
        <f>IF(Sort_IDAC!$B13="","",IF(Sort_IDAC!BD13=0,0,ROUND(Sort_IDAC!BD13,-1*INT(LOG10(Sort_IDAC!BD13))+2)))</f>
        <v/>
      </c>
      <c r="BE13" s="6" t="str">
        <f>IF(Sort_IDAC!$B13="","",IF(Sort_IDAC!BE13=0,0,ROUND(Sort_IDAC!BE13,-1*INT(LOG10(Sort_IDAC!BE13))+2)))</f>
        <v/>
      </c>
      <c r="BF13" s="6" t="str">
        <f>IF(Sort_IDAC!$B13="","",IF(Sort_IDAC!BF13=0,0,ROUND(Sort_IDAC!BF13,-1*INT(LOG10(Sort_IDAC!BF13))+2)))</f>
        <v/>
      </c>
      <c r="BG13" s="6" t="str">
        <f>IF(Sort_IDAC!$B13="","",IF(Sort_IDAC!BG13=0,0,ROUND(Sort_IDAC!BG13,-1*INT(LOG10(Sort_IDAC!BG13))+2)))</f>
        <v/>
      </c>
      <c r="BH13" s="6" t="str">
        <f>IF(Sort_IDAC!$B13="","",IF(Sort_IDAC!BH13=0,0,ROUND(Sort_IDAC!BH13,-1*INT(LOG10(Sort_IDAC!BH13))+2)))</f>
        <v/>
      </c>
      <c r="BI13" s="6" t="str">
        <f>IF(Sort_IDAC!$B13="","",IF(Sort_IDAC!BI13=0,0,ROUND(Sort_IDAC!BI13,-1*INT(LOG10(Sort_IDAC!BI13))+2)))</f>
        <v/>
      </c>
      <c r="BJ13" s="6" t="str">
        <f>IF(Sort_IDAC!$B13="","",IF(Sort_IDAC!BJ13=0,0,ROUND(Sort_IDAC!BJ13,-1*INT(LOG10(Sort_IDAC!BJ13))+2)))</f>
        <v/>
      </c>
      <c r="BK13" s="6" t="str">
        <f>IF(Sort_IDAC!$B13="","",IF(Sort_IDAC!BK13=0,0,ROUND(Sort_IDAC!BK13,-1*INT(LOG10(Sort_IDAC!BK13))+2)))</f>
        <v/>
      </c>
      <c r="BL13" s="6" t="str">
        <f>IF(Sort_IDAC!$B13="","",IF(Sort_IDAC!BL13=0,0,ROUND(Sort_IDAC!BL13,-1*INT(LOG10(Sort_IDAC!BL13))+2)))</f>
        <v/>
      </c>
      <c r="BM13" s="6" t="str">
        <f>IF(Sort_IDAC!$B13="","",IF(Sort_IDAC!BM13=0,0,ROUND(Sort_IDAC!BM13,-1*INT(LOG10(Sort_IDAC!BM13))+2)))</f>
        <v/>
      </c>
      <c r="BN13" s="6" t="str">
        <f>IF(Sort_IDAC!$B13="","",IF(Sort_IDAC!BN13=0,0,ROUND(Sort_IDAC!BN13,-1*INT(LOG10(Sort_IDAC!BN13))+2)))</f>
        <v/>
      </c>
      <c r="BO13" s="6" t="str">
        <f>IF(Sort_IDAC!$B13="","",IF(Sort_IDAC!BO13=0,0,ROUND(Sort_IDAC!BO13,-1*INT(LOG10(Sort_IDAC!BO13))+2)))</f>
        <v/>
      </c>
      <c r="BP13" s="6" t="str">
        <f>IF(Sort_IDAC!$B13="","",IF(Sort_IDAC!BP13=0,0,ROUND(Sort_IDAC!BP13,-1*INT(LOG10(Sort_IDAC!BP13))+2)))</f>
        <v/>
      </c>
      <c r="BQ13" s="6" t="str">
        <f>IF(Sort_IDAC!$B13="","",IF(Sort_IDAC!BQ13=0,0,ROUND(Sort_IDAC!BQ13,-1*INT(LOG10(Sort_IDAC!BQ13))+2)))</f>
        <v/>
      </c>
      <c r="BR13" s="6" t="str">
        <f>IF(Sort_IDAC!$B13="","",IF(Sort_IDAC!BR13=0,0,ROUND(Sort_IDAC!BR13,-1*INT(LOG10(Sort_IDAC!BR13))+2)))</f>
        <v/>
      </c>
      <c r="BS13" s="6" t="str">
        <f>IF(Sort_IDAC!$B13="","",IF(Sort_IDAC!BS13=0,0,ROUND(Sort_IDAC!BS13,-1*INT(LOG10(Sort_IDAC!BS13))+2)))</f>
        <v/>
      </c>
      <c r="BT13" s="6" t="str">
        <f>IF(Sort_IDAC!$B13="","",IF(Sort_IDAC!BT13=0,0,ROUND(Sort_IDAC!BT13,-1*INT(LOG10(Sort_IDAC!BT13))+2)))</f>
        <v/>
      </c>
      <c r="BU13" s="6" t="str">
        <f>IF(Sort_IDAC!$B13="","",IF(Sort_IDAC!BU13=0,0,ROUND(Sort_IDAC!BU13,-1*INT(LOG10(Sort_IDAC!BU13))+2)))</f>
        <v/>
      </c>
      <c r="BV13" s="6" t="str">
        <f>IF(Sort_IDAC!$B13="","",IF(Sort_IDAC!BV13=0,0,ROUND(Sort_IDAC!BV13,-1*INT(LOG10(Sort_IDAC!BV13))+2)))</f>
        <v/>
      </c>
      <c r="BW13" s="6" t="str">
        <f>IF(Sort_IDAC!$B13="","",IF(Sort_IDAC!BW13=0,0,ROUND(Sort_IDAC!BW13,-1*INT(LOG10(Sort_IDAC!BW13))+2)))</f>
        <v/>
      </c>
      <c r="BX13" s="6" t="str">
        <f>IF(Sort_IDAC!$B13="","",IF(Sort_IDAC!BX13=0,0,ROUND(Sort_IDAC!BX13,-1*INT(LOG10(Sort_IDAC!BX13))+2)))</f>
        <v/>
      </c>
      <c r="BY13" s="6" t="str">
        <f>IF(Sort_IDAC!$B13="","",IF(Sort_IDAC!BY13=0,0,ROUND(Sort_IDAC!BY13,-1*INT(LOG10(Sort_IDAC!BY13))+2)))</f>
        <v/>
      </c>
      <c r="BZ13" s="6" t="str">
        <f>IF(Sort_IDAC!$B13="","",IF(Sort_IDAC!BZ13=0,0,ROUND(Sort_IDAC!BZ13,-1*INT(LOG10(Sort_IDAC!BZ13))+2)))</f>
        <v/>
      </c>
      <c r="CA13" s="6" t="str">
        <f>IF(Sort_IDAC!$B13="","",IF(Sort_IDAC!CA13=0,0,ROUND(Sort_IDAC!CA13,-1*INT(LOG10(Sort_IDAC!CA13))+2)))</f>
        <v/>
      </c>
      <c r="CB13" s="6" t="str">
        <f>IF(Sort_IDAC!$B13="","",IF(Sort_IDAC!CB13=0,0,ROUND(Sort_IDAC!CB13,-1*INT(LOG10(Sort_IDAC!CB13))+2)))</f>
        <v/>
      </c>
      <c r="CC13" s="6" t="str">
        <f>IF(Sort_IDAC!$B13="","",IF(Sort_IDAC!CC13=0,0,ROUND(Sort_IDAC!CC13,-1*INT(LOG10(Sort_IDAC!CC13))+2)))</f>
        <v/>
      </c>
      <c r="CD13" s="6"/>
      <c r="CE13" s="6"/>
      <c r="CF13" s="6"/>
      <c r="CG13" s="6"/>
    </row>
    <row r="14" spans="2:85" x14ac:dyDescent="0.15">
      <c r="B14" s="5" t="s">
        <v>7</v>
      </c>
      <c r="C14" s="6">
        <f>IF(Sort_IDAC!$B14="","",IF(Sort_IDAC!C14=0,0,ROUND(Sort_IDAC!C14,-1*INT(LOG10(Sort_IDAC!C14))+2)))</f>
        <v>5.7200000000000003E-16</v>
      </c>
      <c r="D14" s="6">
        <f>IF(Sort_IDAC!$B14="","",IF(Sort_IDAC!D14=0,0,ROUND(Sort_IDAC!D14,-1*INT(LOG10(Sort_IDAC!D14))+2)))</f>
        <v>1.08E-15</v>
      </c>
      <c r="E14" s="6">
        <f>IF(Sort_IDAC!$B14="","",IF(Sort_IDAC!E14=0,0,ROUND(Sort_IDAC!E14,-1*INT(LOG10(Sort_IDAC!E14))+2)))</f>
        <v>7.8799999999999999E-16</v>
      </c>
      <c r="F14" s="6">
        <f>IF(Sort_IDAC!$B14="","",IF(Sort_IDAC!F14=0,0,ROUND(Sort_IDAC!F14,-1*INT(LOG10(Sort_IDAC!F14))+2)))</f>
        <v>2.5399999999999999E-15</v>
      </c>
      <c r="G14" s="6">
        <f>IF(Sort_IDAC!$B14="","",IF(Sort_IDAC!G14=0,0,ROUND(Sort_IDAC!G14,-1*INT(LOG10(Sort_IDAC!G14))+2)))</f>
        <v>1.66E-15</v>
      </c>
      <c r="H14" s="6">
        <f>IF(Sort_IDAC!$B14="","",IF(Sort_IDAC!H14=0,0,ROUND(Sort_IDAC!H14,-1*INT(LOG10(Sort_IDAC!H14))+2)))</f>
        <v>3.5699999999999998E-16</v>
      </c>
      <c r="I14" s="6">
        <f>IF(Sort_IDAC!$B14="","",IF(Sort_IDAC!I14=0,0,ROUND(Sort_IDAC!I14,-1*INT(LOG10(Sort_IDAC!I14))+2)))</f>
        <v>9.1899999999999994E-16</v>
      </c>
      <c r="J14" s="6">
        <f>IF(Sort_IDAC!$B14="","",IF(Sort_IDAC!J14=0,0,ROUND(Sort_IDAC!J14,-1*INT(LOG10(Sort_IDAC!J14))+2)))</f>
        <v>9.1899999999999994E-16</v>
      </c>
      <c r="K14" s="6">
        <f>IF(Sort_IDAC!$B14="","",IF(Sort_IDAC!K14=0,0,ROUND(Sort_IDAC!K14,-1*INT(LOG10(Sort_IDAC!K14))+2)))</f>
        <v>9.1899999999999994E-16</v>
      </c>
      <c r="L14" s="6">
        <f>IF(Sort_IDAC!$B14="","",IF(Sort_IDAC!L14=0,0,ROUND(Sort_IDAC!L14,-1*INT(LOG10(Sort_IDAC!L14))+2)))</f>
        <v>7.8799999999999999E-16</v>
      </c>
      <c r="M14" s="6">
        <f>IF(Sort_IDAC!$B14="","",IF(Sort_IDAC!M14=0,0,ROUND(Sort_IDAC!M14,-1*INT(LOG10(Sort_IDAC!M14))+2)))</f>
        <v>7.8799999999999999E-16</v>
      </c>
      <c r="N14" s="6">
        <f>IF(Sort_IDAC!$B14="","",IF(Sort_IDAC!N14=0,0,ROUND(Sort_IDAC!N14,-1*INT(LOG10(Sort_IDAC!N14))+2)))</f>
        <v>7.8799999999999999E-16</v>
      </c>
      <c r="O14" s="6">
        <f>IF(Sort_IDAC!$B14="","",IF(Sort_IDAC!O14=0,0,ROUND(Sort_IDAC!O14,-1*INT(LOG10(Sort_IDAC!O14))+2)))</f>
        <v>5.0499999999999996E-15</v>
      </c>
      <c r="P14" s="6">
        <f>IF(Sort_IDAC!$B14="","",IF(Sort_IDAC!P14=0,0,ROUND(Sort_IDAC!P14,-1*INT(LOG10(Sort_IDAC!P14))+2)))</f>
        <v>1.07E-15</v>
      </c>
      <c r="Q14" s="6">
        <f>IF(Sort_IDAC!$B14="","",IF(Sort_IDAC!Q14=0,0,ROUND(Sort_IDAC!Q14,-1*INT(LOG10(Sort_IDAC!Q14))+2)))</f>
        <v>4.1000000000000004E-15</v>
      </c>
      <c r="R14" s="6">
        <f>IF(Sort_IDAC!$B14="","",IF(Sort_IDAC!R14=0,0,ROUND(Sort_IDAC!R14,-1*INT(LOG10(Sort_IDAC!R14))+2)))</f>
        <v>2.16E-15</v>
      </c>
      <c r="S14" s="6">
        <f>IF(Sort_IDAC!$B14="","",IF(Sort_IDAC!S14=0,0,ROUND(Sort_IDAC!S14,-1*INT(LOG10(Sort_IDAC!S14))+2)))</f>
        <v>8.5999999999999997E-16</v>
      </c>
      <c r="T14" s="6">
        <f>IF(Sort_IDAC!$B14="","",IF(Sort_IDAC!T14=0,0,ROUND(Sort_IDAC!T14,-1*INT(LOG10(Sort_IDAC!T14))+2)))</f>
        <v>1.52E-15</v>
      </c>
      <c r="U14" s="6">
        <f>IF(Sort_IDAC!$B14="","",IF(Sort_IDAC!U14=0,0,ROUND(Sort_IDAC!U14,-1*INT(LOG10(Sort_IDAC!U14))+2)))</f>
        <v>1.52E-15</v>
      </c>
      <c r="V14" s="6">
        <f>IF(Sort_IDAC!$B14="","",IF(Sort_IDAC!V14=0,0,ROUND(Sort_IDAC!V14,-1*INT(LOG10(Sort_IDAC!V14))+2)))</f>
        <v>1.52E-15</v>
      </c>
      <c r="W14" s="6">
        <f>IF(Sort_IDAC!$B14="","",IF(Sort_IDAC!W14=0,0,ROUND(Sort_IDAC!W14,-1*INT(LOG10(Sort_IDAC!W14))+2)))</f>
        <v>1.52E-15</v>
      </c>
      <c r="X14" s="6">
        <f>IF(Sort_IDAC!$B14="","",IF(Sort_IDAC!X14=0,0,ROUND(Sort_IDAC!X14,-1*INT(LOG10(Sort_IDAC!X14))+2)))</f>
        <v>1.52E-15</v>
      </c>
      <c r="Y14" s="6">
        <f>IF(Sort_IDAC!$B14="","",IF(Sort_IDAC!Y14=0,0,ROUND(Sort_IDAC!Y14,-1*INT(LOG10(Sort_IDAC!Y14))+2)))</f>
        <v>8.9100000000000008E-16</v>
      </c>
      <c r="Z14" s="6">
        <f>IF(Sort_IDAC!$B14="","",IF(Sort_IDAC!Z14=0,0,ROUND(Sort_IDAC!Z14,-1*INT(LOG10(Sort_IDAC!Z14))+2)))</f>
        <v>7.9199999999999995E-16</v>
      </c>
      <c r="AA14" s="6">
        <f>IF(Sort_IDAC!$B14="","",IF(Sort_IDAC!AA14=0,0,ROUND(Sort_IDAC!AA14,-1*INT(LOG10(Sort_IDAC!AA14))+2)))</f>
        <v>7.8799999999999999E-16</v>
      </c>
      <c r="AB14" s="6">
        <f>IF(Sort_IDAC!$B14="","",IF(Sort_IDAC!AB14=0,0,ROUND(Sort_IDAC!AB14,-1*INT(LOG10(Sort_IDAC!AB14))+2)))</f>
        <v>6.8499999999999999E-16</v>
      </c>
      <c r="AC14" s="6">
        <f>IF(Sort_IDAC!$B14="","",IF(Sort_IDAC!AC14=0,0,ROUND(Sort_IDAC!AC14,-1*INT(LOG10(Sort_IDAC!AC14))+2)))</f>
        <v>6.8499999999999999E-16</v>
      </c>
      <c r="AD14" s="6">
        <f>IF(Sort_IDAC!$B14="","",IF(Sort_IDAC!AD14=0,0,ROUND(Sort_IDAC!AD14,-1*INT(LOG10(Sort_IDAC!AD14))+2)))</f>
        <v>6.9900000000000002E-16</v>
      </c>
      <c r="AE14" s="6">
        <f>IF(Sort_IDAC!$B14="","",IF(Sort_IDAC!AE14=0,0,ROUND(Sort_IDAC!AE14,-1*INT(LOG10(Sort_IDAC!AE14))+2)))</f>
        <v>7.2099999999999998E-16</v>
      </c>
      <c r="AF14" s="6">
        <f>IF(Sort_IDAC!$B14="","",IF(Sort_IDAC!AF14=0,0,ROUND(Sort_IDAC!AF14,-1*INT(LOG10(Sort_IDAC!AF14))+2)))</f>
        <v>7.2099999999999998E-16</v>
      </c>
      <c r="AG14" s="6">
        <f>IF(Sort_IDAC!$B14="","",IF(Sort_IDAC!AG14=0,0,ROUND(Sort_IDAC!AG14,-1*INT(LOG10(Sort_IDAC!AG14))+2)))</f>
        <v>5.9399999999999999E-16</v>
      </c>
      <c r="AH14" s="6">
        <f>IF(Sort_IDAC!$B14="","",IF(Sort_IDAC!AH14=0,0,ROUND(Sort_IDAC!AH14,-1*INT(LOG10(Sort_IDAC!AH14))+2)))</f>
        <v>7.9199999999999995E-16</v>
      </c>
      <c r="AI14" s="6">
        <f>IF(Sort_IDAC!$B14="","",IF(Sort_IDAC!AI14=0,0,ROUND(Sort_IDAC!AI14,-1*INT(LOG10(Sort_IDAC!AI14))+2)))</f>
        <v>7.8199999999999999E-16</v>
      </c>
      <c r="AJ14" s="6">
        <f>IF(Sort_IDAC!$B14="","",IF(Sort_IDAC!AJ14=0,0,ROUND(Sort_IDAC!AJ14,-1*INT(LOG10(Sort_IDAC!AJ14))+2)))</f>
        <v>1.03E-15</v>
      </c>
      <c r="AK14" s="6">
        <f>IF(Sort_IDAC!$B14="","",IF(Sort_IDAC!AK14=0,0,ROUND(Sort_IDAC!AK14,-1*INT(LOG10(Sort_IDAC!AK14))+2)))</f>
        <v>8.5999999999999997E-16</v>
      </c>
      <c r="AL14" s="6">
        <f>IF(Sort_IDAC!$B14="","",IF(Sort_IDAC!AL14=0,0,ROUND(Sort_IDAC!AL14,-1*INT(LOG10(Sort_IDAC!AL14))+2)))</f>
        <v>9.2199999999999999E-16</v>
      </c>
      <c r="AM14" s="6">
        <f>IF(Sort_IDAC!$B14="","",IF(Sort_IDAC!AM14=0,0,ROUND(Sort_IDAC!AM14,-1*INT(LOG10(Sort_IDAC!AM14))+2)))</f>
        <v>7.6100000000000004E-16</v>
      </c>
      <c r="AN14" s="6">
        <f>IF(Sort_IDAC!$B14="","",IF(Sort_IDAC!AN14=0,0,ROUND(Sort_IDAC!AN14,-1*INT(LOG10(Sort_IDAC!AN14))+2)))</f>
        <v>1.18E-15</v>
      </c>
      <c r="AO14" s="6">
        <f>IF(Sort_IDAC!$B14="","",IF(Sort_IDAC!AO14=0,0,ROUND(Sort_IDAC!AO14,-1*INT(LOG10(Sort_IDAC!AO14))+2)))</f>
        <v>1.18E-15</v>
      </c>
      <c r="AP14" s="6">
        <f>IF(Sort_IDAC!$B14="","",IF(Sort_IDAC!AP14=0,0,ROUND(Sort_IDAC!AP14,-1*INT(LOG10(Sort_IDAC!AP14))+2)))</f>
        <v>1.18E-15</v>
      </c>
      <c r="AQ14" s="6">
        <f>IF(Sort_IDAC!$B14="","",IF(Sort_IDAC!AQ14=0,0,ROUND(Sort_IDAC!AQ14,-1*INT(LOG10(Sort_IDAC!AQ14))+2)))</f>
        <v>1.2300000000000001E-15</v>
      </c>
      <c r="AR14" s="6">
        <f>IF(Sort_IDAC!$B14="","",IF(Sort_IDAC!AR14=0,0,ROUND(Sort_IDAC!AR14,-1*INT(LOG10(Sort_IDAC!AR14))+2)))</f>
        <v>1.2300000000000001E-15</v>
      </c>
      <c r="AS14" s="6">
        <f>IF(Sort_IDAC!$B14="","",IF(Sort_IDAC!AS14=0,0,ROUND(Sort_IDAC!AS14,-1*INT(LOG10(Sort_IDAC!AS14))+2)))</f>
        <v>1.18E-15</v>
      </c>
      <c r="AT14" s="6">
        <f>IF(Sort_IDAC!$B14="","",IF(Sort_IDAC!AT14=0,0,ROUND(Sort_IDAC!AT14,-1*INT(LOG10(Sort_IDAC!AT14))+2)))</f>
        <v>6.3499999999999996E-16</v>
      </c>
      <c r="AU14" s="6">
        <f>IF(Sort_IDAC!$B14="","",IF(Sort_IDAC!AU14=0,0,ROUND(Sort_IDAC!AU14,-1*INT(LOG10(Sort_IDAC!AU14))+2)))</f>
        <v>2.2900000000000001E-15</v>
      </c>
      <c r="AV14" s="6">
        <f>IF(Sort_IDAC!$B14="","",IF(Sort_IDAC!AV14=0,0,ROUND(Sort_IDAC!AV14,-1*INT(LOG10(Sort_IDAC!AV14))+2)))</f>
        <v>0</v>
      </c>
      <c r="AW14" s="6">
        <f>IF(Sort_IDAC!$B14="","",IF(Sort_IDAC!AW14=0,0,ROUND(Sort_IDAC!AW14,-1*INT(LOG10(Sort_IDAC!AW14))+2)))</f>
        <v>1.07E-15</v>
      </c>
      <c r="AX14" s="6">
        <f>IF(Sort_IDAC!$B14="","",IF(Sort_IDAC!AX14=0,0,ROUND(Sort_IDAC!AX14,-1*INT(LOG10(Sort_IDAC!AX14))+2)))</f>
        <v>1.02E-15</v>
      </c>
      <c r="AY14" s="6">
        <f>IF(Sort_IDAC!$B14="","",IF(Sort_IDAC!AY14=0,0,ROUND(Sort_IDAC!AY14,-1*INT(LOG10(Sort_IDAC!AY14))+2)))</f>
        <v>1.02E-15</v>
      </c>
      <c r="AZ14" s="6">
        <f>IF(Sort_IDAC!$B14="","",IF(Sort_IDAC!AZ14=0,0,ROUND(Sort_IDAC!AZ14,-1*INT(LOG10(Sort_IDAC!AZ14))+2)))</f>
        <v>9.3399999999999995E-15</v>
      </c>
      <c r="BA14" s="6">
        <f>IF(Sort_IDAC!$B14="","",IF(Sort_IDAC!BA14=0,0,ROUND(Sort_IDAC!BA14,-1*INT(LOG10(Sort_IDAC!BA14))+2)))</f>
        <v>7.95E-16</v>
      </c>
      <c r="BB14" s="6">
        <f>IF(Sort_IDAC!$B14="","",IF(Sort_IDAC!BB14=0,0,ROUND(Sort_IDAC!BB14,-1*INT(LOG10(Sort_IDAC!BB14))+2)))</f>
        <v>6.9400000000000004E-16</v>
      </c>
      <c r="BC14" s="6">
        <f>IF(Sort_IDAC!$B14="","",IF(Sort_IDAC!BC14=0,0,ROUND(Sort_IDAC!BC14,-1*INT(LOG10(Sort_IDAC!BC14))+2)))</f>
        <v>7.0000000000000003E-16</v>
      </c>
      <c r="BD14" s="6">
        <f>IF(Sort_IDAC!$B14="","",IF(Sort_IDAC!BD14=0,0,ROUND(Sort_IDAC!BD14,-1*INT(LOG10(Sort_IDAC!BD14))+2)))</f>
        <v>7.0000000000000003E-16</v>
      </c>
      <c r="BE14" s="6">
        <f>IF(Sort_IDAC!$B14="","",IF(Sort_IDAC!BE14=0,0,ROUND(Sort_IDAC!BE14,-1*INT(LOG10(Sort_IDAC!BE14))+2)))</f>
        <v>1.15E-15</v>
      </c>
      <c r="BF14" s="6">
        <f>IF(Sort_IDAC!$B14="","",IF(Sort_IDAC!BF14=0,0,ROUND(Sort_IDAC!BF14,-1*INT(LOG10(Sort_IDAC!BF14))+2)))</f>
        <v>4.61E-16</v>
      </c>
      <c r="BG14" s="6">
        <f>IF(Sort_IDAC!$B14="","",IF(Sort_IDAC!BG14=0,0,ROUND(Sort_IDAC!BG14,-1*INT(LOG10(Sort_IDAC!BG14))+2)))</f>
        <v>7.7599999999999999E-16</v>
      </c>
      <c r="BH14" s="6">
        <f>IF(Sort_IDAC!$B14="","",IF(Sort_IDAC!BH14=0,0,ROUND(Sort_IDAC!BH14,-1*INT(LOG10(Sort_IDAC!BH14))+2)))</f>
        <v>8.9399999999999993E-16</v>
      </c>
      <c r="BI14" s="6">
        <f>IF(Sort_IDAC!$B14="","",IF(Sort_IDAC!BI14=0,0,ROUND(Sort_IDAC!BI14,-1*INT(LOG10(Sort_IDAC!BI14))+2)))</f>
        <v>8.9399999999999993E-16</v>
      </c>
      <c r="BJ14" s="6">
        <f>IF(Sort_IDAC!$B14="","",IF(Sort_IDAC!BJ14=0,0,ROUND(Sort_IDAC!BJ14,-1*INT(LOG10(Sort_IDAC!BJ14))+2)))</f>
        <v>8.9399999999999993E-16</v>
      </c>
      <c r="BK14" s="6">
        <f>IF(Sort_IDAC!$B14="","",IF(Sort_IDAC!BK14=0,0,ROUND(Sort_IDAC!BK14,-1*INT(LOG10(Sort_IDAC!BK14))+2)))</f>
        <v>6.1500000000000003E-16</v>
      </c>
      <c r="BL14" s="6">
        <f>IF(Sort_IDAC!$B14="","",IF(Sort_IDAC!BL14=0,0,ROUND(Sort_IDAC!BL14,-1*INT(LOG10(Sort_IDAC!BL14))+2)))</f>
        <v>4.7699999999999996E-16</v>
      </c>
      <c r="BM14" s="6">
        <f>IF(Sort_IDAC!$B14="","",IF(Sort_IDAC!BM14=0,0,ROUND(Sort_IDAC!BM14,-1*INT(LOG10(Sort_IDAC!BM14))+2)))</f>
        <v>4.7000000000000004E-16</v>
      </c>
      <c r="BN14" s="6">
        <f>IF(Sort_IDAC!$B14="","",IF(Sort_IDAC!BN14=0,0,ROUND(Sort_IDAC!BN14,-1*INT(LOG10(Sort_IDAC!BN14))+2)))</f>
        <v>4.7000000000000004E-16</v>
      </c>
      <c r="BO14" s="6">
        <f>IF(Sort_IDAC!$B14="","",IF(Sort_IDAC!BO14=0,0,ROUND(Sort_IDAC!BO14,-1*INT(LOG10(Sort_IDAC!BO14))+2)))</f>
        <v>1.2300000000000001E-15</v>
      </c>
      <c r="BP14" s="6">
        <f>IF(Sort_IDAC!$B14="","",IF(Sort_IDAC!BP14=0,0,ROUND(Sort_IDAC!BP14,-1*INT(LOG10(Sort_IDAC!BP14))+2)))</f>
        <v>1.2300000000000001E-15</v>
      </c>
      <c r="BQ14" s="6">
        <f>IF(Sort_IDAC!$B14="","",IF(Sort_IDAC!BQ14=0,0,ROUND(Sort_IDAC!BQ14,-1*INT(LOG10(Sort_IDAC!BQ14))+2)))</f>
        <v>0</v>
      </c>
      <c r="BR14" s="6">
        <f>IF(Sort_IDAC!$B14="","",IF(Sort_IDAC!BR14=0,0,ROUND(Sort_IDAC!BR14,-1*INT(LOG10(Sort_IDAC!BR14))+2)))</f>
        <v>1.03E-15</v>
      </c>
      <c r="BS14" s="6">
        <f>IF(Sort_IDAC!$B14="","",IF(Sort_IDAC!BS14=0,0,ROUND(Sort_IDAC!BS14,-1*INT(LOG10(Sort_IDAC!BS14))+2)))</f>
        <v>8.6499999999999995E-16</v>
      </c>
      <c r="BT14" s="6">
        <f>IF(Sort_IDAC!$B14="","",IF(Sort_IDAC!BT14=0,0,ROUND(Sort_IDAC!BT14,-1*INT(LOG10(Sort_IDAC!BT14))+2)))</f>
        <v>1.19E-15</v>
      </c>
      <c r="BU14" s="6">
        <f>IF(Sort_IDAC!$B14="","",IF(Sort_IDAC!BU14=0,0,ROUND(Sort_IDAC!BU14,-1*INT(LOG10(Sort_IDAC!BU14))+2)))</f>
        <v>1.3400000000000001E-15</v>
      </c>
      <c r="BV14" s="6">
        <f>IF(Sort_IDAC!$B14="","",IF(Sort_IDAC!BV14=0,0,ROUND(Sort_IDAC!BV14,-1*INT(LOG10(Sort_IDAC!BV14))+2)))</f>
        <v>1.1799999999999999E-14</v>
      </c>
      <c r="BW14" s="6">
        <f>IF(Sort_IDAC!$B14="","",IF(Sort_IDAC!BW14=0,0,ROUND(Sort_IDAC!BW14,-1*INT(LOG10(Sort_IDAC!BW14))+2)))</f>
        <v>4.6400000000000003E-14</v>
      </c>
      <c r="BX14" s="6">
        <f>IF(Sort_IDAC!$B14="","",IF(Sort_IDAC!BX14=0,0,ROUND(Sort_IDAC!BX14,-1*INT(LOG10(Sort_IDAC!BX14))+2)))</f>
        <v>1.7E-14</v>
      </c>
      <c r="BY14" s="6">
        <f>IF(Sort_IDAC!$B14="","",IF(Sort_IDAC!BY14=0,0,ROUND(Sort_IDAC!BY14,-1*INT(LOG10(Sort_IDAC!BY14))+2)))</f>
        <v>1.4999999999999999E-15</v>
      </c>
      <c r="BZ14" s="6">
        <f>IF(Sort_IDAC!$B14="","",IF(Sort_IDAC!BZ14=0,0,ROUND(Sort_IDAC!BZ14,-1*INT(LOG10(Sort_IDAC!BZ14))+2)))</f>
        <v>9.4800000000000002E-16</v>
      </c>
      <c r="CA14" s="6">
        <f>IF(Sort_IDAC!$B14="","",IF(Sort_IDAC!CA14=0,0,ROUND(Sort_IDAC!CA14,-1*INT(LOG10(Sort_IDAC!CA14))+2)))</f>
        <v>1.0600000000000001E-15</v>
      </c>
      <c r="CB14" s="6">
        <f>IF(Sort_IDAC!$B14="","",IF(Sort_IDAC!CB14=0,0,ROUND(Sort_IDAC!CB14,-1*INT(LOG10(Sort_IDAC!CB14))+2)))</f>
        <v>1.08E-15</v>
      </c>
      <c r="CC14" s="6">
        <f>IF(Sort_IDAC!$B14="","",IF(Sort_IDAC!CC14=0,0,ROUND(Sort_IDAC!CC14,-1*INT(LOG10(Sort_IDAC!CC14))+2)))</f>
        <v>9.0499999999999999E-15</v>
      </c>
      <c r="CD14" s="6"/>
      <c r="CE14" s="6"/>
      <c r="CF14" s="6"/>
      <c r="CG14" s="6"/>
    </row>
    <row r="15" spans="2:85" x14ac:dyDescent="0.15">
      <c r="C15" s="6" t="str">
        <f>IF(Sort_IDAC!$B15="","",IF(Sort_IDAC!C15=0,0,ROUND(Sort_IDAC!C15,-1*INT(LOG10(Sort_IDAC!C15))+2)))</f>
        <v/>
      </c>
      <c r="D15" s="6" t="str">
        <f>IF(Sort_IDAC!$B15="","",IF(Sort_IDAC!D15=0,0,ROUND(Sort_IDAC!D15,-1*INT(LOG10(Sort_IDAC!D15))+2)))</f>
        <v/>
      </c>
      <c r="E15" s="6" t="str">
        <f>IF(Sort_IDAC!$B15="","",IF(Sort_IDAC!E15=0,0,ROUND(Sort_IDAC!E15,-1*INT(LOG10(Sort_IDAC!E15))+2)))</f>
        <v/>
      </c>
      <c r="F15" s="6" t="str">
        <f>IF(Sort_IDAC!$B15="","",IF(Sort_IDAC!F15=0,0,ROUND(Sort_IDAC!F15,-1*INT(LOG10(Sort_IDAC!F15))+2)))</f>
        <v/>
      </c>
      <c r="G15" s="6" t="str">
        <f>IF(Sort_IDAC!$B15="","",IF(Sort_IDAC!G15=0,0,ROUND(Sort_IDAC!G15,-1*INT(LOG10(Sort_IDAC!G15))+2)))</f>
        <v/>
      </c>
      <c r="H15" s="6" t="str">
        <f>IF(Sort_IDAC!$B15="","",IF(Sort_IDAC!H15=0,0,ROUND(Sort_IDAC!H15,-1*INT(LOG10(Sort_IDAC!H15))+2)))</f>
        <v/>
      </c>
      <c r="I15" s="6" t="str">
        <f>IF(Sort_IDAC!$B15="","",IF(Sort_IDAC!I15=0,0,ROUND(Sort_IDAC!I15,-1*INT(LOG10(Sort_IDAC!I15))+2)))</f>
        <v/>
      </c>
      <c r="J15" s="6" t="str">
        <f>IF(Sort_IDAC!$B15="","",IF(Sort_IDAC!J15=0,0,ROUND(Sort_IDAC!J15,-1*INT(LOG10(Sort_IDAC!J15))+2)))</f>
        <v/>
      </c>
      <c r="K15" s="6" t="str">
        <f>IF(Sort_IDAC!$B15="","",IF(Sort_IDAC!K15=0,0,ROUND(Sort_IDAC!K15,-1*INT(LOG10(Sort_IDAC!K15))+2)))</f>
        <v/>
      </c>
      <c r="L15" s="6" t="str">
        <f>IF(Sort_IDAC!$B15="","",IF(Sort_IDAC!L15=0,0,ROUND(Sort_IDAC!L15,-1*INT(LOG10(Sort_IDAC!L15))+2)))</f>
        <v/>
      </c>
      <c r="M15" s="6" t="str">
        <f>IF(Sort_IDAC!$B15="","",IF(Sort_IDAC!M15=0,0,ROUND(Sort_IDAC!M15,-1*INT(LOG10(Sort_IDAC!M15))+2)))</f>
        <v/>
      </c>
      <c r="N15" s="6" t="str">
        <f>IF(Sort_IDAC!$B15="","",IF(Sort_IDAC!N15=0,0,ROUND(Sort_IDAC!N15,-1*INT(LOG10(Sort_IDAC!N15))+2)))</f>
        <v/>
      </c>
      <c r="O15" s="6" t="str">
        <f>IF(Sort_IDAC!$B15="","",IF(Sort_IDAC!O15=0,0,ROUND(Sort_IDAC!O15,-1*INT(LOG10(Sort_IDAC!O15))+2)))</f>
        <v/>
      </c>
      <c r="P15" s="6" t="str">
        <f>IF(Sort_IDAC!$B15="","",IF(Sort_IDAC!P15=0,0,ROUND(Sort_IDAC!P15,-1*INT(LOG10(Sort_IDAC!P15))+2)))</f>
        <v/>
      </c>
      <c r="Q15" s="6" t="str">
        <f>IF(Sort_IDAC!$B15="","",IF(Sort_IDAC!Q15=0,0,ROUND(Sort_IDAC!Q15,-1*INT(LOG10(Sort_IDAC!Q15))+2)))</f>
        <v/>
      </c>
      <c r="R15" s="6" t="str">
        <f>IF(Sort_IDAC!$B15="","",IF(Sort_IDAC!R15=0,0,ROUND(Sort_IDAC!R15,-1*INT(LOG10(Sort_IDAC!R15))+2)))</f>
        <v/>
      </c>
      <c r="S15" s="6" t="str">
        <f>IF(Sort_IDAC!$B15="","",IF(Sort_IDAC!S15=0,0,ROUND(Sort_IDAC!S15,-1*INT(LOG10(Sort_IDAC!S15))+2)))</f>
        <v/>
      </c>
      <c r="T15" s="6" t="str">
        <f>IF(Sort_IDAC!$B15="","",IF(Sort_IDAC!T15=0,0,ROUND(Sort_IDAC!T15,-1*INT(LOG10(Sort_IDAC!T15))+2)))</f>
        <v/>
      </c>
      <c r="U15" s="6" t="str">
        <f>IF(Sort_IDAC!$B15="","",IF(Sort_IDAC!U15=0,0,ROUND(Sort_IDAC!U15,-1*INT(LOG10(Sort_IDAC!U15))+2)))</f>
        <v/>
      </c>
      <c r="V15" s="6" t="str">
        <f>IF(Sort_IDAC!$B15="","",IF(Sort_IDAC!V15=0,0,ROUND(Sort_IDAC!V15,-1*INT(LOG10(Sort_IDAC!V15))+2)))</f>
        <v/>
      </c>
      <c r="W15" s="6" t="str">
        <f>IF(Sort_IDAC!$B15="","",IF(Sort_IDAC!W15=0,0,ROUND(Sort_IDAC!W15,-1*INT(LOG10(Sort_IDAC!W15))+2)))</f>
        <v/>
      </c>
      <c r="X15" s="6" t="str">
        <f>IF(Sort_IDAC!$B15="","",IF(Sort_IDAC!X15=0,0,ROUND(Sort_IDAC!X15,-1*INT(LOG10(Sort_IDAC!X15))+2)))</f>
        <v/>
      </c>
      <c r="Y15" s="6" t="str">
        <f>IF(Sort_IDAC!$B15="","",IF(Sort_IDAC!Y15=0,0,ROUND(Sort_IDAC!Y15,-1*INT(LOG10(Sort_IDAC!Y15))+2)))</f>
        <v/>
      </c>
      <c r="Z15" s="6" t="str">
        <f>IF(Sort_IDAC!$B15="","",IF(Sort_IDAC!Z15=0,0,ROUND(Sort_IDAC!Z15,-1*INT(LOG10(Sort_IDAC!Z15))+2)))</f>
        <v/>
      </c>
      <c r="AA15" s="6" t="str">
        <f>IF(Sort_IDAC!$B15="","",IF(Sort_IDAC!AA15=0,0,ROUND(Sort_IDAC!AA15,-1*INT(LOG10(Sort_IDAC!AA15))+2)))</f>
        <v/>
      </c>
      <c r="AB15" s="6" t="str">
        <f>IF(Sort_IDAC!$B15="","",IF(Sort_IDAC!AB15=0,0,ROUND(Sort_IDAC!AB15,-1*INT(LOG10(Sort_IDAC!AB15))+2)))</f>
        <v/>
      </c>
      <c r="AC15" s="6" t="str">
        <f>IF(Sort_IDAC!$B15="","",IF(Sort_IDAC!AC15=0,0,ROUND(Sort_IDAC!AC15,-1*INT(LOG10(Sort_IDAC!AC15))+2)))</f>
        <v/>
      </c>
      <c r="AD15" s="6" t="str">
        <f>IF(Sort_IDAC!$B15="","",IF(Sort_IDAC!AD15=0,0,ROUND(Sort_IDAC!AD15,-1*INT(LOG10(Sort_IDAC!AD15))+2)))</f>
        <v/>
      </c>
      <c r="AE15" s="6" t="str">
        <f>IF(Sort_IDAC!$B15="","",IF(Sort_IDAC!AE15=0,0,ROUND(Sort_IDAC!AE15,-1*INT(LOG10(Sort_IDAC!AE15))+2)))</f>
        <v/>
      </c>
      <c r="AF15" s="6" t="str">
        <f>IF(Sort_IDAC!$B15="","",IF(Sort_IDAC!AF15=0,0,ROUND(Sort_IDAC!AF15,-1*INT(LOG10(Sort_IDAC!AF15))+2)))</f>
        <v/>
      </c>
      <c r="AG15" s="6" t="str">
        <f>IF(Sort_IDAC!$B15="","",IF(Sort_IDAC!AG15=0,0,ROUND(Sort_IDAC!AG15,-1*INT(LOG10(Sort_IDAC!AG15))+2)))</f>
        <v/>
      </c>
      <c r="AH15" s="6" t="str">
        <f>IF(Sort_IDAC!$B15="","",IF(Sort_IDAC!AH15=0,0,ROUND(Sort_IDAC!AH15,-1*INT(LOG10(Sort_IDAC!AH15))+2)))</f>
        <v/>
      </c>
      <c r="AI15" s="6" t="str">
        <f>IF(Sort_IDAC!$B15="","",IF(Sort_IDAC!AI15=0,0,ROUND(Sort_IDAC!AI15,-1*INT(LOG10(Sort_IDAC!AI15))+2)))</f>
        <v/>
      </c>
      <c r="AJ15" s="6" t="str">
        <f>IF(Sort_IDAC!$B15="","",IF(Sort_IDAC!AJ15=0,0,ROUND(Sort_IDAC!AJ15,-1*INT(LOG10(Sort_IDAC!AJ15))+2)))</f>
        <v/>
      </c>
      <c r="AK15" s="6" t="str">
        <f>IF(Sort_IDAC!$B15="","",IF(Sort_IDAC!AK15=0,0,ROUND(Sort_IDAC!AK15,-1*INT(LOG10(Sort_IDAC!AK15))+2)))</f>
        <v/>
      </c>
      <c r="AL15" s="6" t="str">
        <f>IF(Sort_IDAC!$B15="","",IF(Sort_IDAC!AL15=0,0,ROUND(Sort_IDAC!AL15,-1*INT(LOG10(Sort_IDAC!AL15))+2)))</f>
        <v/>
      </c>
      <c r="AM15" s="6" t="str">
        <f>IF(Sort_IDAC!$B15="","",IF(Sort_IDAC!AM15=0,0,ROUND(Sort_IDAC!AM15,-1*INT(LOG10(Sort_IDAC!AM15))+2)))</f>
        <v/>
      </c>
      <c r="AN15" s="6" t="str">
        <f>IF(Sort_IDAC!$B15="","",IF(Sort_IDAC!AN15=0,0,ROUND(Sort_IDAC!AN15,-1*INT(LOG10(Sort_IDAC!AN15))+2)))</f>
        <v/>
      </c>
      <c r="AO15" s="6" t="str">
        <f>IF(Sort_IDAC!$B15="","",IF(Sort_IDAC!AO15=0,0,ROUND(Sort_IDAC!AO15,-1*INT(LOG10(Sort_IDAC!AO15))+2)))</f>
        <v/>
      </c>
      <c r="AP15" s="6" t="str">
        <f>IF(Sort_IDAC!$B15="","",IF(Sort_IDAC!AP15=0,0,ROUND(Sort_IDAC!AP15,-1*INT(LOG10(Sort_IDAC!AP15))+2)))</f>
        <v/>
      </c>
      <c r="AQ15" s="6" t="str">
        <f>IF(Sort_IDAC!$B15="","",IF(Sort_IDAC!AQ15=0,0,ROUND(Sort_IDAC!AQ15,-1*INT(LOG10(Sort_IDAC!AQ15))+2)))</f>
        <v/>
      </c>
      <c r="AR15" s="6" t="str">
        <f>IF(Sort_IDAC!$B15="","",IF(Sort_IDAC!AR15=0,0,ROUND(Sort_IDAC!AR15,-1*INT(LOG10(Sort_IDAC!AR15))+2)))</f>
        <v/>
      </c>
      <c r="AS15" s="6" t="str">
        <f>IF(Sort_IDAC!$B15="","",IF(Sort_IDAC!AS15=0,0,ROUND(Sort_IDAC!AS15,-1*INT(LOG10(Sort_IDAC!AS15))+2)))</f>
        <v/>
      </c>
      <c r="AT15" s="6" t="str">
        <f>IF(Sort_IDAC!$B15="","",IF(Sort_IDAC!AT15=0,0,ROUND(Sort_IDAC!AT15,-1*INT(LOG10(Sort_IDAC!AT15))+2)))</f>
        <v/>
      </c>
      <c r="AU15" s="6" t="str">
        <f>IF(Sort_IDAC!$B15="","",IF(Sort_IDAC!AU15=0,0,ROUND(Sort_IDAC!AU15,-1*INT(LOG10(Sort_IDAC!AU15))+2)))</f>
        <v/>
      </c>
      <c r="AV15" s="6" t="str">
        <f>IF(Sort_IDAC!$B15="","",IF(Sort_IDAC!AV15=0,0,ROUND(Sort_IDAC!AV15,-1*INT(LOG10(Sort_IDAC!AV15))+2)))</f>
        <v/>
      </c>
      <c r="AW15" s="6" t="str">
        <f>IF(Sort_IDAC!$B15="","",IF(Sort_IDAC!AW15=0,0,ROUND(Sort_IDAC!AW15,-1*INT(LOG10(Sort_IDAC!AW15))+2)))</f>
        <v/>
      </c>
      <c r="AX15" s="6" t="str">
        <f>IF(Sort_IDAC!$B15="","",IF(Sort_IDAC!AX15=0,0,ROUND(Sort_IDAC!AX15,-1*INT(LOG10(Sort_IDAC!AX15))+2)))</f>
        <v/>
      </c>
      <c r="AY15" s="6" t="str">
        <f>IF(Sort_IDAC!$B15="","",IF(Sort_IDAC!AY15=0,0,ROUND(Sort_IDAC!AY15,-1*INT(LOG10(Sort_IDAC!AY15))+2)))</f>
        <v/>
      </c>
      <c r="AZ15" s="6" t="str">
        <f>IF(Sort_IDAC!$B15="","",IF(Sort_IDAC!AZ15=0,0,ROUND(Sort_IDAC!AZ15,-1*INT(LOG10(Sort_IDAC!AZ15))+2)))</f>
        <v/>
      </c>
      <c r="BA15" s="6" t="str">
        <f>IF(Sort_IDAC!$B15="","",IF(Sort_IDAC!BA15=0,0,ROUND(Sort_IDAC!BA15,-1*INT(LOG10(Sort_IDAC!BA15))+2)))</f>
        <v/>
      </c>
      <c r="BB15" s="6" t="str">
        <f>IF(Sort_IDAC!$B15="","",IF(Sort_IDAC!BB15=0,0,ROUND(Sort_IDAC!BB15,-1*INT(LOG10(Sort_IDAC!BB15))+2)))</f>
        <v/>
      </c>
      <c r="BC15" s="6" t="str">
        <f>IF(Sort_IDAC!$B15="","",IF(Sort_IDAC!BC15=0,0,ROUND(Sort_IDAC!BC15,-1*INT(LOG10(Sort_IDAC!BC15))+2)))</f>
        <v/>
      </c>
      <c r="BD15" s="6" t="str">
        <f>IF(Sort_IDAC!$B15="","",IF(Sort_IDAC!BD15=0,0,ROUND(Sort_IDAC!BD15,-1*INT(LOG10(Sort_IDAC!BD15))+2)))</f>
        <v/>
      </c>
      <c r="BE15" s="6" t="str">
        <f>IF(Sort_IDAC!$B15="","",IF(Sort_IDAC!BE15=0,0,ROUND(Sort_IDAC!BE15,-1*INT(LOG10(Sort_IDAC!BE15))+2)))</f>
        <v/>
      </c>
      <c r="BF15" s="6" t="str">
        <f>IF(Sort_IDAC!$B15="","",IF(Sort_IDAC!BF15=0,0,ROUND(Sort_IDAC!BF15,-1*INT(LOG10(Sort_IDAC!BF15))+2)))</f>
        <v/>
      </c>
      <c r="BG15" s="6" t="str">
        <f>IF(Sort_IDAC!$B15="","",IF(Sort_IDAC!BG15=0,0,ROUND(Sort_IDAC!BG15,-1*INT(LOG10(Sort_IDAC!BG15))+2)))</f>
        <v/>
      </c>
      <c r="BH15" s="6" t="str">
        <f>IF(Sort_IDAC!$B15="","",IF(Sort_IDAC!BH15=0,0,ROUND(Sort_IDAC!BH15,-1*INT(LOG10(Sort_IDAC!BH15))+2)))</f>
        <v/>
      </c>
      <c r="BI15" s="6" t="str">
        <f>IF(Sort_IDAC!$B15="","",IF(Sort_IDAC!BI15=0,0,ROUND(Sort_IDAC!BI15,-1*INT(LOG10(Sort_IDAC!BI15))+2)))</f>
        <v/>
      </c>
      <c r="BJ15" s="6" t="str">
        <f>IF(Sort_IDAC!$B15="","",IF(Sort_IDAC!BJ15=0,0,ROUND(Sort_IDAC!BJ15,-1*INT(LOG10(Sort_IDAC!BJ15))+2)))</f>
        <v/>
      </c>
      <c r="BK15" s="6" t="str">
        <f>IF(Sort_IDAC!$B15="","",IF(Sort_IDAC!BK15=0,0,ROUND(Sort_IDAC!BK15,-1*INT(LOG10(Sort_IDAC!BK15))+2)))</f>
        <v/>
      </c>
      <c r="BL15" s="6" t="str">
        <f>IF(Sort_IDAC!$B15="","",IF(Sort_IDAC!BL15=0,0,ROUND(Sort_IDAC!BL15,-1*INT(LOG10(Sort_IDAC!BL15))+2)))</f>
        <v/>
      </c>
      <c r="BM15" s="6" t="str">
        <f>IF(Sort_IDAC!$B15="","",IF(Sort_IDAC!BM15=0,0,ROUND(Sort_IDAC!BM15,-1*INT(LOG10(Sort_IDAC!BM15))+2)))</f>
        <v/>
      </c>
      <c r="BN15" s="6" t="str">
        <f>IF(Sort_IDAC!$B15="","",IF(Sort_IDAC!BN15=0,0,ROUND(Sort_IDAC!BN15,-1*INT(LOG10(Sort_IDAC!BN15))+2)))</f>
        <v/>
      </c>
      <c r="BO15" s="6" t="str">
        <f>IF(Sort_IDAC!$B15="","",IF(Sort_IDAC!BO15=0,0,ROUND(Sort_IDAC!BO15,-1*INT(LOG10(Sort_IDAC!BO15))+2)))</f>
        <v/>
      </c>
      <c r="BP15" s="6" t="str">
        <f>IF(Sort_IDAC!$B15="","",IF(Sort_IDAC!BP15=0,0,ROUND(Sort_IDAC!BP15,-1*INT(LOG10(Sort_IDAC!BP15))+2)))</f>
        <v/>
      </c>
      <c r="BQ15" s="6" t="str">
        <f>IF(Sort_IDAC!$B15="","",IF(Sort_IDAC!BQ15=0,0,ROUND(Sort_IDAC!BQ15,-1*INT(LOG10(Sort_IDAC!BQ15))+2)))</f>
        <v/>
      </c>
      <c r="BR15" s="6" t="str">
        <f>IF(Sort_IDAC!$B15="","",IF(Sort_IDAC!BR15=0,0,ROUND(Sort_IDAC!BR15,-1*INT(LOG10(Sort_IDAC!BR15))+2)))</f>
        <v/>
      </c>
      <c r="BS15" s="6" t="str">
        <f>IF(Sort_IDAC!$B15="","",IF(Sort_IDAC!BS15=0,0,ROUND(Sort_IDAC!BS15,-1*INT(LOG10(Sort_IDAC!BS15))+2)))</f>
        <v/>
      </c>
      <c r="BT15" s="6" t="str">
        <f>IF(Sort_IDAC!$B15="","",IF(Sort_IDAC!BT15=0,0,ROUND(Sort_IDAC!BT15,-1*INT(LOG10(Sort_IDAC!BT15))+2)))</f>
        <v/>
      </c>
      <c r="BU15" s="6" t="str">
        <f>IF(Sort_IDAC!$B15="","",IF(Sort_IDAC!BU15=0,0,ROUND(Sort_IDAC!BU15,-1*INT(LOG10(Sort_IDAC!BU15))+2)))</f>
        <v/>
      </c>
      <c r="BV15" s="6" t="str">
        <f>IF(Sort_IDAC!$B15="","",IF(Sort_IDAC!BV15=0,0,ROUND(Sort_IDAC!BV15,-1*INT(LOG10(Sort_IDAC!BV15))+2)))</f>
        <v/>
      </c>
      <c r="BW15" s="6" t="str">
        <f>IF(Sort_IDAC!$B15="","",IF(Sort_IDAC!BW15=0,0,ROUND(Sort_IDAC!BW15,-1*INT(LOG10(Sort_IDAC!BW15))+2)))</f>
        <v/>
      </c>
      <c r="BX15" s="6" t="str">
        <f>IF(Sort_IDAC!$B15="","",IF(Sort_IDAC!BX15=0,0,ROUND(Sort_IDAC!BX15,-1*INT(LOG10(Sort_IDAC!BX15))+2)))</f>
        <v/>
      </c>
      <c r="BY15" s="6" t="str">
        <f>IF(Sort_IDAC!$B15="","",IF(Sort_IDAC!BY15=0,0,ROUND(Sort_IDAC!BY15,-1*INT(LOG10(Sort_IDAC!BY15))+2)))</f>
        <v/>
      </c>
      <c r="BZ15" s="6" t="str">
        <f>IF(Sort_IDAC!$B15="","",IF(Sort_IDAC!BZ15=0,0,ROUND(Sort_IDAC!BZ15,-1*INT(LOG10(Sort_IDAC!BZ15))+2)))</f>
        <v/>
      </c>
      <c r="CA15" s="6" t="str">
        <f>IF(Sort_IDAC!$B15="","",IF(Sort_IDAC!CA15=0,0,ROUND(Sort_IDAC!CA15,-1*INT(LOG10(Sort_IDAC!CA15))+2)))</f>
        <v/>
      </c>
      <c r="CB15" s="6" t="str">
        <f>IF(Sort_IDAC!$B15="","",IF(Sort_IDAC!CB15=0,0,ROUND(Sort_IDAC!CB15,-1*INT(LOG10(Sort_IDAC!CB15))+2)))</f>
        <v/>
      </c>
      <c r="CC15" s="6" t="str">
        <f>IF(Sort_IDAC!$B15="","",IF(Sort_IDAC!CC15=0,0,ROUND(Sort_IDAC!CC15,-1*INT(LOG10(Sort_IDAC!CC15))+2)))</f>
        <v/>
      </c>
      <c r="CD15" s="6"/>
      <c r="CE15" s="6"/>
      <c r="CF15" s="6"/>
      <c r="CG15" s="6"/>
    </row>
    <row r="16" spans="2:85" x14ac:dyDescent="0.15">
      <c r="B16" s="5" t="s">
        <v>8</v>
      </c>
      <c r="C16" s="6">
        <f>IF(Sort_IDAC!$B16="","",IF(Sort_IDAC!C16=0,0,ROUND(Sort_IDAC!C16,-1*INT(LOG10(Sort_IDAC!C16))+2)))</f>
        <v>7.5799999999999999E-16</v>
      </c>
      <c r="D16" s="6">
        <f>IF(Sort_IDAC!$B16="","",IF(Sort_IDAC!D16=0,0,ROUND(Sort_IDAC!D16,-1*INT(LOG10(Sort_IDAC!D16))+2)))</f>
        <v>6.4699999999999996E-17</v>
      </c>
      <c r="E16" s="6">
        <f>IF(Sort_IDAC!$B16="","",IF(Sort_IDAC!E16=0,0,ROUND(Sort_IDAC!E16,-1*INT(LOG10(Sort_IDAC!E16))+2)))</f>
        <v>3.4100000000000002E-16</v>
      </c>
      <c r="F16" s="6">
        <f>IF(Sort_IDAC!$B16="","",IF(Sort_IDAC!F16=0,0,ROUND(Sort_IDAC!F16,-1*INT(LOG10(Sort_IDAC!F16))+2)))</f>
        <v>3.76E-16</v>
      </c>
      <c r="G16" s="6">
        <f>IF(Sort_IDAC!$B16="","",IF(Sort_IDAC!G16=0,0,ROUND(Sort_IDAC!G16,-1*INT(LOG10(Sort_IDAC!G16))+2)))</f>
        <v>2.9499999999999998E-15</v>
      </c>
      <c r="H16" s="6">
        <f>IF(Sort_IDAC!$B16="","",IF(Sort_IDAC!H16=0,0,ROUND(Sort_IDAC!H16,-1*INT(LOG10(Sort_IDAC!H16))+2)))</f>
        <v>6.1500000000000003E-16</v>
      </c>
      <c r="I16" s="6">
        <f>IF(Sort_IDAC!$B16="","",IF(Sort_IDAC!I16=0,0,ROUND(Sort_IDAC!I16,-1*INT(LOG10(Sort_IDAC!I16))+2)))</f>
        <v>5.8699999999999997E-16</v>
      </c>
      <c r="J16" s="6">
        <f>IF(Sort_IDAC!$B16="","",IF(Sort_IDAC!J16=0,0,ROUND(Sort_IDAC!J16,-1*INT(LOG10(Sort_IDAC!J16))+2)))</f>
        <v>5.8699999999999997E-16</v>
      </c>
      <c r="K16" s="6">
        <f>IF(Sort_IDAC!$B16="","",IF(Sort_IDAC!K16=0,0,ROUND(Sort_IDAC!K16,-1*INT(LOG10(Sort_IDAC!K16))+2)))</f>
        <v>5.8699999999999997E-16</v>
      </c>
      <c r="L16" s="6">
        <f>IF(Sort_IDAC!$B16="","",IF(Sort_IDAC!L16=0,0,ROUND(Sort_IDAC!L16,-1*INT(LOG10(Sort_IDAC!L16))+2)))</f>
        <v>3.4100000000000002E-16</v>
      </c>
      <c r="M16" s="6">
        <f>IF(Sort_IDAC!$B16="","",IF(Sort_IDAC!M16=0,0,ROUND(Sort_IDAC!M16,-1*INT(LOG10(Sort_IDAC!M16))+2)))</f>
        <v>3.4100000000000002E-16</v>
      </c>
      <c r="N16" s="6">
        <f>IF(Sort_IDAC!$B16="","",IF(Sort_IDAC!N16=0,0,ROUND(Sort_IDAC!N16,-1*INT(LOG10(Sort_IDAC!N16))+2)))</f>
        <v>3.4100000000000002E-16</v>
      </c>
      <c r="O16" s="6">
        <f>IF(Sort_IDAC!$B16="","",IF(Sort_IDAC!O16=0,0,ROUND(Sort_IDAC!O16,-1*INT(LOG10(Sort_IDAC!O16))+2)))</f>
        <v>6.5499999999999999E-16</v>
      </c>
      <c r="P16" s="6">
        <f>IF(Sort_IDAC!$B16="","",IF(Sort_IDAC!P16=0,0,ROUND(Sort_IDAC!P16,-1*INT(LOG10(Sort_IDAC!P16))+2)))</f>
        <v>2.7600000000000001E-17</v>
      </c>
      <c r="Q16" s="6">
        <f>IF(Sort_IDAC!$B16="","",IF(Sort_IDAC!Q16=0,0,ROUND(Sort_IDAC!Q16,-1*INT(LOG10(Sort_IDAC!Q16))+2)))</f>
        <v>1.5700000000000001E-15</v>
      </c>
      <c r="R16" s="6">
        <f>IF(Sort_IDAC!$B16="","",IF(Sort_IDAC!R16=0,0,ROUND(Sort_IDAC!R16,-1*INT(LOG10(Sort_IDAC!R16))+2)))</f>
        <v>1.5700000000000001E-15</v>
      </c>
      <c r="S16" s="6">
        <f>IF(Sort_IDAC!$B16="","",IF(Sort_IDAC!S16=0,0,ROUND(Sort_IDAC!S16,-1*INT(LOG10(Sort_IDAC!S16))+2)))</f>
        <v>7.7099999999999997E-11</v>
      </c>
      <c r="T16" s="6">
        <f>IF(Sort_IDAC!$B16="","",IF(Sort_IDAC!T16=0,0,ROUND(Sort_IDAC!T16,-1*INT(LOG10(Sort_IDAC!T16))+2)))</f>
        <v>3.9799999999999996E-12</v>
      </c>
      <c r="U16" s="6">
        <f>IF(Sort_IDAC!$B16="","",IF(Sort_IDAC!U16=0,0,ROUND(Sort_IDAC!U16,-1*INT(LOG10(Sort_IDAC!U16))+2)))</f>
        <v>1.1200000000000001E-14</v>
      </c>
      <c r="V16" s="6">
        <f>IF(Sort_IDAC!$B16="","",IF(Sort_IDAC!V16=0,0,ROUND(Sort_IDAC!V16,-1*INT(LOG10(Sort_IDAC!V16))+2)))</f>
        <v>1.1200000000000001E-14</v>
      </c>
      <c r="W16" s="6">
        <f>IF(Sort_IDAC!$B16="","",IF(Sort_IDAC!W16=0,0,ROUND(Sort_IDAC!W16,-1*INT(LOG10(Sort_IDAC!W16))+2)))</f>
        <v>1.1200000000000001E-14</v>
      </c>
      <c r="X16" s="6">
        <f>IF(Sort_IDAC!$B16="","",IF(Sort_IDAC!X16=0,0,ROUND(Sort_IDAC!X16,-1*INT(LOG10(Sort_IDAC!X16))+2)))</f>
        <v>1.1200000000000001E-14</v>
      </c>
      <c r="Y16" s="6">
        <f>IF(Sort_IDAC!$B16="","",IF(Sort_IDAC!Y16=0,0,ROUND(Sort_IDAC!Y16,-1*INT(LOG10(Sort_IDAC!Y16))+2)))</f>
        <v>2.6200000000000001E-14</v>
      </c>
      <c r="Z16" s="6">
        <f>IF(Sort_IDAC!$B16="","",IF(Sort_IDAC!Z16=0,0,ROUND(Sort_IDAC!Z16,-1*INT(LOG10(Sort_IDAC!Z16))+2)))</f>
        <v>8.9399999999999996E-17</v>
      </c>
      <c r="AA16" s="6">
        <f>IF(Sort_IDAC!$B16="","",IF(Sort_IDAC!AA16=0,0,ROUND(Sort_IDAC!AA16,-1*INT(LOG10(Sort_IDAC!AA16))+2)))</f>
        <v>1.01E-16</v>
      </c>
      <c r="AB16" s="6">
        <f>IF(Sort_IDAC!$B16="","",IF(Sort_IDAC!AB16=0,0,ROUND(Sort_IDAC!AB16,-1*INT(LOG10(Sort_IDAC!AB16))+2)))</f>
        <v>2.9200000000000001E-16</v>
      </c>
      <c r="AC16" s="6">
        <f>IF(Sort_IDAC!$B16="","",IF(Sort_IDAC!AC16=0,0,ROUND(Sort_IDAC!AC16,-1*INT(LOG10(Sort_IDAC!AC16))+2)))</f>
        <v>4.8599999999999997E-17</v>
      </c>
      <c r="AD16" s="6">
        <f>IF(Sort_IDAC!$B16="","",IF(Sort_IDAC!AD16=0,0,ROUND(Sort_IDAC!AD16,-1*INT(LOG10(Sort_IDAC!AD16))+2)))</f>
        <v>1.6600000000000001E-17</v>
      </c>
      <c r="AE16" s="6">
        <f>IF(Sort_IDAC!$B16="","",IF(Sort_IDAC!AE16=0,0,ROUND(Sort_IDAC!AE16,-1*INT(LOG10(Sort_IDAC!AE16))+2)))</f>
        <v>2.0399999999999999E-17</v>
      </c>
      <c r="AF16" s="6">
        <f>IF(Sort_IDAC!$B16="","",IF(Sort_IDAC!AF16=0,0,ROUND(Sort_IDAC!AF16,-1*INT(LOG10(Sort_IDAC!AF16))+2)))</f>
        <v>2.0399999999999999E-17</v>
      </c>
      <c r="AG16" s="6">
        <f>IF(Sort_IDAC!$B16="","",IF(Sort_IDAC!AG16=0,0,ROUND(Sort_IDAC!AG16,-1*INT(LOG10(Sort_IDAC!AG16))+2)))</f>
        <v>1.14E-16</v>
      </c>
      <c r="AH16" s="6">
        <f>IF(Sort_IDAC!$B16="","",IF(Sort_IDAC!AH16=0,0,ROUND(Sort_IDAC!AH16,-1*INT(LOG10(Sort_IDAC!AH16))+2)))</f>
        <v>3.49E-16</v>
      </c>
      <c r="AI16" s="6">
        <f>IF(Sort_IDAC!$B16="","",IF(Sort_IDAC!AI16=0,0,ROUND(Sort_IDAC!AI16,-1*INT(LOG10(Sort_IDAC!AI16))+2)))</f>
        <v>3.0799999999999998E-16</v>
      </c>
      <c r="AJ16" s="6">
        <f>IF(Sort_IDAC!$B16="","",IF(Sort_IDAC!AJ16=0,0,ROUND(Sort_IDAC!AJ16,-1*INT(LOG10(Sort_IDAC!AJ16))+2)))</f>
        <v>3.91E-15</v>
      </c>
      <c r="AK16" s="6">
        <f>IF(Sort_IDAC!$B16="","",IF(Sort_IDAC!AK16=0,0,ROUND(Sort_IDAC!AK16,-1*INT(LOG10(Sort_IDAC!AK16))+2)))</f>
        <v>2.46E-16</v>
      </c>
      <c r="AL16" s="6">
        <f>IF(Sort_IDAC!$B16="","",IF(Sort_IDAC!AL16=0,0,ROUND(Sort_IDAC!AL16,-1*INT(LOG10(Sort_IDAC!AL16))+2)))</f>
        <v>6.6200000000000001E-16</v>
      </c>
      <c r="AM16" s="6">
        <f>IF(Sort_IDAC!$B16="","",IF(Sort_IDAC!AM16=0,0,ROUND(Sort_IDAC!AM16,-1*INT(LOG10(Sort_IDAC!AM16))+2)))</f>
        <v>2.1499999999999999E-16</v>
      </c>
      <c r="AN16" s="6">
        <f>IF(Sort_IDAC!$B16="","",IF(Sort_IDAC!AN16=0,0,ROUND(Sort_IDAC!AN16,-1*INT(LOG10(Sort_IDAC!AN16))+2)))</f>
        <v>5.8099999999999997E-16</v>
      </c>
      <c r="AO16" s="6">
        <f>IF(Sort_IDAC!$B16="","",IF(Sort_IDAC!AO16=0,0,ROUND(Sort_IDAC!AO16,-1*INT(LOG10(Sort_IDAC!AO16))+2)))</f>
        <v>5.8099999999999997E-16</v>
      </c>
      <c r="AP16" s="6">
        <f>IF(Sort_IDAC!$B16="","",IF(Sort_IDAC!AP16=0,0,ROUND(Sort_IDAC!AP16,-1*INT(LOG10(Sort_IDAC!AP16))+2)))</f>
        <v>5.8099999999999997E-16</v>
      </c>
      <c r="AQ16" s="6">
        <f>IF(Sort_IDAC!$B16="","",IF(Sort_IDAC!AQ16=0,0,ROUND(Sort_IDAC!AQ16,-1*INT(LOG10(Sort_IDAC!AQ16))+2)))</f>
        <v>1.6700000000000001E-14</v>
      </c>
      <c r="AR16" s="6">
        <f>IF(Sort_IDAC!$B16="","",IF(Sort_IDAC!AR16=0,0,ROUND(Sort_IDAC!AR16,-1*INT(LOG10(Sort_IDAC!AR16))+2)))</f>
        <v>1.6700000000000001E-14</v>
      </c>
      <c r="AS16" s="6">
        <f>IF(Sort_IDAC!$B16="","",IF(Sort_IDAC!AS16=0,0,ROUND(Sort_IDAC!AS16,-1*INT(LOG10(Sort_IDAC!AS16))+2)))</f>
        <v>2.5499999999999999E-18</v>
      </c>
      <c r="AT16" s="6">
        <f>IF(Sort_IDAC!$B16="","",IF(Sort_IDAC!AT16=0,0,ROUND(Sort_IDAC!AT16,-1*INT(LOG10(Sort_IDAC!AT16))+2)))</f>
        <v>6.2400000000000001E-17</v>
      </c>
      <c r="AU16" s="6">
        <f>IF(Sort_IDAC!$B16="","",IF(Sort_IDAC!AU16=0,0,ROUND(Sort_IDAC!AU16,-1*INT(LOG10(Sort_IDAC!AU16))+2)))</f>
        <v>4.8999999999999999E-15</v>
      </c>
      <c r="AV16" s="6">
        <f>IF(Sort_IDAC!$B16="","",IF(Sort_IDAC!AV16=0,0,ROUND(Sort_IDAC!AV16,-1*INT(LOG10(Sort_IDAC!AV16))+2)))</f>
        <v>0</v>
      </c>
      <c r="AW16" s="6">
        <f>IF(Sort_IDAC!$B16="","",IF(Sort_IDAC!AW16=0,0,ROUND(Sort_IDAC!AW16,-1*INT(LOG10(Sort_IDAC!AW16))+2)))</f>
        <v>2.2100000000000002E-18</v>
      </c>
      <c r="AX16" s="6">
        <f>IF(Sort_IDAC!$B16="","",IF(Sort_IDAC!AX16=0,0,ROUND(Sort_IDAC!AX16,-1*INT(LOG10(Sort_IDAC!AX16))+2)))</f>
        <v>4.2900000000000003E-18</v>
      </c>
      <c r="AY16" s="6">
        <f>IF(Sort_IDAC!$B16="","",IF(Sort_IDAC!AY16=0,0,ROUND(Sort_IDAC!AY16,-1*INT(LOG10(Sort_IDAC!AY16))+2)))</f>
        <v>4.2900000000000003E-18</v>
      </c>
      <c r="AZ16" s="6">
        <f>IF(Sort_IDAC!$B16="","",IF(Sort_IDAC!AZ16=0,0,ROUND(Sort_IDAC!AZ16,-1*INT(LOG10(Sort_IDAC!AZ16))+2)))</f>
        <v>6.1799999999999998E-16</v>
      </c>
      <c r="BA16" s="6">
        <f>IF(Sort_IDAC!$B16="","",IF(Sort_IDAC!BA16=0,0,ROUND(Sort_IDAC!BA16,-1*INT(LOG10(Sort_IDAC!BA16))+2)))</f>
        <v>4.3800000000000002E-16</v>
      </c>
      <c r="BB16" s="6">
        <f>IF(Sort_IDAC!$B16="","",IF(Sort_IDAC!BB16=0,0,ROUND(Sort_IDAC!BB16,-1*INT(LOG10(Sort_IDAC!BB16))+2)))</f>
        <v>2.0999999999999999E-17</v>
      </c>
      <c r="BC16" s="6">
        <f>IF(Sort_IDAC!$B16="","",IF(Sort_IDAC!BC16=0,0,ROUND(Sort_IDAC!BC16,-1*INT(LOG10(Sort_IDAC!BC16))+2)))</f>
        <v>2.1800000000000001E-17</v>
      </c>
      <c r="BD16" s="6">
        <f>IF(Sort_IDAC!$B16="","",IF(Sort_IDAC!BD16=0,0,ROUND(Sort_IDAC!BD16,-1*INT(LOG10(Sort_IDAC!BD16))+2)))</f>
        <v>2.1800000000000001E-17</v>
      </c>
      <c r="BE16" s="6">
        <f>IF(Sort_IDAC!$B16="","",IF(Sort_IDAC!BE16=0,0,ROUND(Sort_IDAC!BE16,-1*INT(LOG10(Sort_IDAC!BE16))+2)))</f>
        <v>3.5500000000000001E-15</v>
      </c>
      <c r="BF16" s="6">
        <f>IF(Sort_IDAC!$B16="","",IF(Sort_IDAC!BF16=0,0,ROUND(Sort_IDAC!BF16,-1*INT(LOG10(Sort_IDAC!BF16))+2)))</f>
        <v>5.4800000000000003E-16</v>
      </c>
      <c r="BG16" s="6">
        <f>IF(Sort_IDAC!$B16="","",IF(Sort_IDAC!BG16=0,0,ROUND(Sort_IDAC!BG16,-1*INT(LOG10(Sort_IDAC!BG16))+2)))</f>
        <v>2.3399999999999999E-17</v>
      </c>
      <c r="BH16" s="6">
        <f>IF(Sort_IDAC!$B16="","",IF(Sort_IDAC!BH16=0,0,ROUND(Sort_IDAC!BH16,-1*INT(LOG10(Sort_IDAC!BH16))+2)))</f>
        <v>2.4500000000000001E-17</v>
      </c>
      <c r="BI16" s="6">
        <f>IF(Sort_IDAC!$B16="","",IF(Sort_IDAC!BI16=0,0,ROUND(Sort_IDAC!BI16,-1*INT(LOG10(Sort_IDAC!BI16))+2)))</f>
        <v>2.4500000000000001E-17</v>
      </c>
      <c r="BJ16" s="6">
        <f>IF(Sort_IDAC!$B16="","",IF(Sort_IDAC!BJ16=0,0,ROUND(Sort_IDAC!BJ16,-1*INT(LOG10(Sort_IDAC!BJ16))+2)))</f>
        <v>2.4500000000000001E-17</v>
      </c>
      <c r="BK16" s="6">
        <f>IF(Sort_IDAC!$B16="","",IF(Sort_IDAC!BK16=0,0,ROUND(Sort_IDAC!BK16,-1*INT(LOG10(Sort_IDAC!BK16))+2)))</f>
        <v>8.8700000000000004E-17</v>
      </c>
      <c r="BL16" s="6">
        <f>IF(Sort_IDAC!$B16="","",IF(Sort_IDAC!BL16=0,0,ROUND(Sort_IDAC!BL16,-1*INT(LOG10(Sort_IDAC!BL16))+2)))</f>
        <v>9.9800000000000002E-17</v>
      </c>
      <c r="BM16" s="6">
        <f>IF(Sort_IDAC!$B16="","",IF(Sort_IDAC!BM16=0,0,ROUND(Sort_IDAC!BM16,-1*INT(LOG10(Sort_IDAC!BM16))+2)))</f>
        <v>9.3999999999999999E-17</v>
      </c>
      <c r="BN16" s="6">
        <f>IF(Sort_IDAC!$B16="","",IF(Sort_IDAC!BN16=0,0,ROUND(Sort_IDAC!BN16,-1*INT(LOG10(Sort_IDAC!BN16))+2)))</f>
        <v>9.3999999999999999E-17</v>
      </c>
      <c r="BO16" s="6">
        <f>IF(Sort_IDAC!$B16="","",IF(Sort_IDAC!BO16=0,0,ROUND(Sort_IDAC!BO16,-1*INT(LOG10(Sort_IDAC!BO16))+2)))</f>
        <v>2.2499999999999999E-14</v>
      </c>
      <c r="BP16" s="6">
        <f>IF(Sort_IDAC!$B16="","",IF(Sort_IDAC!BP16=0,0,ROUND(Sort_IDAC!BP16,-1*INT(LOG10(Sort_IDAC!BP16))+2)))</f>
        <v>2.2499999999999999E-14</v>
      </c>
      <c r="BQ16" s="6">
        <f>IF(Sort_IDAC!$B16="","",IF(Sort_IDAC!BQ16=0,0,ROUND(Sort_IDAC!BQ16,-1*INT(LOG10(Sort_IDAC!BQ16))+2)))</f>
        <v>0</v>
      </c>
      <c r="BR16" s="6">
        <f>IF(Sort_IDAC!$B16="","",IF(Sort_IDAC!BR16=0,0,ROUND(Sort_IDAC!BR16,-1*INT(LOG10(Sort_IDAC!BR16))+2)))</f>
        <v>7.1300000000000005E-16</v>
      </c>
      <c r="BS16" s="6">
        <f>IF(Sort_IDAC!$B16="","",IF(Sort_IDAC!BS16=0,0,ROUND(Sort_IDAC!BS16,-1*INT(LOG10(Sort_IDAC!BS16))+2)))</f>
        <v>1.14E-15</v>
      </c>
      <c r="BT16" s="6">
        <f>IF(Sort_IDAC!$B16="","",IF(Sort_IDAC!BT16=0,0,ROUND(Sort_IDAC!BT16,-1*INT(LOG10(Sort_IDAC!BT16))+2)))</f>
        <v>1.24E-14</v>
      </c>
      <c r="BU16" s="6">
        <f>IF(Sort_IDAC!$B16="","",IF(Sort_IDAC!BU16=0,0,ROUND(Sort_IDAC!BU16,-1*INT(LOG10(Sort_IDAC!BU16))+2)))</f>
        <v>8.5899999999999996E-15</v>
      </c>
      <c r="BV16" s="6">
        <f>IF(Sort_IDAC!$B16="","",IF(Sort_IDAC!BV16=0,0,ROUND(Sort_IDAC!BV16,-1*INT(LOG10(Sort_IDAC!BV16))+2)))</f>
        <v>4.7699999999999996E-16</v>
      </c>
      <c r="BW16" s="6">
        <f>IF(Sort_IDAC!$B16="","",IF(Sort_IDAC!BW16=0,0,ROUND(Sort_IDAC!BW16,-1*INT(LOG10(Sort_IDAC!BW16))+2)))</f>
        <v>1.13E-15</v>
      </c>
      <c r="BX16" s="6">
        <f>IF(Sort_IDAC!$B16="","",IF(Sort_IDAC!BX16=0,0,ROUND(Sort_IDAC!BX16,-1*INT(LOG10(Sort_IDAC!BX16))+2)))</f>
        <v>1.13E-15</v>
      </c>
      <c r="BY16" s="6">
        <f>IF(Sort_IDAC!$B16="","",IF(Sort_IDAC!BY16=0,0,ROUND(Sort_IDAC!BY16,-1*INT(LOG10(Sort_IDAC!BY16))+2)))</f>
        <v>1.6300000000000001E-17</v>
      </c>
      <c r="BZ16" s="6">
        <f>IF(Sort_IDAC!$B16="","",IF(Sort_IDAC!BZ16=0,0,ROUND(Sort_IDAC!BZ16,-1*INT(LOG10(Sort_IDAC!BZ16))+2)))</f>
        <v>7.3799999999999992E-18</v>
      </c>
      <c r="CA16" s="6">
        <f>IF(Sort_IDAC!$B16="","",IF(Sort_IDAC!CA16=0,0,ROUND(Sort_IDAC!CA16,-1*INT(LOG10(Sort_IDAC!CA16))+2)))</f>
        <v>7.6500000000000001E-18</v>
      </c>
      <c r="CB16" s="6">
        <f>IF(Sort_IDAC!$B16="","",IF(Sort_IDAC!CB16=0,0,ROUND(Sort_IDAC!CB16,-1*INT(LOG10(Sort_IDAC!CB16))+2)))</f>
        <v>4.9599999999999998E-18</v>
      </c>
      <c r="CC16" s="6">
        <f>IF(Sort_IDAC!$B16="","",IF(Sort_IDAC!CC16=0,0,ROUND(Sort_IDAC!CC16,-1*INT(LOG10(Sort_IDAC!CC16))+2)))</f>
        <v>3.9099999999999999E-16</v>
      </c>
      <c r="CD16" s="6"/>
      <c r="CE16" s="6"/>
      <c r="CF16" s="6"/>
      <c r="CG16" s="6"/>
    </row>
    <row r="17" spans="2:85" x14ac:dyDescent="0.15">
      <c r="B17" s="5" t="s">
        <v>9</v>
      </c>
      <c r="C17" s="6">
        <f>IF(Sort_IDAC!$B17="","",IF(Sort_IDAC!C17=0,0,ROUND(Sort_IDAC!C17,-1*INT(LOG10(Sort_IDAC!C17))+2)))</f>
        <v>6.4600000000000004E-16</v>
      </c>
      <c r="D17" s="6">
        <f>IF(Sort_IDAC!$B17="","",IF(Sort_IDAC!D17=0,0,ROUND(Sort_IDAC!D17,-1*INT(LOG10(Sort_IDAC!D17))+2)))</f>
        <v>9.3299999999999995E-17</v>
      </c>
      <c r="E17" s="6">
        <f>IF(Sort_IDAC!$B17="","",IF(Sort_IDAC!E17=0,0,ROUND(Sort_IDAC!E17,-1*INT(LOG10(Sort_IDAC!E17))+2)))</f>
        <v>6.1799999999999998E-16</v>
      </c>
      <c r="F17" s="6">
        <f>IF(Sort_IDAC!$B17="","",IF(Sort_IDAC!F17=0,0,ROUND(Sort_IDAC!F17,-1*INT(LOG10(Sort_IDAC!F17))+2)))</f>
        <v>4.5600000000000001E-16</v>
      </c>
      <c r="G17" s="6">
        <f>IF(Sort_IDAC!$B17="","",IF(Sort_IDAC!G17=0,0,ROUND(Sort_IDAC!G17,-1*INT(LOG10(Sort_IDAC!G17))+2)))</f>
        <v>4.4699999999999997E-15</v>
      </c>
      <c r="H17" s="6">
        <f>IF(Sort_IDAC!$B17="","",IF(Sort_IDAC!H17=0,0,ROUND(Sort_IDAC!H17,-1*INT(LOG10(Sort_IDAC!H17))+2)))</f>
        <v>5.7800000000000002E-16</v>
      </c>
      <c r="I17" s="6">
        <f>IF(Sort_IDAC!$B17="","",IF(Sort_IDAC!I17=0,0,ROUND(Sort_IDAC!I17,-1*INT(LOG10(Sort_IDAC!I17))+2)))</f>
        <v>6.7099999999999998E-15</v>
      </c>
      <c r="J17" s="6">
        <f>IF(Sort_IDAC!$B17="","",IF(Sort_IDAC!J17=0,0,ROUND(Sort_IDAC!J17,-1*INT(LOG10(Sort_IDAC!J17))+2)))</f>
        <v>6.7099999999999998E-15</v>
      </c>
      <c r="K17" s="6">
        <f>IF(Sort_IDAC!$B17="","",IF(Sort_IDAC!K17=0,0,ROUND(Sort_IDAC!K17,-1*INT(LOG10(Sort_IDAC!K17))+2)))</f>
        <v>6.7099999999999998E-15</v>
      </c>
      <c r="L17" s="6">
        <f>IF(Sort_IDAC!$B17="","",IF(Sort_IDAC!L17=0,0,ROUND(Sort_IDAC!L17,-1*INT(LOG10(Sort_IDAC!L17))+2)))</f>
        <v>6.1799999999999998E-16</v>
      </c>
      <c r="M17" s="6">
        <f>IF(Sort_IDAC!$B17="","",IF(Sort_IDAC!M17=0,0,ROUND(Sort_IDAC!M17,-1*INT(LOG10(Sort_IDAC!M17))+2)))</f>
        <v>6.1799999999999998E-16</v>
      </c>
      <c r="N17" s="6">
        <f>IF(Sort_IDAC!$B17="","",IF(Sort_IDAC!N17=0,0,ROUND(Sort_IDAC!N17,-1*INT(LOG10(Sort_IDAC!N17))+2)))</f>
        <v>6.1799999999999998E-16</v>
      </c>
      <c r="O17" s="6">
        <f>IF(Sort_IDAC!$B17="","",IF(Sort_IDAC!O17=0,0,ROUND(Sort_IDAC!O17,-1*INT(LOG10(Sort_IDAC!O17))+2)))</f>
        <v>3.7499999999999998E-15</v>
      </c>
      <c r="P17" s="6">
        <f>IF(Sort_IDAC!$B17="","",IF(Sort_IDAC!P17=0,0,ROUND(Sort_IDAC!P17,-1*INT(LOG10(Sort_IDAC!P17))+2)))</f>
        <v>3.4899999999999998E-17</v>
      </c>
      <c r="Q17" s="6">
        <f>IF(Sort_IDAC!$B17="","",IF(Sort_IDAC!Q17=0,0,ROUND(Sort_IDAC!Q17,-1*INT(LOG10(Sort_IDAC!Q17))+2)))</f>
        <v>1.8500000000000001E-15</v>
      </c>
      <c r="R17" s="6">
        <f>IF(Sort_IDAC!$B17="","",IF(Sort_IDAC!R17=0,0,ROUND(Sort_IDAC!R17,-1*INT(LOG10(Sort_IDAC!R17))+2)))</f>
        <v>1.8500000000000001E-15</v>
      </c>
      <c r="S17" s="6">
        <f>IF(Sort_IDAC!$B17="","",IF(Sort_IDAC!S17=0,0,ROUND(Sort_IDAC!S17,-1*INT(LOG10(Sort_IDAC!S17))+2)))</f>
        <v>1.11E-14</v>
      </c>
      <c r="T17" s="6">
        <f>IF(Sort_IDAC!$B17="","",IF(Sort_IDAC!T17=0,0,ROUND(Sort_IDAC!T17,-1*INT(LOG10(Sort_IDAC!T17))+2)))</f>
        <v>1.1200000000000001E-14</v>
      </c>
      <c r="U17" s="6">
        <f>IF(Sort_IDAC!$B17="","",IF(Sort_IDAC!U17=0,0,ROUND(Sort_IDAC!U17,-1*INT(LOG10(Sort_IDAC!U17))+2)))</f>
        <v>3.9899999999999998E-12</v>
      </c>
      <c r="V17" s="6">
        <f>IF(Sort_IDAC!$B17="","",IF(Sort_IDAC!V17=0,0,ROUND(Sort_IDAC!V17,-1*INT(LOG10(Sort_IDAC!V17))+2)))</f>
        <v>3.6600000000000002E-12</v>
      </c>
      <c r="W17" s="6">
        <f>IF(Sort_IDAC!$B17="","",IF(Sort_IDAC!W17=0,0,ROUND(Sort_IDAC!W17,-1*INT(LOG10(Sort_IDAC!W17))+2)))</f>
        <v>2.5499999999999998E-12</v>
      </c>
      <c r="X17" s="6">
        <f>IF(Sort_IDAC!$B17="","",IF(Sort_IDAC!X17=0,0,ROUND(Sort_IDAC!X17,-1*INT(LOG10(Sort_IDAC!X17))+2)))</f>
        <v>3.9799999999999996E-12</v>
      </c>
      <c r="Y17" s="6">
        <f>IF(Sort_IDAC!$B17="","",IF(Sort_IDAC!Y17=0,0,ROUND(Sort_IDAC!Y17,-1*INT(LOG10(Sort_IDAC!Y17))+2)))</f>
        <v>6.1999999999999998E-15</v>
      </c>
      <c r="Z17" s="6">
        <f>IF(Sort_IDAC!$B17="","",IF(Sort_IDAC!Z17=0,0,ROUND(Sort_IDAC!Z17,-1*INT(LOG10(Sort_IDAC!Z17))+2)))</f>
        <v>9.4799999999999995E-17</v>
      </c>
      <c r="AA17" s="6">
        <f>IF(Sort_IDAC!$B17="","",IF(Sort_IDAC!AA17=0,0,ROUND(Sort_IDAC!AA17,-1*INT(LOG10(Sort_IDAC!AA17))+2)))</f>
        <v>8.8100000000000004E-17</v>
      </c>
      <c r="AB17" s="6">
        <f>IF(Sort_IDAC!$B17="","",IF(Sort_IDAC!AB17=0,0,ROUND(Sort_IDAC!AB17,-1*INT(LOG10(Sort_IDAC!AB17))+2)))</f>
        <v>4.61E-16</v>
      </c>
      <c r="AC17" s="6">
        <f>IF(Sort_IDAC!$B17="","",IF(Sort_IDAC!AC17=0,0,ROUND(Sort_IDAC!AC17,-1*INT(LOG10(Sort_IDAC!AC17))+2)))</f>
        <v>5.4900000000000002E-17</v>
      </c>
      <c r="AD17" s="6">
        <f>IF(Sort_IDAC!$B17="","",IF(Sort_IDAC!AD17=0,0,ROUND(Sort_IDAC!AD17,-1*INT(LOG10(Sort_IDAC!AD17))+2)))</f>
        <v>1.2299999999999999E-17</v>
      </c>
      <c r="AE17" s="6">
        <f>IF(Sort_IDAC!$B17="","",IF(Sort_IDAC!AE17=0,0,ROUND(Sort_IDAC!AE17,-1*INT(LOG10(Sort_IDAC!AE17))+2)))</f>
        <v>1.33E-17</v>
      </c>
      <c r="AF17" s="6">
        <f>IF(Sort_IDAC!$B17="","",IF(Sort_IDAC!AF17=0,0,ROUND(Sort_IDAC!AF17,-1*INT(LOG10(Sort_IDAC!AF17))+2)))</f>
        <v>1.33E-17</v>
      </c>
      <c r="AG17" s="6">
        <f>IF(Sort_IDAC!$B17="","",IF(Sort_IDAC!AG17=0,0,ROUND(Sort_IDAC!AG17,-1*INT(LOG10(Sort_IDAC!AG17))+2)))</f>
        <v>1.3899999999999999E-16</v>
      </c>
      <c r="AH17" s="6">
        <f>IF(Sort_IDAC!$B17="","",IF(Sort_IDAC!AH17=0,0,ROUND(Sort_IDAC!AH17,-1*INT(LOG10(Sort_IDAC!AH17))+2)))</f>
        <v>8.2100000000000003E-16</v>
      </c>
      <c r="AI17" s="6">
        <f>IF(Sort_IDAC!$B17="","",IF(Sort_IDAC!AI17=0,0,ROUND(Sort_IDAC!AI17,-1*INT(LOG10(Sort_IDAC!AI17))+2)))</f>
        <v>6.2000000000000002E-16</v>
      </c>
      <c r="AJ17" s="6">
        <f>IF(Sort_IDAC!$B17="","",IF(Sort_IDAC!AJ17=0,0,ROUND(Sort_IDAC!AJ17,-1*INT(LOG10(Sort_IDAC!AJ17))+2)))</f>
        <v>7.5399999999999999E-14</v>
      </c>
      <c r="AK17" s="6">
        <f>IF(Sort_IDAC!$B17="","",IF(Sort_IDAC!AK17=0,0,ROUND(Sort_IDAC!AK17,-1*INT(LOG10(Sort_IDAC!AK17))+2)))</f>
        <v>8.7899999999999999E-16</v>
      </c>
      <c r="AL17" s="6">
        <f>IF(Sort_IDAC!$B17="","",IF(Sort_IDAC!AL17=0,0,ROUND(Sort_IDAC!AL17,-1*INT(LOG10(Sort_IDAC!AL17))+2)))</f>
        <v>9.1100000000000001E-15</v>
      </c>
      <c r="AM17" s="6">
        <f>IF(Sort_IDAC!$B17="","",IF(Sort_IDAC!AM17=0,0,ROUND(Sort_IDAC!AM17,-1*INT(LOG10(Sort_IDAC!AM17))+2)))</f>
        <v>6.0599999999999999E-16</v>
      </c>
      <c r="AN17" s="6">
        <f>IF(Sort_IDAC!$B17="","",IF(Sort_IDAC!AN17=0,0,ROUND(Sort_IDAC!AN17,-1*INT(LOG10(Sort_IDAC!AN17))+2)))</f>
        <v>6.7900000000000003E-15</v>
      </c>
      <c r="AO17" s="6">
        <f>IF(Sort_IDAC!$B17="","",IF(Sort_IDAC!AO17=0,0,ROUND(Sort_IDAC!AO17,-1*INT(LOG10(Sort_IDAC!AO17))+2)))</f>
        <v>6.7900000000000003E-15</v>
      </c>
      <c r="AP17" s="6">
        <f>IF(Sort_IDAC!$B17="","",IF(Sort_IDAC!AP17=0,0,ROUND(Sort_IDAC!AP17,-1*INT(LOG10(Sort_IDAC!AP17))+2)))</f>
        <v>6.7900000000000003E-15</v>
      </c>
      <c r="AQ17" s="6">
        <f>IF(Sort_IDAC!$B17="","",IF(Sort_IDAC!AQ17=0,0,ROUND(Sort_IDAC!AQ17,-1*INT(LOG10(Sort_IDAC!AQ17))+2)))</f>
        <v>3.6899999999999999E-14</v>
      </c>
      <c r="AR17" s="6">
        <f>IF(Sort_IDAC!$B17="","",IF(Sort_IDAC!AR17=0,0,ROUND(Sort_IDAC!AR17,-1*INT(LOG10(Sort_IDAC!AR17))+2)))</f>
        <v>3.6899999999999999E-14</v>
      </c>
      <c r="AS17" s="6">
        <f>IF(Sort_IDAC!$B17="","",IF(Sort_IDAC!AS17=0,0,ROUND(Sort_IDAC!AS17,-1*INT(LOG10(Sort_IDAC!AS17))+2)))</f>
        <v>2.5599999999999999E-18</v>
      </c>
      <c r="AT17" s="6">
        <f>IF(Sort_IDAC!$B17="","",IF(Sort_IDAC!AT17=0,0,ROUND(Sort_IDAC!AT17,-1*INT(LOG10(Sort_IDAC!AT17))+2)))</f>
        <v>6.2700000000000001E-17</v>
      </c>
      <c r="AU17" s="6">
        <f>IF(Sort_IDAC!$B17="","",IF(Sort_IDAC!AU17=0,0,ROUND(Sort_IDAC!AU17,-1*INT(LOG10(Sort_IDAC!AU17))+2)))</f>
        <v>2.0100000000000001E-14</v>
      </c>
      <c r="AV17" s="6">
        <f>IF(Sort_IDAC!$B17="","",IF(Sort_IDAC!AV17=0,0,ROUND(Sort_IDAC!AV17,-1*INT(LOG10(Sort_IDAC!AV17))+2)))</f>
        <v>0</v>
      </c>
      <c r="AW17" s="6">
        <f>IF(Sort_IDAC!$B17="","",IF(Sort_IDAC!AW17=0,0,ROUND(Sort_IDAC!AW17,-1*INT(LOG10(Sort_IDAC!AW17))+2)))</f>
        <v>2.6500000000000002E-18</v>
      </c>
      <c r="AX17" s="6">
        <f>IF(Sort_IDAC!$B17="","",IF(Sort_IDAC!AX17=0,0,ROUND(Sort_IDAC!AX17,-1*INT(LOG10(Sort_IDAC!AX17))+2)))</f>
        <v>2.75E-18</v>
      </c>
      <c r="AY17" s="6">
        <f>IF(Sort_IDAC!$B17="","",IF(Sort_IDAC!AY17=0,0,ROUND(Sort_IDAC!AY17,-1*INT(LOG10(Sort_IDAC!AY17))+2)))</f>
        <v>2.75E-18</v>
      </c>
      <c r="AZ17" s="6">
        <f>IF(Sort_IDAC!$B17="","",IF(Sort_IDAC!AZ17=0,0,ROUND(Sort_IDAC!AZ17,-1*INT(LOG10(Sort_IDAC!AZ17))+2)))</f>
        <v>1.7E-15</v>
      </c>
      <c r="BA17" s="6">
        <f>IF(Sort_IDAC!$B17="","",IF(Sort_IDAC!BA17=0,0,ROUND(Sort_IDAC!BA17,-1*INT(LOG10(Sort_IDAC!BA17))+2)))</f>
        <v>2.6600000000000002E-14</v>
      </c>
      <c r="BB17" s="6">
        <f>IF(Sort_IDAC!$B17="","",IF(Sort_IDAC!BB17=0,0,ROUND(Sort_IDAC!BB17,-1*INT(LOG10(Sort_IDAC!BB17))+2)))</f>
        <v>2.14E-17</v>
      </c>
      <c r="BC17" s="6">
        <f>IF(Sort_IDAC!$B17="","",IF(Sort_IDAC!BC17=0,0,ROUND(Sort_IDAC!BC17,-1*INT(LOG10(Sort_IDAC!BC17))+2)))</f>
        <v>1.8100000000000001E-17</v>
      </c>
      <c r="BD17" s="6">
        <f>IF(Sort_IDAC!$B17="","",IF(Sort_IDAC!BD17=0,0,ROUND(Sort_IDAC!BD17,-1*INT(LOG10(Sort_IDAC!BD17))+2)))</f>
        <v>1.8100000000000001E-17</v>
      </c>
      <c r="BE17" s="6">
        <f>IF(Sort_IDAC!$B17="","",IF(Sort_IDAC!BE17=0,0,ROUND(Sort_IDAC!BE17,-1*INT(LOG10(Sort_IDAC!BE17))+2)))</f>
        <v>1.7E-14</v>
      </c>
      <c r="BF17" s="6">
        <f>IF(Sort_IDAC!$B17="","",IF(Sort_IDAC!BF17=0,0,ROUND(Sort_IDAC!BF17,-1*INT(LOG10(Sort_IDAC!BF17))+2)))</f>
        <v>3.9899999999999998E-16</v>
      </c>
      <c r="BG17" s="6">
        <f>IF(Sort_IDAC!$B17="","",IF(Sort_IDAC!BG17=0,0,ROUND(Sort_IDAC!BG17,-1*INT(LOG10(Sort_IDAC!BG17))+2)))</f>
        <v>2.51E-17</v>
      </c>
      <c r="BH17" s="6">
        <f>IF(Sort_IDAC!$B17="","",IF(Sort_IDAC!BH17=0,0,ROUND(Sort_IDAC!BH17,-1*INT(LOG10(Sort_IDAC!BH17))+2)))</f>
        <v>2.5200000000000001E-17</v>
      </c>
      <c r="BI17" s="6">
        <f>IF(Sort_IDAC!$B17="","",IF(Sort_IDAC!BI17=0,0,ROUND(Sort_IDAC!BI17,-1*INT(LOG10(Sort_IDAC!BI17))+2)))</f>
        <v>2.5200000000000001E-17</v>
      </c>
      <c r="BJ17" s="6">
        <f>IF(Sort_IDAC!$B17="","",IF(Sort_IDAC!BJ17=0,0,ROUND(Sort_IDAC!BJ17,-1*INT(LOG10(Sort_IDAC!BJ17))+2)))</f>
        <v>2.5200000000000001E-17</v>
      </c>
      <c r="BK17" s="6">
        <f>IF(Sort_IDAC!$B17="","",IF(Sort_IDAC!BK17=0,0,ROUND(Sort_IDAC!BK17,-1*INT(LOG10(Sort_IDAC!BK17))+2)))</f>
        <v>1.3899999999999999E-16</v>
      </c>
      <c r="BL17" s="6">
        <f>IF(Sort_IDAC!$B17="","",IF(Sort_IDAC!BL17=0,0,ROUND(Sort_IDAC!BL17,-1*INT(LOG10(Sort_IDAC!BL17))+2)))</f>
        <v>1.04E-16</v>
      </c>
      <c r="BM17" s="6">
        <f>IF(Sort_IDAC!$B17="","",IF(Sort_IDAC!BM17=0,0,ROUND(Sort_IDAC!BM17,-1*INT(LOG10(Sort_IDAC!BM17))+2)))</f>
        <v>9.0599999999999996E-17</v>
      </c>
      <c r="BN17" s="6">
        <f>IF(Sort_IDAC!$B17="","",IF(Sort_IDAC!BN17=0,0,ROUND(Sort_IDAC!BN17,-1*INT(LOG10(Sort_IDAC!BN17))+2)))</f>
        <v>9.0599999999999996E-17</v>
      </c>
      <c r="BO17" s="6">
        <f>IF(Sort_IDAC!$B17="","",IF(Sort_IDAC!BO17=0,0,ROUND(Sort_IDAC!BO17,-1*INT(LOG10(Sort_IDAC!BO17))+2)))</f>
        <v>1.4E-14</v>
      </c>
      <c r="BP17" s="6">
        <f>IF(Sort_IDAC!$B17="","",IF(Sort_IDAC!BP17=0,0,ROUND(Sort_IDAC!BP17,-1*INT(LOG10(Sort_IDAC!BP17))+2)))</f>
        <v>1.4E-14</v>
      </c>
      <c r="BQ17" s="6">
        <f>IF(Sort_IDAC!$B17="","",IF(Sort_IDAC!BQ17=0,0,ROUND(Sort_IDAC!BQ17,-1*INT(LOG10(Sort_IDAC!BQ17))+2)))</f>
        <v>0</v>
      </c>
      <c r="BR17" s="6">
        <f>IF(Sort_IDAC!$B17="","",IF(Sort_IDAC!BR17=0,0,ROUND(Sort_IDAC!BR17,-1*INT(LOG10(Sort_IDAC!BR17))+2)))</f>
        <v>1.92E-15</v>
      </c>
      <c r="BS17" s="6">
        <f>IF(Sort_IDAC!$B17="","",IF(Sort_IDAC!BS17=0,0,ROUND(Sort_IDAC!BS17,-1*INT(LOG10(Sort_IDAC!BS17))+2)))</f>
        <v>7.4700000000000003E-15</v>
      </c>
      <c r="BT17" s="6">
        <f>IF(Sort_IDAC!$B17="","",IF(Sort_IDAC!BT17=0,0,ROUND(Sort_IDAC!BT17,-1*INT(LOG10(Sort_IDAC!BT17))+2)))</f>
        <v>3.8700000000000002E-14</v>
      </c>
      <c r="BU17" s="6">
        <f>IF(Sort_IDAC!$B17="","",IF(Sort_IDAC!BU17=0,0,ROUND(Sort_IDAC!BU17,-1*INT(LOG10(Sort_IDAC!BU17))+2)))</f>
        <v>4.4399999999999999E-14</v>
      </c>
      <c r="BV17" s="6">
        <f>IF(Sort_IDAC!$B17="","",IF(Sort_IDAC!BV17=0,0,ROUND(Sort_IDAC!BV17,-1*INT(LOG10(Sort_IDAC!BV17))+2)))</f>
        <v>1.14E-15</v>
      </c>
      <c r="BW17" s="6">
        <f>IF(Sort_IDAC!$B17="","",IF(Sort_IDAC!BW17=0,0,ROUND(Sort_IDAC!BW17,-1*INT(LOG10(Sort_IDAC!BW17))+2)))</f>
        <v>1.8399999999999999E-15</v>
      </c>
      <c r="BX17" s="6">
        <f>IF(Sort_IDAC!$B17="","",IF(Sort_IDAC!BX17=0,0,ROUND(Sort_IDAC!BX17,-1*INT(LOG10(Sort_IDAC!BX17))+2)))</f>
        <v>1.8399999999999999E-15</v>
      </c>
      <c r="BY17" s="6">
        <f>IF(Sort_IDAC!$B17="","",IF(Sort_IDAC!BY17=0,0,ROUND(Sort_IDAC!BY17,-1*INT(LOG10(Sort_IDAC!BY17))+2)))</f>
        <v>1.9700000000000001E-17</v>
      </c>
      <c r="BZ17" s="6">
        <f>IF(Sort_IDAC!$B17="","",IF(Sort_IDAC!BZ17=0,0,ROUND(Sort_IDAC!BZ17,-1*INT(LOG10(Sort_IDAC!BZ17))+2)))</f>
        <v>3.5299999999999997E-18</v>
      </c>
      <c r="CA17" s="6">
        <f>IF(Sort_IDAC!$B17="","",IF(Sort_IDAC!CA17=0,0,ROUND(Sort_IDAC!CA17,-1*INT(LOG10(Sort_IDAC!CA17))+2)))</f>
        <v>3.5399999999999997E-18</v>
      </c>
      <c r="CB17" s="6">
        <f>IF(Sort_IDAC!$B17="","",IF(Sort_IDAC!CB17=0,0,ROUND(Sort_IDAC!CB17,-1*INT(LOG10(Sort_IDAC!CB17))+2)))</f>
        <v>3.0800000000000002E-18</v>
      </c>
      <c r="CC17" s="6">
        <f>IF(Sort_IDAC!$B17="","",IF(Sort_IDAC!CC17=0,0,ROUND(Sort_IDAC!CC17,-1*INT(LOG10(Sort_IDAC!CC17))+2)))</f>
        <v>6.7799999999999997E-16</v>
      </c>
      <c r="CD17" s="6"/>
      <c r="CE17" s="6"/>
      <c r="CF17" s="6"/>
      <c r="CG17" s="6"/>
    </row>
    <row r="18" spans="2:85" x14ac:dyDescent="0.15">
      <c r="B18" s="5" t="s">
        <v>10</v>
      </c>
      <c r="C18" s="6">
        <f>IF(Sort_IDAC!$B18="","",IF(Sort_IDAC!C18=0,0,ROUND(Sort_IDAC!C18,-1*INT(LOG10(Sort_IDAC!C18))+2)))</f>
        <v>4.1100000000000002E-16</v>
      </c>
      <c r="D18" s="6">
        <f>IF(Sort_IDAC!$B18="","",IF(Sort_IDAC!D18=0,0,ROUND(Sort_IDAC!D18,-1*INT(LOG10(Sort_IDAC!D18))+2)))</f>
        <v>6.51E-17</v>
      </c>
      <c r="E18" s="6">
        <f>IF(Sort_IDAC!$B18="","",IF(Sort_IDAC!E18=0,0,ROUND(Sort_IDAC!E18,-1*INT(LOG10(Sort_IDAC!E18))+2)))</f>
        <v>2.3100000000000001E-16</v>
      </c>
      <c r="F18" s="6">
        <f>IF(Sort_IDAC!$B18="","",IF(Sort_IDAC!F18=0,0,ROUND(Sort_IDAC!F18,-1*INT(LOG10(Sort_IDAC!F18))+2)))</f>
        <v>3.2999999999999999E-16</v>
      </c>
      <c r="G18" s="6">
        <f>IF(Sort_IDAC!$B18="","",IF(Sort_IDAC!G18=0,0,ROUND(Sort_IDAC!G18,-1*INT(LOG10(Sort_IDAC!G18))+2)))</f>
        <v>3.6499999999999998E-15</v>
      </c>
      <c r="H18" s="6">
        <f>IF(Sort_IDAC!$B18="","",IF(Sort_IDAC!H18=0,0,ROUND(Sort_IDAC!H18,-1*INT(LOG10(Sort_IDAC!H18))+2)))</f>
        <v>4.6200000000000001E-16</v>
      </c>
      <c r="I18" s="6">
        <f>IF(Sort_IDAC!$B18="","",IF(Sort_IDAC!I18=0,0,ROUND(Sort_IDAC!I18,-1*INT(LOG10(Sort_IDAC!I18))+2)))</f>
        <v>3.7400000000000001E-16</v>
      </c>
      <c r="J18" s="6">
        <f>IF(Sort_IDAC!$B18="","",IF(Sort_IDAC!J18=0,0,ROUND(Sort_IDAC!J18,-1*INT(LOG10(Sort_IDAC!J18))+2)))</f>
        <v>3.7400000000000001E-16</v>
      </c>
      <c r="K18" s="6">
        <f>IF(Sort_IDAC!$B18="","",IF(Sort_IDAC!K18=0,0,ROUND(Sort_IDAC!K18,-1*INT(LOG10(Sort_IDAC!K18))+2)))</f>
        <v>3.7400000000000001E-16</v>
      </c>
      <c r="L18" s="6">
        <f>IF(Sort_IDAC!$B18="","",IF(Sort_IDAC!L18=0,0,ROUND(Sort_IDAC!L18,-1*INT(LOG10(Sort_IDAC!L18))+2)))</f>
        <v>2.3100000000000001E-16</v>
      </c>
      <c r="M18" s="6">
        <f>IF(Sort_IDAC!$B18="","",IF(Sort_IDAC!M18=0,0,ROUND(Sort_IDAC!M18,-1*INT(LOG10(Sort_IDAC!M18))+2)))</f>
        <v>2.3100000000000001E-16</v>
      </c>
      <c r="N18" s="6">
        <f>IF(Sort_IDAC!$B18="","",IF(Sort_IDAC!N18=0,0,ROUND(Sort_IDAC!N18,-1*INT(LOG10(Sort_IDAC!N18))+2)))</f>
        <v>2.3100000000000001E-16</v>
      </c>
      <c r="O18" s="6">
        <f>IF(Sort_IDAC!$B18="","",IF(Sort_IDAC!O18=0,0,ROUND(Sort_IDAC!O18,-1*INT(LOG10(Sort_IDAC!O18))+2)))</f>
        <v>4.43E-16</v>
      </c>
      <c r="P18" s="6">
        <f>IF(Sort_IDAC!$B18="","",IF(Sort_IDAC!P18=0,0,ROUND(Sort_IDAC!P18,-1*INT(LOG10(Sort_IDAC!P18))+2)))</f>
        <v>3.6500000000000001E-17</v>
      </c>
      <c r="Q18" s="6">
        <f>IF(Sort_IDAC!$B18="","",IF(Sort_IDAC!Q18=0,0,ROUND(Sort_IDAC!Q18,-1*INT(LOG10(Sort_IDAC!Q18))+2)))</f>
        <v>1.0999999999999999E-15</v>
      </c>
      <c r="R18" s="6">
        <f>IF(Sort_IDAC!$B18="","",IF(Sort_IDAC!R18=0,0,ROUND(Sort_IDAC!R18,-1*INT(LOG10(Sort_IDAC!R18))+2)))</f>
        <v>1.0999999999999999E-15</v>
      </c>
      <c r="S18" s="6">
        <f>IF(Sort_IDAC!$B18="","",IF(Sort_IDAC!S18=0,0,ROUND(Sort_IDAC!S18,-1*INT(LOG10(Sort_IDAC!S18))+2)))</f>
        <v>2.6600000000000002E-14</v>
      </c>
      <c r="T18" s="6">
        <f>IF(Sort_IDAC!$B18="","",IF(Sort_IDAC!T18=0,0,ROUND(Sort_IDAC!T18,-1*INT(LOG10(Sort_IDAC!T18))+2)))</f>
        <v>6.0400000000000003E-15</v>
      </c>
      <c r="U18" s="6">
        <f>IF(Sort_IDAC!$B18="","",IF(Sort_IDAC!U18=0,0,ROUND(Sort_IDAC!U18,-1*INT(LOG10(Sort_IDAC!U18))+2)))</f>
        <v>6.0400000000000003E-15</v>
      </c>
      <c r="V18" s="6">
        <f>IF(Sort_IDAC!$B18="","",IF(Sort_IDAC!V18=0,0,ROUND(Sort_IDAC!V18,-1*INT(LOG10(Sort_IDAC!V18))+2)))</f>
        <v>6.0400000000000003E-15</v>
      </c>
      <c r="W18" s="6">
        <f>IF(Sort_IDAC!$B18="","",IF(Sort_IDAC!W18=0,0,ROUND(Sort_IDAC!W18,-1*INT(LOG10(Sort_IDAC!W18))+2)))</f>
        <v>6.0400000000000003E-15</v>
      </c>
      <c r="X18" s="6">
        <f>IF(Sort_IDAC!$B18="","",IF(Sort_IDAC!X18=0,0,ROUND(Sort_IDAC!X18,-1*INT(LOG10(Sort_IDAC!X18))+2)))</f>
        <v>6.0400000000000003E-15</v>
      </c>
      <c r="Y18" s="6">
        <f>IF(Sort_IDAC!$B18="","",IF(Sort_IDAC!Y18=0,0,ROUND(Sort_IDAC!Y18,-1*INT(LOG10(Sort_IDAC!Y18))+2)))</f>
        <v>8.4899999999999999E-11</v>
      </c>
      <c r="Z18" s="6">
        <f>IF(Sort_IDAC!$B18="","",IF(Sort_IDAC!Z18=0,0,ROUND(Sort_IDAC!Z18,-1*INT(LOG10(Sort_IDAC!Z18))+2)))</f>
        <v>3.8399999999999999E-17</v>
      </c>
      <c r="AA18" s="6">
        <f>IF(Sort_IDAC!$B18="","",IF(Sort_IDAC!AA18=0,0,ROUND(Sort_IDAC!AA18,-1*INT(LOG10(Sort_IDAC!AA18))+2)))</f>
        <v>5.9100000000000001E-17</v>
      </c>
      <c r="AB18" s="6">
        <f>IF(Sort_IDAC!$B18="","",IF(Sort_IDAC!AB18=0,0,ROUND(Sort_IDAC!AB18,-1*INT(LOG10(Sort_IDAC!AB18))+2)))</f>
        <v>2.3400000000000001E-16</v>
      </c>
      <c r="AC18" s="6">
        <f>IF(Sort_IDAC!$B18="","",IF(Sort_IDAC!AC18=0,0,ROUND(Sort_IDAC!AC18,-1*INT(LOG10(Sort_IDAC!AC18))+2)))</f>
        <v>4.3799999999999998E-17</v>
      </c>
      <c r="AD18" s="6">
        <f>IF(Sort_IDAC!$B18="","",IF(Sort_IDAC!AD18=0,0,ROUND(Sort_IDAC!AD18,-1*INT(LOG10(Sort_IDAC!AD18))+2)))</f>
        <v>6.1499999999999996E-18</v>
      </c>
      <c r="AE18" s="6">
        <f>IF(Sort_IDAC!$B18="","",IF(Sort_IDAC!AE18=0,0,ROUND(Sort_IDAC!AE18,-1*INT(LOG10(Sort_IDAC!AE18))+2)))</f>
        <v>2.5899999999999999E-17</v>
      </c>
      <c r="AF18" s="6">
        <f>IF(Sort_IDAC!$B18="","",IF(Sort_IDAC!AF18=0,0,ROUND(Sort_IDAC!AF18,-1*INT(LOG10(Sort_IDAC!AF18))+2)))</f>
        <v>1.7200000000000001E-17</v>
      </c>
      <c r="AG18" s="6">
        <f>IF(Sort_IDAC!$B18="","",IF(Sort_IDAC!AG18=0,0,ROUND(Sort_IDAC!AG18,-1*INT(LOG10(Sort_IDAC!AG18))+2)))</f>
        <v>9.0200000000000004E-17</v>
      </c>
      <c r="AH18" s="6">
        <f>IF(Sort_IDAC!$B18="","",IF(Sort_IDAC!AH18=0,0,ROUND(Sort_IDAC!AH18,-1*INT(LOG10(Sort_IDAC!AH18))+2)))</f>
        <v>2.3500000000000002E-16</v>
      </c>
      <c r="AI18" s="6">
        <f>IF(Sort_IDAC!$B18="","",IF(Sort_IDAC!AI18=0,0,ROUND(Sort_IDAC!AI18,-1*INT(LOG10(Sort_IDAC!AI18))+2)))</f>
        <v>2.4E-16</v>
      </c>
      <c r="AJ18" s="6">
        <f>IF(Sort_IDAC!$B18="","",IF(Sort_IDAC!AJ18=0,0,ROUND(Sort_IDAC!AJ18,-1*INT(LOG10(Sort_IDAC!AJ18))+2)))</f>
        <v>2.3499999999999999E-15</v>
      </c>
      <c r="AK18" s="6">
        <f>IF(Sort_IDAC!$B18="","",IF(Sort_IDAC!AK18=0,0,ROUND(Sort_IDAC!AK18,-1*INT(LOG10(Sort_IDAC!AK18))+2)))</f>
        <v>1.8700000000000001E-16</v>
      </c>
      <c r="AL18" s="6">
        <f>IF(Sort_IDAC!$B18="","",IF(Sort_IDAC!AL18=0,0,ROUND(Sort_IDAC!AL18,-1*INT(LOG10(Sort_IDAC!AL18))+2)))</f>
        <v>3.8799999999999999E-16</v>
      </c>
      <c r="AM18" s="6">
        <f>IF(Sort_IDAC!$B18="","",IF(Sort_IDAC!AM18=0,0,ROUND(Sort_IDAC!AM18,-1*INT(LOG10(Sort_IDAC!AM18))+2)))</f>
        <v>1.97E-16</v>
      </c>
      <c r="AN18" s="6">
        <f>IF(Sort_IDAC!$B18="","",IF(Sort_IDAC!AN18=0,0,ROUND(Sort_IDAC!AN18,-1*INT(LOG10(Sort_IDAC!AN18))+2)))</f>
        <v>3.3299999999999999E-16</v>
      </c>
      <c r="AO18" s="6">
        <f>IF(Sort_IDAC!$B18="","",IF(Sort_IDAC!AO18=0,0,ROUND(Sort_IDAC!AO18,-1*INT(LOG10(Sort_IDAC!AO18))+2)))</f>
        <v>3.3299999999999999E-16</v>
      </c>
      <c r="AP18" s="6">
        <f>IF(Sort_IDAC!$B18="","",IF(Sort_IDAC!AP18=0,0,ROUND(Sort_IDAC!AP18,-1*INT(LOG10(Sort_IDAC!AP18))+2)))</f>
        <v>3.3299999999999999E-16</v>
      </c>
      <c r="AQ18" s="6">
        <f>IF(Sort_IDAC!$B18="","",IF(Sort_IDAC!AQ18=0,0,ROUND(Sort_IDAC!AQ18,-1*INT(LOG10(Sort_IDAC!AQ18))+2)))</f>
        <v>6.7300000000000001E-15</v>
      </c>
      <c r="AR18" s="6">
        <f>IF(Sort_IDAC!$B18="","",IF(Sort_IDAC!AR18=0,0,ROUND(Sort_IDAC!AR18,-1*INT(LOG10(Sort_IDAC!AR18))+2)))</f>
        <v>6.7300000000000001E-15</v>
      </c>
      <c r="AS18" s="6">
        <f>IF(Sort_IDAC!$B18="","",IF(Sort_IDAC!AS18=0,0,ROUND(Sort_IDAC!AS18,-1*INT(LOG10(Sort_IDAC!AS18))+2)))</f>
        <v>3.7400000000000001E-18</v>
      </c>
      <c r="AT18" s="6">
        <f>IF(Sort_IDAC!$B18="","",IF(Sort_IDAC!AT18=0,0,ROUND(Sort_IDAC!AT18,-1*INT(LOG10(Sort_IDAC!AT18))+2)))</f>
        <v>6.0300000000000001E-17</v>
      </c>
      <c r="AU18" s="6">
        <f>IF(Sort_IDAC!$B18="","",IF(Sort_IDAC!AU18=0,0,ROUND(Sort_IDAC!AU18,-1*INT(LOG10(Sort_IDAC!AU18))+2)))</f>
        <v>4.8200000000000002E-15</v>
      </c>
      <c r="AV18" s="6">
        <f>IF(Sort_IDAC!$B18="","",IF(Sort_IDAC!AV18=0,0,ROUND(Sort_IDAC!AV18,-1*INT(LOG10(Sort_IDAC!AV18))+2)))</f>
        <v>0</v>
      </c>
      <c r="AW18" s="6">
        <f>IF(Sort_IDAC!$B18="","",IF(Sort_IDAC!AW18=0,0,ROUND(Sort_IDAC!AW18,-1*INT(LOG10(Sort_IDAC!AW18))+2)))</f>
        <v>0</v>
      </c>
      <c r="AX18" s="6">
        <f>IF(Sort_IDAC!$B18="","",IF(Sort_IDAC!AX18=0,0,ROUND(Sort_IDAC!AX18,-1*INT(LOG10(Sort_IDAC!AX18))+2)))</f>
        <v>0</v>
      </c>
      <c r="AY18" s="6">
        <f>IF(Sort_IDAC!$B18="","",IF(Sort_IDAC!AY18=0,0,ROUND(Sort_IDAC!AY18,-1*INT(LOG10(Sort_IDAC!AY18))+2)))</f>
        <v>4.3599999999999999E-18</v>
      </c>
      <c r="AZ18" s="6">
        <f>IF(Sort_IDAC!$B18="","",IF(Sort_IDAC!AZ18=0,0,ROUND(Sort_IDAC!AZ18,-1*INT(LOG10(Sort_IDAC!AZ18))+2)))</f>
        <v>6.5700000000000003E-16</v>
      </c>
      <c r="BA18" s="6">
        <f>IF(Sort_IDAC!$B18="","",IF(Sort_IDAC!BA18=0,0,ROUND(Sort_IDAC!BA18,-1*INT(LOG10(Sort_IDAC!BA18))+2)))</f>
        <v>2.8300000000000001E-16</v>
      </c>
      <c r="BB18" s="6">
        <f>IF(Sort_IDAC!$B18="","",IF(Sort_IDAC!BB18=0,0,ROUND(Sort_IDAC!BB18,-1*INT(LOG10(Sort_IDAC!BB18))+2)))</f>
        <v>3.39E-17</v>
      </c>
      <c r="BC18" s="6">
        <f>IF(Sort_IDAC!$B18="","",IF(Sort_IDAC!BC18=0,0,ROUND(Sort_IDAC!BC18,-1*INT(LOG10(Sort_IDAC!BC18))+2)))</f>
        <v>1.6000000000000001E-17</v>
      </c>
      <c r="BD18" s="6">
        <f>IF(Sort_IDAC!$B18="","",IF(Sort_IDAC!BD18=0,0,ROUND(Sort_IDAC!BD18,-1*INT(LOG10(Sort_IDAC!BD18))+2)))</f>
        <v>1.6000000000000001E-17</v>
      </c>
      <c r="BE18" s="6">
        <f>IF(Sort_IDAC!$B18="","",IF(Sort_IDAC!BE18=0,0,ROUND(Sort_IDAC!BE18,-1*INT(LOG10(Sort_IDAC!BE18))+2)))</f>
        <v>3.0700000000000002E-15</v>
      </c>
      <c r="BF18" s="6">
        <f>IF(Sort_IDAC!$B18="","",IF(Sort_IDAC!BF18=0,0,ROUND(Sort_IDAC!BF18,-1*INT(LOG10(Sort_IDAC!BF18))+2)))</f>
        <v>5.7599999999999999E-16</v>
      </c>
      <c r="BG18" s="6">
        <f>IF(Sort_IDAC!$B18="","",IF(Sort_IDAC!BG18=0,0,ROUND(Sort_IDAC!BG18,-1*INT(LOG10(Sort_IDAC!BG18))+2)))</f>
        <v>1.7200000000000001E-17</v>
      </c>
      <c r="BH18" s="6">
        <f>IF(Sort_IDAC!$B18="","",IF(Sort_IDAC!BH18=0,0,ROUND(Sort_IDAC!BH18,-1*INT(LOG10(Sort_IDAC!BH18))+2)))</f>
        <v>3.2900000000000002E-17</v>
      </c>
      <c r="BI18" s="6">
        <f>IF(Sort_IDAC!$B18="","",IF(Sort_IDAC!BI18=0,0,ROUND(Sort_IDAC!BI18,-1*INT(LOG10(Sort_IDAC!BI18))+2)))</f>
        <v>3.2900000000000002E-17</v>
      </c>
      <c r="BJ18" s="6">
        <f>IF(Sort_IDAC!$B18="","",IF(Sort_IDAC!BJ18=0,0,ROUND(Sort_IDAC!BJ18,-1*INT(LOG10(Sort_IDAC!BJ18))+2)))</f>
        <v>3.2900000000000002E-17</v>
      </c>
      <c r="BK18" s="6">
        <f>IF(Sort_IDAC!$B18="","",IF(Sort_IDAC!BK18=0,0,ROUND(Sort_IDAC!BK18,-1*INT(LOG10(Sort_IDAC!BK18))+2)))</f>
        <v>7.7500000000000002E-17</v>
      </c>
      <c r="BL18" s="6">
        <f>IF(Sort_IDAC!$B18="","",IF(Sort_IDAC!BL18=0,0,ROUND(Sort_IDAC!BL18,-1*INT(LOG10(Sort_IDAC!BL18))+2)))</f>
        <v>6.7099999999999996E-17</v>
      </c>
      <c r="BM18" s="6">
        <f>IF(Sort_IDAC!$B18="","",IF(Sort_IDAC!BM18=0,0,ROUND(Sort_IDAC!BM18,-1*INT(LOG10(Sort_IDAC!BM18))+2)))</f>
        <v>4.55E-17</v>
      </c>
      <c r="BN18" s="6">
        <f>IF(Sort_IDAC!$B18="","",IF(Sort_IDAC!BN18=0,0,ROUND(Sort_IDAC!BN18,-1*INT(LOG10(Sort_IDAC!BN18))+2)))</f>
        <v>8.0500000000000002E-17</v>
      </c>
      <c r="BO18" s="6">
        <f>IF(Sort_IDAC!$B18="","",IF(Sort_IDAC!BO18=0,0,ROUND(Sort_IDAC!BO18,-1*INT(LOG10(Sort_IDAC!BO18))+2)))</f>
        <v>7.8000000000000005E-15</v>
      </c>
      <c r="BP18" s="6">
        <f>IF(Sort_IDAC!$B18="","",IF(Sort_IDAC!BP18=0,0,ROUND(Sort_IDAC!BP18,-1*INT(LOG10(Sort_IDAC!BP18))+2)))</f>
        <v>7.8000000000000005E-15</v>
      </c>
      <c r="BQ18" s="6">
        <f>IF(Sort_IDAC!$B18="","",IF(Sort_IDAC!BQ18=0,0,ROUND(Sort_IDAC!BQ18,-1*INT(LOG10(Sort_IDAC!BQ18))+2)))</f>
        <v>0</v>
      </c>
      <c r="BR18" s="6">
        <f>IF(Sort_IDAC!$B18="","",IF(Sort_IDAC!BR18=0,0,ROUND(Sort_IDAC!BR18,-1*INT(LOG10(Sort_IDAC!BR18))+2)))</f>
        <v>4.5399999999999998E-16</v>
      </c>
      <c r="BS18" s="6">
        <f>IF(Sort_IDAC!$B18="","",IF(Sort_IDAC!BS18=0,0,ROUND(Sort_IDAC!BS18,-1*INT(LOG10(Sort_IDAC!BS18))+2)))</f>
        <v>7.7999999999999995E-16</v>
      </c>
      <c r="BT18" s="6">
        <f>IF(Sort_IDAC!$B18="","",IF(Sort_IDAC!BT18=0,0,ROUND(Sort_IDAC!BT18,-1*INT(LOG10(Sort_IDAC!BT18))+2)))</f>
        <v>5.4600000000000004E-15</v>
      </c>
      <c r="BU18" s="6">
        <f>IF(Sort_IDAC!$B18="","",IF(Sort_IDAC!BU18=0,0,ROUND(Sort_IDAC!BU18,-1*INT(LOG10(Sort_IDAC!BU18))+2)))</f>
        <v>5.5499999999999999E-15</v>
      </c>
      <c r="BV18" s="6">
        <f>IF(Sort_IDAC!$B18="","",IF(Sort_IDAC!BV18=0,0,ROUND(Sort_IDAC!BV18,-1*INT(LOG10(Sort_IDAC!BV18))+2)))</f>
        <v>4.49E-16</v>
      </c>
      <c r="BW18" s="6">
        <f>IF(Sort_IDAC!$B18="","",IF(Sort_IDAC!BW18=0,0,ROUND(Sort_IDAC!BW18,-1*INT(LOG10(Sort_IDAC!BW18))+2)))</f>
        <v>1.24E-15</v>
      </c>
      <c r="BX18" s="6">
        <f>IF(Sort_IDAC!$B18="","",IF(Sort_IDAC!BX18=0,0,ROUND(Sort_IDAC!BX18,-1*INT(LOG10(Sort_IDAC!BX18))+2)))</f>
        <v>1.24E-15</v>
      </c>
      <c r="BY18" s="6">
        <f>IF(Sort_IDAC!$B18="","",IF(Sort_IDAC!BY18=0,0,ROUND(Sort_IDAC!BY18,-1*INT(LOG10(Sort_IDAC!BY18))+2)))</f>
        <v>2.3600000000000001E-17</v>
      </c>
      <c r="BZ18" s="6">
        <f>IF(Sort_IDAC!$B18="","",IF(Sort_IDAC!BZ18=0,0,ROUND(Sort_IDAC!BZ18,-1*INT(LOG10(Sort_IDAC!BZ18))+2)))</f>
        <v>0</v>
      </c>
      <c r="CA18" s="6">
        <f>IF(Sort_IDAC!$B18="","",IF(Sort_IDAC!CA18=0,0,ROUND(Sort_IDAC!CA18,-1*INT(LOG10(Sort_IDAC!CA18))+2)))</f>
        <v>5.3899999999999998E-18</v>
      </c>
      <c r="CB18" s="6">
        <f>IF(Sort_IDAC!$B18="","",IF(Sort_IDAC!CB18=0,0,ROUND(Sort_IDAC!CB18,-1*INT(LOG10(Sort_IDAC!CB18))+2)))</f>
        <v>3.76E-18</v>
      </c>
      <c r="CC18" s="6">
        <f>IF(Sort_IDAC!$B18="","",IF(Sort_IDAC!CC18=0,0,ROUND(Sort_IDAC!CC18,-1*INT(LOG10(Sort_IDAC!CC18))+2)))</f>
        <v>3.6500000000000001E-16</v>
      </c>
      <c r="CD18" s="6"/>
      <c r="CE18" s="6"/>
      <c r="CF18" s="6"/>
      <c r="CG18" s="6"/>
    </row>
    <row r="19" spans="2:85" x14ac:dyDescent="0.15">
      <c r="B19" s="5" t="s">
        <v>11</v>
      </c>
      <c r="C19" s="6">
        <f>IF(Sort_IDAC!$B19="","",IF(Sort_IDAC!C19=0,0,ROUND(Sort_IDAC!C19,-1*INT(LOG10(Sort_IDAC!C19))+2)))</f>
        <v>5.6999999999999999E-16</v>
      </c>
      <c r="D19" s="6">
        <f>IF(Sort_IDAC!$B19="","",IF(Sort_IDAC!D19=0,0,ROUND(Sort_IDAC!D19,-1*INT(LOG10(Sort_IDAC!D19))+2)))</f>
        <v>2.2899999999999999E-14</v>
      </c>
      <c r="E19" s="6">
        <f>IF(Sort_IDAC!$B19="","",IF(Sort_IDAC!E19=0,0,ROUND(Sort_IDAC!E19,-1*INT(LOG10(Sort_IDAC!E19))+2)))</f>
        <v>1.3E-15</v>
      </c>
      <c r="F19" s="6">
        <f>IF(Sort_IDAC!$B19="","",IF(Sort_IDAC!F19=0,0,ROUND(Sort_IDAC!F19,-1*INT(LOG10(Sort_IDAC!F19))+2)))</f>
        <v>8.19E-16</v>
      </c>
      <c r="G19" s="6">
        <f>IF(Sort_IDAC!$B19="","",IF(Sort_IDAC!G19=0,0,ROUND(Sort_IDAC!G19,-1*INT(LOG10(Sort_IDAC!G19))+2)))</f>
        <v>2.75E-17</v>
      </c>
      <c r="H19" s="6">
        <f>IF(Sort_IDAC!$B19="","",IF(Sort_IDAC!H19=0,0,ROUND(Sort_IDAC!H19,-1*INT(LOG10(Sort_IDAC!H19))+2)))</f>
        <v>9.7400000000000005E-16</v>
      </c>
      <c r="I19" s="6">
        <f>IF(Sort_IDAC!$B19="","",IF(Sort_IDAC!I19=0,0,ROUND(Sort_IDAC!I19,-1*INT(LOG10(Sort_IDAC!I19))+2)))</f>
        <v>6.9499999999999995E-16</v>
      </c>
      <c r="J19" s="6">
        <f>IF(Sort_IDAC!$B19="","",IF(Sort_IDAC!J19=0,0,ROUND(Sort_IDAC!J19,-1*INT(LOG10(Sort_IDAC!J19))+2)))</f>
        <v>6.9499999999999995E-16</v>
      </c>
      <c r="K19" s="6">
        <f>IF(Sort_IDAC!$B19="","",IF(Sort_IDAC!K19=0,0,ROUND(Sort_IDAC!K19,-1*INT(LOG10(Sort_IDAC!K19))+2)))</f>
        <v>6.9499999999999995E-16</v>
      </c>
      <c r="L19" s="6">
        <f>IF(Sort_IDAC!$B19="","",IF(Sort_IDAC!L19=0,0,ROUND(Sort_IDAC!L19,-1*INT(LOG10(Sort_IDAC!L19))+2)))</f>
        <v>1.3E-15</v>
      </c>
      <c r="M19" s="6">
        <f>IF(Sort_IDAC!$B19="","",IF(Sort_IDAC!M19=0,0,ROUND(Sort_IDAC!M19,-1*INT(LOG10(Sort_IDAC!M19))+2)))</f>
        <v>1.3E-15</v>
      </c>
      <c r="N19" s="6">
        <f>IF(Sort_IDAC!$B19="","",IF(Sort_IDAC!N19=0,0,ROUND(Sort_IDAC!N19,-1*INT(LOG10(Sort_IDAC!N19))+2)))</f>
        <v>1.3E-15</v>
      </c>
      <c r="O19" s="6">
        <f>IF(Sort_IDAC!$B19="","",IF(Sort_IDAC!O19=0,0,ROUND(Sort_IDAC!O19,-1*INT(LOG10(Sort_IDAC!O19))+2)))</f>
        <v>1.2900000000000001E-15</v>
      </c>
      <c r="P19" s="6">
        <f>IF(Sort_IDAC!$B19="","",IF(Sort_IDAC!P19=0,0,ROUND(Sort_IDAC!P19,-1*INT(LOG10(Sort_IDAC!P19))+2)))</f>
        <v>1.11E-16</v>
      </c>
      <c r="Q19" s="6">
        <f>IF(Sort_IDAC!$B19="","",IF(Sort_IDAC!Q19=0,0,ROUND(Sort_IDAC!Q19,-1*INT(LOG10(Sort_IDAC!Q19))+2)))</f>
        <v>7.8199999999999999E-16</v>
      </c>
      <c r="R19" s="6">
        <f>IF(Sort_IDAC!$B19="","",IF(Sort_IDAC!R19=0,0,ROUND(Sort_IDAC!R19,-1*INT(LOG10(Sort_IDAC!R19))+2)))</f>
        <v>7.8199999999999999E-16</v>
      </c>
      <c r="S19" s="6">
        <f>IF(Sort_IDAC!$B19="","",IF(Sort_IDAC!S19=0,0,ROUND(Sort_IDAC!S19,-1*INT(LOG10(Sort_IDAC!S19))+2)))</f>
        <v>1.06E-16</v>
      </c>
      <c r="T19" s="6">
        <f>IF(Sort_IDAC!$B19="","",IF(Sort_IDAC!T19=0,0,ROUND(Sort_IDAC!T19,-1*INT(LOG10(Sort_IDAC!T19))+2)))</f>
        <v>8.74E-17</v>
      </c>
      <c r="U19" s="6">
        <f>IF(Sort_IDAC!$B19="","",IF(Sort_IDAC!U19=0,0,ROUND(Sort_IDAC!U19,-1*INT(LOG10(Sort_IDAC!U19))+2)))</f>
        <v>8.74E-17</v>
      </c>
      <c r="V19" s="6">
        <f>IF(Sort_IDAC!$B19="","",IF(Sort_IDAC!V19=0,0,ROUND(Sort_IDAC!V19,-1*INT(LOG10(Sort_IDAC!V19))+2)))</f>
        <v>8.74E-17</v>
      </c>
      <c r="W19" s="6">
        <f>IF(Sort_IDAC!$B19="","",IF(Sort_IDAC!W19=0,0,ROUND(Sort_IDAC!W19,-1*INT(LOG10(Sort_IDAC!W19))+2)))</f>
        <v>8.74E-17</v>
      </c>
      <c r="X19" s="6">
        <f>IF(Sort_IDAC!$B19="","",IF(Sort_IDAC!X19=0,0,ROUND(Sort_IDAC!X19,-1*INT(LOG10(Sort_IDAC!X19))+2)))</f>
        <v>8.74E-17</v>
      </c>
      <c r="Y19" s="6">
        <f>IF(Sort_IDAC!$B19="","",IF(Sort_IDAC!Y19=0,0,ROUND(Sort_IDAC!Y19,-1*INT(LOG10(Sort_IDAC!Y19))+2)))</f>
        <v>7.6000000000000002E-17</v>
      </c>
      <c r="Z19" s="6">
        <f>IF(Sort_IDAC!$B19="","",IF(Sort_IDAC!Z19=0,0,ROUND(Sort_IDAC!Z19,-1*INT(LOG10(Sort_IDAC!Z19))+2)))</f>
        <v>1.7399999999999999E-13</v>
      </c>
      <c r="AA19" s="6">
        <f>IF(Sort_IDAC!$B19="","",IF(Sort_IDAC!AA19=0,0,ROUND(Sort_IDAC!AA19,-1*INT(LOG10(Sort_IDAC!AA19))+2)))</f>
        <v>3.9100000000000001E-12</v>
      </c>
      <c r="AB19" s="6">
        <f>IF(Sort_IDAC!$B19="","",IF(Sort_IDAC!AB19=0,0,ROUND(Sort_IDAC!AB19,-1*INT(LOG10(Sort_IDAC!AB19))+2)))</f>
        <v>1.7899999999999999E-15</v>
      </c>
      <c r="AC19" s="6">
        <f>IF(Sort_IDAC!$B19="","",IF(Sort_IDAC!AC19=0,0,ROUND(Sort_IDAC!AC19,-1*INT(LOG10(Sort_IDAC!AC19))+2)))</f>
        <v>8.5000000000000001E-15</v>
      </c>
      <c r="AD19" s="6">
        <f>IF(Sort_IDAC!$B19="","",IF(Sort_IDAC!AD19=0,0,ROUND(Sort_IDAC!AD19,-1*INT(LOG10(Sort_IDAC!AD19))+2)))</f>
        <v>9.1200000000000003E-16</v>
      </c>
      <c r="AE19" s="6">
        <f>IF(Sort_IDAC!$B19="","",IF(Sort_IDAC!AE19=0,0,ROUND(Sort_IDAC!AE19,-1*INT(LOG10(Sort_IDAC!AE19))+2)))</f>
        <v>8.7000000000000004E-16</v>
      </c>
      <c r="AF19" s="6">
        <f>IF(Sort_IDAC!$B19="","",IF(Sort_IDAC!AF19=0,0,ROUND(Sort_IDAC!AF19,-1*INT(LOG10(Sort_IDAC!AF19))+2)))</f>
        <v>8.7000000000000004E-16</v>
      </c>
      <c r="AG19" s="6">
        <f>IF(Sort_IDAC!$B19="","",IF(Sort_IDAC!AG19=0,0,ROUND(Sort_IDAC!AG19,-1*INT(LOG10(Sort_IDAC!AG19))+2)))</f>
        <v>1.4800000000000001E-14</v>
      </c>
      <c r="AH19" s="6">
        <f>IF(Sort_IDAC!$B19="","",IF(Sort_IDAC!AH19=0,0,ROUND(Sort_IDAC!AH19,-1*INT(LOG10(Sort_IDAC!AH19))+2)))</f>
        <v>1.2800000000000001E-15</v>
      </c>
      <c r="AI19" s="6">
        <f>IF(Sort_IDAC!$B19="","",IF(Sort_IDAC!AI19=0,0,ROUND(Sort_IDAC!AI19,-1*INT(LOG10(Sort_IDAC!AI19))+2)))</f>
        <v>1.2800000000000001E-15</v>
      </c>
      <c r="AJ19" s="6">
        <f>IF(Sort_IDAC!$B19="","",IF(Sort_IDAC!AJ19=0,0,ROUND(Sort_IDAC!AJ19,-1*INT(LOG10(Sort_IDAC!AJ19))+2)))</f>
        <v>1.4000000000000001E-16</v>
      </c>
      <c r="AK19" s="6">
        <f>IF(Sort_IDAC!$B19="","",IF(Sort_IDAC!AK19=0,0,ROUND(Sort_IDAC!AK19,-1*INT(LOG10(Sort_IDAC!AK19))+2)))</f>
        <v>4.2700000000000004E-15</v>
      </c>
      <c r="AL19" s="6">
        <f>IF(Sort_IDAC!$B19="","",IF(Sort_IDAC!AL19=0,0,ROUND(Sort_IDAC!AL19,-1*INT(LOG10(Sort_IDAC!AL19))+2)))</f>
        <v>6.13E-16</v>
      </c>
      <c r="AM19" s="6">
        <f>IF(Sort_IDAC!$B19="","",IF(Sort_IDAC!AM19=0,0,ROUND(Sort_IDAC!AM19,-1*INT(LOG10(Sort_IDAC!AM19))+2)))</f>
        <v>5.6000000000000003E-16</v>
      </c>
      <c r="AN19" s="6">
        <f>IF(Sort_IDAC!$B19="","",IF(Sort_IDAC!AN19=0,0,ROUND(Sort_IDAC!AN19,-1*INT(LOG10(Sort_IDAC!AN19))+2)))</f>
        <v>1.6300000000000001E-15</v>
      </c>
      <c r="AO19" s="6">
        <f>IF(Sort_IDAC!$B19="","",IF(Sort_IDAC!AO19=0,0,ROUND(Sort_IDAC!AO19,-1*INT(LOG10(Sort_IDAC!AO19))+2)))</f>
        <v>1.6300000000000001E-15</v>
      </c>
      <c r="AP19" s="6">
        <f>IF(Sort_IDAC!$B19="","",IF(Sort_IDAC!AP19=0,0,ROUND(Sort_IDAC!AP19,-1*INT(LOG10(Sort_IDAC!AP19))+2)))</f>
        <v>1.6300000000000001E-15</v>
      </c>
      <c r="AQ19" s="6">
        <f>IF(Sort_IDAC!$B19="","",IF(Sort_IDAC!AQ19=0,0,ROUND(Sort_IDAC!AQ19,-1*INT(LOG10(Sort_IDAC!AQ19))+2)))</f>
        <v>1.2200000000000001E-16</v>
      </c>
      <c r="AR19" s="6">
        <f>IF(Sort_IDAC!$B19="","",IF(Sort_IDAC!AR19=0,0,ROUND(Sort_IDAC!AR19,-1*INT(LOG10(Sort_IDAC!AR19))+2)))</f>
        <v>1.2200000000000001E-16</v>
      </c>
      <c r="AS19" s="6">
        <f>IF(Sort_IDAC!$B19="","",IF(Sort_IDAC!AS19=0,0,ROUND(Sort_IDAC!AS19,-1*INT(LOG10(Sort_IDAC!AS19))+2)))</f>
        <v>1.67E-16</v>
      </c>
      <c r="AT19" s="6">
        <f>IF(Sort_IDAC!$B19="","",IF(Sort_IDAC!AT19=0,0,ROUND(Sort_IDAC!AT19,-1*INT(LOG10(Sort_IDAC!AT19))+2)))</f>
        <v>1.8600000000000001E-14</v>
      </c>
      <c r="AU19" s="6">
        <f>IF(Sort_IDAC!$B19="","",IF(Sort_IDAC!AU19=0,0,ROUND(Sort_IDAC!AU19,-1*INT(LOG10(Sort_IDAC!AU19))+2)))</f>
        <v>4.6900000000000002E-17</v>
      </c>
      <c r="AV19" s="6">
        <f>IF(Sort_IDAC!$B19="","",IF(Sort_IDAC!AV19=0,0,ROUND(Sort_IDAC!AV19,-1*INT(LOG10(Sort_IDAC!AV19))+2)))</f>
        <v>0</v>
      </c>
      <c r="AW19" s="6">
        <f>IF(Sort_IDAC!$B19="","",IF(Sort_IDAC!AW19=0,0,ROUND(Sort_IDAC!AW19,-1*INT(LOG10(Sort_IDAC!AW19))+2)))</f>
        <v>2.03E-16</v>
      </c>
      <c r="AX19" s="6">
        <f>IF(Sort_IDAC!$B19="","",IF(Sort_IDAC!AX19=0,0,ROUND(Sort_IDAC!AX19,-1*INT(LOG10(Sort_IDAC!AX19))+2)))</f>
        <v>1.7200000000000001E-16</v>
      </c>
      <c r="AY19" s="6">
        <f>IF(Sort_IDAC!$B19="","",IF(Sort_IDAC!AY19=0,0,ROUND(Sort_IDAC!AY19,-1*INT(LOG10(Sort_IDAC!AY19))+2)))</f>
        <v>1.7200000000000001E-16</v>
      </c>
      <c r="AZ19" s="6">
        <f>IF(Sort_IDAC!$B19="","",IF(Sort_IDAC!AZ19=0,0,ROUND(Sort_IDAC!AZ19,-1*INT(LOG10(Sort_IDAC!AZ19))+2)))</f>
        <v>2.1200000000000001E-15</v>
      </c>
      <c r="BA19" s="6">
        <f>IF(Sort_IDAC!$B19="","",IF(Sort_IDAC!BA19=0,0,ROUND(Sort_IDAC!BA19,-1*INT(LOG10(Sort_IDAC!BA19))+2)))</f>
        <v>1.2800000000000001E-15</v>
      </c>
      <c r="BB19" s="6">
        <f>IF(Sort_IDAC!$B19="","",IF(Sort_IDAC!BB19=0,0,ROUND(Sort_IDAC!BB19,-1*INT(LOG10(Sort_IDAC!BB19))+2)))</f>
        <v>1.71E-15</v>
      </c>
      <c r="BC19" s="6">
        <f>IF(Sort_IDAC!$B19="","",IF(Sort_IDAC!BC19=0,0,ROUND(Sort_IDAC!BC19,-1*INT(LOG10(Sort_IDAC!BC19))+2)))</f>
        <v>1.76E-15</v>
      </c>
      <c r="BD19" s="6">
        <f>IF(Sort_IDAC!$B19="","",IF(Sort_IDAC!BD19=0,0,ROUND(Sort_IDAC!BD19,-1*INT(LOG10(Sort_IDAC!BD19))+2)))</f>
        <v>1.76E-15</v>
      </c>
      <c r="BE19" s="6">
        <f>IF(Sort_IDAC!$B19="","",IF(Sort_IDAC!BE19=0,0,ROUND(Sort_IDAC!BE19,-1*INT(LOG10(Sort_IDAC!BE19))+2)))</f>
        <v>9.4100000000000003E-17</v>
      </c>
      <c r="BF19" s="6">
        <f>IF(Sort_IDAC!$B19="","",IF(Sort_IDAC!BF19=0,0,ROUND(Sort_IDAC!BF19,-1*INT(LOG10(Sort_IDAC!BF19))+2)))</f>
        <v>3.49E-16</v>
      </c>
      <c r="BG19" s="6">
        <f>IF(Sort_IDAC!$B19="","",IF(Sort_IDAC!BG19=0,0,ROUND(Sort_IDAC!BG19,-1*INT(LOG10(Sort_IDAC!BG19))+2)))</f>
        <v>4.0899999999999998E-15</v>
      </c>
      <c r="BH19" s="6">
        <f>IF(Sort_IDAC!$B19="","",IF(Sort_IDAC!BH19=0,0,ROUND(Sort_IDAC!BH19,-1*INT(LOG10(Sort_IDAC!BH19))+2)))</f>
        <v>3.7099999999999999E-15</v>
      </c>
      <c r="BI19" s="6">
        <f>IF(Sort_IDAC!$B19="","",IF(Sort_IDAC!BI19=0,0,ROUND(Sort_IDAC!BI19,-1*INT(LOG10(Sort_IDAC!BI19))+2)))</f>
        <v>3.7099999999999999E-15</v>
      </c>
      <c r="BJ19" s="6">
        <f>IF(Sort_IDAC!$B19="","",IF(Sort_IDAC!BJ19=0,0,ROUND(Sort_IDAC!BJ19,-1*INT(LOG10(Sort_IDAC!BJ19))+2)))</f>
        <v>3.7099999999999999E-15</v>
      </c>
      <c r="BK19" s="6">
        <f>IF(Sort_IDAC!$B19="","",IF(Sort_IDAC!BK19=0,0,ROUND(Sort_IDAC!BK19,-1*INT(LOG10(Sort_IDAC!BK19))+2)))</f>
        <v>2.4699999999999999E-15</v>
      </c>
      <c r="BL19" s="6">
        <f>IF(Sort_IDAC!$B19="","",IF(Sort_IDAC!BL19=0,0,ROUND(Sort_IDAC!BL19,-1*INT(LOG10(Sort_IDAC!BL19))+2)))</f>
        <v>4.7800000000000004E-15</v>
      </c>
      <c r="BM19" s="6">
        <f>IF(Sort_IDAC!$B19="","",IF(Sort_IDAC!BM19=0,0,ROUND(Sort_IDAC!BM19,-1*INT(LOG10(Sort_IDAC!BM19))+2)))</f>
        <v>6.4399999999999997E-15</v>
      </c>
      <c r="BN19" s="6">
        <f>IF(Sort_IDAC!$B19="","",IF(Sort_IDAC!BN19=0,0,ROUND(Sort_IDAC!BN19,-1*INT(LOG10(Sort_IDAC!BN19))+2)))</f>
        <v>6.4399999999999997E-15</v>
      </c>
      <c r="BO19" s="6">
        <f>IF(Sort_IDAC!$B19="","",IF(Sort_IDAC!BO19=0,0,ROUND(Sort_IDAC!BO19,-1*INT(LOG10(Sort_IDAC!BO19))+2)))</f>
        <v>1.2800000000000001E-16</v>
      </c>
      <c r="BP19" s="6">
        <f>IF(Sort_IDAC!$B19="","",IF(Sort_IDAC!BP19=0,0,ROUND(Sort_IDAC!BP19,-1*INT(LOG10(Sort_IDAC!BP19))+2)))</f>
        <v>1.2800000000000001E-16</v>
      </c>
      <c r="BQ19" s="6">
        <f>IF(Sort_IDAC!$B19="","",IF(Sort_IDAC!BQ19=0,0,ROUND(Sort_IDAC!BQ19,-1*INT(LOG10(Sort_IDAC!BQ19))+2)))</f>
        <v>0</v>
      </c>
      <c r="BR19" s="6">
        <f>IF(Sort_IDAC!$B19="","",IF(Sort_IDAC!BR19=0,0,ROUND(Sort_IDAC!BR19,-1*INT(LOG10(Sort_IDAC!BR19))+2)))</f>
        <v>4.8499999999999999E-16</v>
      </c>
      <c r="BS19" s="6">
        <f>IF(Sort_IDAC!$B19="","",IF(Sort_IDAC!BS19=0,0,ROUND(Sort_IDAC!BS19,-1*INT(LOG10(Sort_IDAC!BS19))+2)))</f>
        <v>2.3500000000000002E-16</v>
      </c>
      <c r="BT19" s="6">
        <f>IF(Sort_IDAC!$B19="","",IF(Sort_IDAC!BT19=0,0,ROUND(Sort_IDAC!BT19,-1*INT(LOG10(Sort_IDAC!BT19))+2)))</f>
        <v>1.2E-16</v>
      </c>
      <c r="BU19" s="6">
        <f>IF(Sort_IDAC!$B19="","",IF(Sort_IDAC!BU19=0,0,ROUND(Sort_IDAC!BU19,-1*INT(LOG10(Sort_IDAC!BU19))+2)))</f>
        <v>9.3699999999999999E-17</v>
      </c>
      <c r="BV19" s="6">
        <f>IF(Sort_IDAC!$B19="","",IF(Sort_IDAC!BV19=0,0,ROUND(Sort_IDAC!BV19,-1*INT(LOG10(Sort_IDAC!BV19))+2)))</f>
        <v>1.14E-15</v>
      </c>
      <c r="BW19" s="6">
        <f>IF(Sort_IDAC!$B19="","",IF(Sort_IDAC!BW19=0,0,ROUND(Sort_IDAC!BW19,-1*INT(LOG10(Sort_IDAC!BW19))+2)))</f>
        <v>9.9199999999999995E-16</v>
      </c>
      <c r="BX19" s="6">
        <f>IF(Sort_IDAC!$B19="","",IF(Sort_IDAC!BX19=0,0,ROUND(Sort_IDAC!BX19,-1*INT(LOG10(Sort_IDAC!BX19))+2)))</f>
        <v>9.9199999999999995E-16</v>
      </c>
      <c r="BY19" s="6">
        <f>IF(Sort_IDAC!$B19="","",IF(Sort_IDAC!BY19=0,0,ROUND(Sort_IDAC!BY19,-1*INT(LOG10(Sort_IDAC!BY19))+2)))</f>
        <v>5.1499999999999997E-15</v>
      </c>
      <c r="BZ19" s="6">
        <f>IF(Sort_IDAC!$B19="","",IF(Sort_IDAC!BZ19=0,0,ROUND(Sort_IDAC!BZ19,-1*INT(LOG10(Sort_IDAC!BZ19))+2)))</f>
        <v>1.7699999999999999E-16</v>
      </c>
      <c r="CA19" s="6">
        <f>IF(Sort_IDAC!$B19="","",IF(Sort_IDAC!CA19=0,0,ROUND(Sort_IDAC!CA19,-1*INT(LOG10(Sort_IDAC!CA19))+2)))</f>
        <v>1.8299999999999999E-16</v>
      </c>
      <c r="CB19" s="6">
        <f>IF(Sort_IDAC!$B19="","",IF(Sort_IDAC!CB19=0,0,ROUND(Sort_IDAC!CB19,-1*INT(LOG10(Sort_IDAC!CB19))+2)))</f>
        <v>1.6000000000000001E-16</v>
      </c>
      <c r="CC19" s="6">
        <f>IF(Sort_IDAC!$B19="","",IF(Sort_IDAC!CC19=0,0,ROUND(Sort_IDAC!CC19,-1*INT(LOG10(Sort_IDAC!CC19))+2)))</f>
        <v>5.0099999999999996E-16</v>
      </c>
      <c r="CD19" s="6"/>
      <c r="CE19" s="6"/>
      <c r="CF19" s="6"/>
      <c r="CG19" s="6"/>
    </row>
    <row r="20" spans="2:85" x14ac:dyDescent="0.15">
      <c r="B20" s="5" t="s">
        <v>12</v>
      </c>
      <c r="C20" s="6">
        <f>IF(Sort_IDAC!$B20="","",IF(Sort_IDAC!C20=0,0,ROUND(Sort_IDAC!C20,-1*INT(LOG10(Sort_IDAC!C20))+2)))</f>
        <v>5.28E-16</v>
      </c>
      <c r="D20" s="6">
        <f>IF(Sort_IDAC!$B20="","",IF(Sort_IDAC!D20=0,0,ROUND(Sort_IDAC!D20,-1*INT(LOG10(Sort_IDAC!D20))+2)))</f>
        <v>2.0500000000000002E-15</v>
      </c>
      <c r="E20" s="6">
        <f>IF(Sort_IDAC!$B20="","",IF(Sort_IDAC!E20=0,0,ROUND(Sort_IDAC!E20,-1*INT(LOG10(Sort_IDAC!E20))+2)))</f>
        <v>7.0499999999999998E-15</v>
      </c>
      <c r="F20" s="6">
        <f>IF(Sort_IDAC!$B20="","",IF(Sort_IDAC!F20=0,0,ROUND(Sort_IDAC!F20,-1*INT(LOG10(Sort_IDAC!F20))+2)))</f>
        <v>7.1800000000000007E-15</v>
      </c>
      <c r="G20" s="6">
        <f>IF(Sort_IDAC!$B20="","",IF(Sort_IDAC!G20=0,0,ROUND(Sort_IDAC!G20,-1*INT(LOG10(Sort_IDAC!G20))+2)))</f>
        <v>1.1600000000000001E-16</v>
      </c>
      <c r="H20" s="6">
        <f>IF(Sort_IDAC!$B20="","",IF(Sort_IDAC!H20=0,0,ROUND(Sort_IDAC!H20,-1*INT(LOG10(Sort_IDAC!H20))+2)))</f>
        <v>4.0299999999999996E-15</v>
      </c>
      <c r="I20" s="6">
        <f>IF(Sort_IDAC!$B20="","",IF(Sort_IDAC!I20=0,0,ROUND(Sort_IDAC!I20,-1*INT(LOG10(Sort_IDAC!I20))+2)))</f>
        <v>1.08E-14</v>
      </c>
      <c r="J20" s="6">
        <f>IF(Sort_IDAC!$B20="","",IF(Sort_IDAC!J20=0,0,ROUND(Sort_IDAC!J20,-1*INT(LOG10(Sort_IDAC!J20))+2)))</f>
        <v>1.08E-14</v>
      </c>
      <c r="K20" s="6">
        <f>IF(Sort_IDAC!$B20="","",IF(Sort_IDAC!K20=0,0,ROUND(Sort_IDAC!K20,-1*INT(LOG10(Sort_IDAC!K20))+2)))</f>
        <v>1.08E-14</v>
      </c>
      <c r="L20" s="6">
        <f>IF(Sort_IDAC!$B20="","",IF(Sort_IDAC!L20=0,0,ROUND(Sort_IDAC!L20,-1*INT(LOG10(Sort_IDAC!L20))+2)))</f>
        <v>7.0499999999999998E-15</v>
      </c>
      <c r="M20" s="6">
        <f>IF(Sort_IDAC!$B20="","",IF(Sort_IDAC!M20=0,0,ROUND(Sort_IDAC!M20,-1*INT(LOG10(Sort_IDAC!M20))+2)))</f>
        <v>7.0499999999999998E-15</v>
      </c>
      <c r="N20" s="6">
        <f>IF(Sort_IDAC!$B20="","",IF(Sort_IDAC!N20=0,0,ROUND(Sort_IDAC!N20,-1*INT(LOG10(Sort_IDAC!N20))+2)))</f>
        <v>7.0499999999999998E-15</v>
      </c>
      <c r="O20" s="6">
        <f>IF(Sort_IDAC!$B20="","",IF(Sort_IDAC!O20=0,0,ROUND(Sort_IDAC!O20,-1*INT(LOG10(Sort_IDAC!O20))+2)))</f>
        <v>9.1300000000000004E-16</v>
      </c>
      <c r="P20" s="6">
        <f>IF(Sort_IDAC!$B20="","",IF(Sort_IDAC!P20=0,0,ROUND(Sort_IDAC!P20,-1*INT(LOG10(Sort_IDAC!P20))+2)))</f>
        <v>1.6600000000000001E-16</v>
      </c>
      <c r="Q20" s="6">
        <f>IF(Sort_IDAC!$B20="","",IF(Sort_IDAC!Q20=0,0,ROUND(Sort_IDAC!Q20,-1*INT(LOG10(Sort_IDAC!Q20))+2)))</f>
        <v>6.07E-16</v>
      </c>
      <c r="R20" s="6">
        <f>IF(Sort_IDAC!$B20="","",IF(Sort_IDAC!R20=0,0,ROUND(Sort_IDAC!R20,-1*INT(LOG10(Sort_IDAC!R20))+2)))</f>
        <v>6.07E-16</v>
      </c>
      <c r="S20" s="6">
        <f>IF(Sort_IDAC!$B20="","",IF(Sort_IDAC!S20=0,0,ROUND(Sort_IDAC!S20,-1*INT(LOG10(Sort_IDAC!S20))+2)))</f>
        <v>3.1700000000000002E-16</v>
      </c>
      <c r="T20" s="6">
        <f>IF(Sort_IDAC!$B20="","",IF(Sort_IDAC!T20=0,0,ROUND(Sort_IDAC!T20,-1*INT(LOG10(Sort_IDAC!T20))+2)))</f>
        <v>4.7500000000000003E-16</v>
      </c>
      <c r="U20" s="6">
        <f>IF(Sort_IDAC!$B20="","",IF(Sort_IDAC!U20=0,0,ROUND(Sort_IDAC!U20,-1*INT(LOG10(Sort_IDAC!U20))+2)))</f>
        <v>4.7500000000000003E-16</v>
      </c>
      <c r="V20" s="6">
        <f>IF(Sort_IDAC!$B20="","",IF(Sort_IDAC!V20=0,0,ROUND(Sort_IDAC!V20,-1*INT(LOG10(Sort_IDAC!V20))+2)))</f>
        <v>4.7500000000000003E-16</v>
      </c>
      <c r="W20" s="6">
        <f>IF(Sort_IDAC!$B20="","",IF(Sort_IDAC!W20=0,0,ROUND(Sort_IDAC!W20,-1*INT(LOG10(Sort_IDAC!W20))+2)))</f>
        <v>4.7500000000000003E-16</v>
      </c>
      <c r="X20" s="6">
        <f>IF(Sort_IDAC!$B20="","",IF(Sort_IDAC!X20=0,0,ROUND(Sort_IDAC!X20,-1*INT(LOG10(Sort_IDAC!X20))+2)))</f>
        <v>4.7500000000000003E-16</v>
      </c>
      <c r="Y20" s="6">
        <f>IF(Sort_IDAC!$B20="","",IF(Sort_IDAC!Y20=0,0,ROUND(Sort_IDAC!Y20,-1*INT(LOG10(Sort_IDAC!Y20))+2)))</f>
        <v>2.3400000000000001E-16</v>
      </c>
      <c r="Z20" s="6">
        <f>IF(Sort_IDAC!$B20="","",IF(Sort_IDAC!Z20=0,0,ROUND(Sort_IDAC!Z20,-1*INT(LOG10(Sort_IDAC!Z20))+2)))</f>
        <v>1.7899999999999999E-15</v>
      </c>
      <c r="AA20" s="6">
        <f>IF(Sort_IDAC!$B20="","",IF(Sort_IDAC!AA20=0,0,ROUND(Sort_IDAC!AA20,-1*INT(LOG10(Sort_IDAC!AA20))+2)))</f>
        <v>1.7899999999999999E-15</v>
      </c>
      <c r="AB20" s="6">
        <f>IF(Sort_IDAC!$B20="","",IF(Sort_IDAC!AB20=0,0,ROUND(Sort_IDAC!AB20,-1*INT(LOG10(Sort_IDAC!AB20))+2)))</f>
        <v>1.53E-13</v>
      </c>
      <c r="AC20" s="6">
        <f>IF(Sort_IDAC!$B20="","",IF(Sort_IDAC!AC20=0,0,ROUND(Sort_IDAC!AC20,-1*INT(LOG10(Sort_IDAC!AC20))+2)))</f>
        <v>9.9800000000000005E-16</v>
      </c>
      <c r="AD20" s="6">
        <f>IF(Sort_IDAC!$B20="","",IF(Sort_IDAC!AD20=0,0,ROUND(Sort_IDAC!AD20,-1*INT(LOG10(Sort_IDAC!AD20))+2)))</f>
        <v>2E-16</v>
      </c>
      <c r="AE20" s="6">
        <f>IF(Sort_IDAC!$B20="","",IF(Sort_IDAC!AE20=0,0,ROUND(Sort_IDAC!AE20,-1*INT(LOG10(Sort_IDAC!AE20))+2)))</f>
        <v>1.9499999999999999E-16</v>
      </c>
      <c r="AF20" s="6">
        <f>IF(Sort_IDAC!$B20="","",IF(Sort_IDAC!AF20=0,0,ROUND(Sort_IDAC!AF20,-1*INT(LOG10(Sort_IDAC!AF20))+2)))</f>
        <v>1.9499999999999999E-16</v>
      </c>
      <c r="AG20" s="6">
        <f>IF(Sort_IDAC!$B20="","",IF(Sort_IDAC!AG20=0,0,ROUND(Sort_IDAC!AG20,-1*INT(LOG10(Sort_IDAC!AG20))+2)))</f>
        <v>2.8599999999999999E-15</v>
      </c>
      <c r="AH20" s="6">
        <f>IF(Sort_IDAC!$B20="","",IF(Sort_IDAC!AH20=0,0,ROUND(Sort_IDAC!AH20,-1*INT(LOG10(Sort_IDAC!AH20))+2)))</f>
        <v>7.1800000000000007E-15</v>
      </c>
      <c r="AI20" s="6">
        <f>IF(Sort_IDAC!$B20="","",IF(Sort_IDAC!AI20=0,0,ROUND(Sort_IDAC!AI20,-1*INT(LOG10(Sort_IDAC!AI20))+2)))</f>
        <v>7.0700000000000001E-15</v>
      </c>
      <c r="AJ20" s="6">
        <f>IF(Sort_IDAC!$B20="","",IF(Sort_IDAC!AJ20=0,0,ROUND(Sort_IDAC!AJ20,-1*INT(LOG10(Sort_IDAC!AJ20))+2)))</f>
        <v>6.8800000000000004E-16</v>
      </c>
      <c r="AK20" s="6">
        <f>IF(Sort_IDAC!$B20="","",IF(Sort_IDAC!AK20=0,0,ROUND(Sort_IDAC!AK20,-1*INT(LOG10(Sort_IDAC!AK20))+2)))</f>
        <v>2.7500000000000001E-15</v>
      </c>
      <c r="AL20" s="6">
        <f>IF(Sort_IDAC!$B20="","",IF(Sort_IDAC!AL20=0,0,ROUND(Sort_IDAC!AL20,-1*INT(LOG10(Sort_IDAC!AL20))+2)))</f>
        <v>1.0499999999999999E-14</v>
      </c>
      <c r="AM20" s="6">
        <f>IF(Sort_IDAC!$B20="","",IF(Sort_IDAC!AM20=0,0,ROUND(Sort_IDAC!AM20,-1*INT(LOG10(Sort_IDAC!AM20))+2)))</f>
        <v>5.4E-16</v>
      </c>
      <c r="AN20" s="6">
        <f>IF(Sort_IDAC!$B20="","",IF(Sort_IDAC!AN20=0,0,ROUND(Sort_IDAC!AN20,-1*INT(LOG10(Sort_IDAC!AN20))+2)))</f>
        <v>1.15E-14</v>
      </c>
      <c r="AO20" s="6">
        <f>IF(Sort_IDAC!$B20="","",IF(Sort_IDAC!AO20=0,0,ROUND(Sort_IDAC!AO20,-1*INT(LOG10(Sort_IDAC!AO20))+2)))</f>
        <v>1.15E-14</v>
      </c>
      <c r="AP20" s="6">
        <f>IF(Sort_IDAC!$B20="","",IF(Sort_IDAC!AP20=0,0,ROUND(Sort_IDAC!AP20,-1*INT(LOG10(Sort_IDAC!AP20))+2)))</f>
        <v>1.15E-14</v>
      </c>
      <c r="AQ20" s="6">
        <f>IF(Sort_IDAC!$B20="","",IF(Sort_IDAC!AQ20=0,0,ROUND(Sort_IDAC!AQ20,-1*INT(LOG10(Sort_IDAC!AQ20))+2)))</f>
        <v>5.0799999999999997E-16</v>
      </c>
      <c r="AR20" s="6">
        <f>IF(Sort_IDAC!$B20="","",IF(Sort_IDAC!AR20=0,0,ROUND(Sort_IDAC!AR20,-1*INT(LOG10(Sort_IDAC!AR20))+2)))</f>
        <v>5.0799999999999997E-16</v>
      </c>
      <c r="AS20" s="6">
        <f>IF(Sort_IDAC!$B20="","",IF(Sort_IDAC!AS20=0,0,ROUND(Sort_IDAC!AS20,-1*INT(LOG10(Sort_IDAC!AS20))+2)))</f>
        <v>3.3699999999999998E-17</v>
      </c>
      <c r="AT20" s="6">
        <f>IF(Sort_IDAC!$B20="","",IF(Sort_IDAC!AT20=0,0,ROUND(Sort_IDAC!AT20,-1*INT(LOG10(Sort_IDAC!AT20))+2)))</f>
        <v>1.2E-15</v>
      </c>
      <c r="AU20" s="6">
        <f>IF(Sort_IDAC!$B20="","",IF(Sort_IDAC!AU20=0,0,ROUND(Sort_IDAC!AU20,-1*INT(LOG10(Sort_IDAC!AU20))+2)))</f>
        <v>2.02E-16</v>
      </c>
      <c r="AV20" s="6">
        <f>IF(Sort_IDAC!$B20="","",IF(Sort_IDAC!AV20=0,0,ROUND(Sort_IDAC!AV20,-1*INT(LOG10(Sort_IDAC!AV20))+2)))</f>
        <v>0</v>
      </c>
      <c r="AW20" s="6">
        <f>IF(Sort_IDAC!$B20="","",IF(Sort_IDAC!AW20=0,0,ROUND(Sort_IDAC!AW20,-1*INT(LOG10(Sort_IDAC!AW20))+2)))</f>
        <v>4.2899999999999998E-17</v>
      </c>
      <c r="AX20" s="6">
        <f>IF(Sort_IDAC!$B20="","",IF(Sort_IDAC!AX20=0,0,ROUND(Sort_IDAC!AX20,-1*INT(LOG10(Sort_IDAC!AX20))+2)))</f>
        <v>3.7700000000000001E-17</v>
      </c>
      <c r="AY20" s="6">
        <f>IF(Sort_IDAC!$B20="","",IF(Sort_IDAC!AY20=0,0,ROUND(Sort_IDAC!AY20,-1*INT(LOG10(Sort_IDAC!AY20))+2)))</f>
        <v>3.7700000000000001E-17</v>
      </c>
      <c r="AZ20" s="6">
        <f>IF(Sort_IDAC!$B20="","",IF(Sort_IDAC!AZ20=0,0,ROUND(Sort_IDAC!AZ20,-1*INT(LOG10(Sort_IDAC!AZ20))+2)))</f>
        <v>1.8300000000000002E-15</v>
      </c>
      <c r="BA20" s="6">
        <f>IF(Sort_IDAC!$B20="","",IF(Sort_IDAC!BA20=0,0,ROUND(Sort_IDAC!BA20,-1*INT(LOG10(Sort_IDAC!BA20))+2)))</f>
        <v>7.0300000000000002E-15</v>
      </c>
      <c r="BB20" s="6">
        <f>IF(Sort_IDAC!$B20="","",IF(Sort_IDAC!BB20=0,0,ROUND(Sort_IDAC!BB20,-1*INT(LOG10(Sort_IDAC!BB20))+2)))</f>
        <v>1.99E-16</v>
      </c>
      <c r="BC20" s="6">
        <f>IF(Sort_IDAC!$B20="","",IF(Sort_IDAC!BC20=0,0,ROUND(Sort_IDAC!BC20,-1*INT(LOG10(Sort_IDAC!BC20))+2)))</f>
        <v>2.02E-16</v>
      </c>
      <c r="BD20" s="6">
        <f>IF(Sort_IDAC!$B20="","",IF(Sort_IDAC!BD20=0,0,ROUND(Sort_IDAC!BD20,-1*INT(LOG10(Sort_IDAC!BD20))+2)))</f>
        <v>2.02E-16</v>
      </c>
      <c r="BE20" s="6">
        <f>IF(Sort_IDAC!$B20="","",IF(Sort_IDAC!BE20=0,0,ROUND(Sort_IDAC!BE20,-1*INT(LOG10(Sort_IDAC!BE20))+2)))</f>
        <v>4.19E-16</v>
      </c>
      <c r="BF20" s="6">
        <f>IF(Sort_IDAC!$B20="","",IF(Sort_IDAC!BF20=0,0,ROUND(Sort_IDAC!BF20,-1*INT(LOG10(Sort_IDAC!BF20))+2)))</f>
        <v>4.1000000000000001E-16</v>
      </c>
      <c r="BG20" s="6">
        <f>IF(Sort_IDAC!$B20="","",IF(Sort_IDAC!BG20=0,0,ROUND(Sort_IDAC!BG20,-1*INT(LOG10(Sort_IDAC!BG20))+2)))</f>
        <v>4.9900000000000002E-16</v>
      </c>
      <c r="BH20" s="6">
        <f>IF(Sort_IDAC!$B20="","",IF(Sort_IDAC!BH20=0,0,ROUND(Sort_IDAC!BH20,-1*INT(LOG10(Sort_IDAC!BH20))+2)))</f>
        <v>3.9200000000000001E-16</v>
      </c>
      <c r="BI20" s="6">
        <f>IF(Sort_IDAC!$B20="","",IF(Sort_IDAC!BI20=0,0,ROUND(Sort_IDAC!BI20,-1*INT(LOG10(Sort_IDAC!BI20))+2)))</f>
        <v>3.9200000000000001E-16</v>
      </c>
      <c r="BJ20" s="6">
        <f>IF(Sort_IDAC!$B20="","",IF(Sort_IDAC!BJ20=0,0,ROUND(Sort_IDAC!BJ20,-1*INT(LOG10(Sort_IDAC!BJ20))+2)))</f>
        <v>3.9200000000000001E-16</v>
      </c>
      <c r="BK20" s="6">
        <f>IF(Sort_IDAC!$B20="","",IF(Sort_IDAC!BK20=0,0,ROUND(Sort_IDAC!BK20,-1*INT(LOG10(Sort_IDAC!BK20))+2)))</f>
        <v>3.0299999999999999E-15</v>
      </c>
      <c r="BL20" s="6">
        <f>IF(Sort_IDAC!$B20="","",IF(Sort_IDAC!BL20=0,0,ROUND(Sort_IDAC!BL20,-1*INT(LOG10(Sort_IDAC!BL20))+2)))</f>
        <v>4.5599999999999999E-15</v>
      </c>
      <c r="BM20" s="6">
        <f>IF(Sort_IDAC!$B20="","",IF(Sort_IDAC!BM20=0,0,ROUND(Sort_IDAC!BM20,-1*INT(LOG10(Sort_IDAC!BM20))+2)))</f>
        <v>3.5000000000000001E-15</v>
      </c>
      <c r="BN20" s="6">
        <f>IF(Sort_IDAC!$B20="","",IF(Sort_IDAC!BN20=0,0,ROUND(Sort_IDAC!BN20,-1*INT(LOG10(Sort_IDAC!BN20))+2)))</f>
        <v>3.5000000000000001E-15</v>
      </c>
      <c r="BO20" s="6">
        <f>IF(Sort_IDAC!$B20="","",IF(Sort_IDAC!BO20=0,0,ROUND(Sort_IDAC!BO20,-1*INT(LOG10(Sort_IDAC!BO20))+2)))</f>
        <v>4.6400000000000005E-16</v>
      </c>
      <c r="BP20" s="6">
        <f>IF(Sort_IDAC!$B20="","",IF(Sort_IDAC!BP20=0,0,ROUND(Sort_IDAC!BP20,-1*INT(LOG10(Sort_IDAC!BP20))+2)))</f>
        <v>4.6400000000000005E-16</v>
      </c>
      <c r="BQ20" s="6">
        <f>IF(Sort_IDAC!$B20="","",IF(Sort_IDAC!BQ20=0,0,ROUND(Sort_IDAC!BQ20,-1*INT(LOG10(Sort_IDAC!BQ20))+2)))</f>
        <v>0</v>
      </c>
      <c r="BR20" s="6">
        <f>IF(Sort_IDAC!$B20="","",IF(Sort_IDAC!BR20=0,0,ROUND(Sort_IDAC!BR20,-1*INT(LOG10(Sort_IDAC!BR20))+2)))</f>
        <v>7.7199999999999992E-15</v>
      </c>
      <c r="BS20" s="6">
        <f>IF(Sort_IDAC!$B20="","",IF(Sort_IDAC!BS20=0,0,ROUND(Sort_IDAC!BS20,-1*INT(LOG10(Sort_IDAC!BS20))+2)))</f>
        <v>1.7400000000000001E-15</v>
      </c>
      <c r="BT20" s="6">
        <f>IF(Sort_IDAC!$B20="","",IF(Sort_IDAC!BT20=0,0,ROUND(Sort_IDAC!BT20,-1*INT(LOG10(Sort_IDAC!BT20))+2)))</f>
        <v>5.1299999999999995E-16</v>
      </c>
      <c r="BU20" s="6">
        <f>IF(Sort_IDAC!$B20="","",IF(Sort_IDAC!BU20=0,0,ROUND(Sort_IDAC!BU20,-1*INT(LOG10(Sort_IDAC!BU20))+2)))</f>
        <v>3.8900000000000001E-16</v>
      </c>
      <c r="BV20" s="6">
        <f>IF(Sort_IDAC!$B20="","",IF(Sort_IDAC!BV20=0,0,ROUND(Sort_IDAC!BV20,-1*INT(LOG10(Sort_IDAC!BV20))+2)))</f>
        <v>9.9800000000000005E-16</v>
      </c>
      <c r="BW20" s="6">
        <f>IF(Sort_IDAC!$B20="","",IF(Sort_IDAC!BW20=0,0,ROUND(Sort_IDAC!BW20,-1*INT(LOG10(Sort_IDAC!BW20))+2)))</f>
        <v>6.2100000000000003E-16</v>
      </c>
      <c r="BX20" s="6">
        <f>IF(Sort_IDAC!$B20="","",IF(Sort_IDAC!BX20=0,0,ROUND(Sort_IDAC!BX20,-1*INT(LOG10(Sort_IDAC!BX20))+2)))</f>
        <v>6.2100000000000003E-16</v>
      </c>
      <c r="BY20" s="6">
        <f>IF(Sort_IDAC!$B20="","",IF(Sort_IDAC!BY20=0,0,ROUND(Sort_IDAC!BY20,-1*INT(LOG10(Sort_IDAC!BY20))+2)))</f>
        <v>3.4700000000000002E-16</v>
      </c>
      <c r="BZ20" s="6">
        <f>IF(Sort_IDAC!$B20="","",IF(Sort_IDAC!BZ20=0,0,ROUND(Sort_IDAC!BZ20,-1*INT(LOG10(Sort_IDAC!BZ20))+2)))</f>
        <v>3.8099999999999999E-17</v>
      </c>
      <c r="CA20" s="6">
        <f>IF(Sort_IDAC!$B20="","",IF(Sort_IDAC!CA20=0,0,ROUND(Sort_IDAC!CA20,-1*INT(LOG10(Sort_IDAC!CA20))+2)))</f>
        <v>3.5499999999999998E-17</v>
      </c>
      <c r="CB20" s="6">
        <f>IF(Sort_IDAC!$B20="","",IF(Sort_IDAC!CB20=0,0,ROUND(Sort_IDAC!CB20,-1*INT(LOG10(Sort_IDAC!CB20))+2)))</f>
        <v>3.42E-17</v>
      </c>
      <c r="CC20" s="6">
        <f>IF(Sort_IDAC!$B20="","",IF(Sort_IDAC!CC20=0,0,ROUND(Sort_IDAC!CC20,-1*INT(LOG10(Sort_IDAC!CC20))+2)))</f>
        <v>4.6499999999999996E-16</v>
      </c>
      <c r="CD20" s="6"/>
      <c r="CE20" s="6"/>
      <c r="CF20" s="6"/>
      <c r="CG20" s="6"/>
    </row>
    <row r="21" spans="2:85" x14ac:dyDescent="0.15">
      <c r="B21" s="5" t="s">
        <v>13</v>
      </c>
      <c r="C21" s="6">
        <f>IF(Sort_IDAC!$B21="","",IF(Sort_IDAC!C21=0,0,ROUND(Sort_IDAC!C21,-1*INT(LOG10(Sort_IDAC!C21))+2)))</f>
        <v>7.4599999999999999E-16</v>
      </c>
      <c r="D21" s="6">
        <f>IF(Sort_IDAC!$B21="","",IF(Sort_IDAC!D21=0,0,ROUND(Sort_IDAC!D21,-1*INT(LOG10(Sort_IDAC!D21))+2)))</f>
        <v>1.55E-14</v>
      </c>
      <c r="E21" s="6">
        <f>IF(Sort_IDAC!$B21="","",IF(Sort_IDAC!E21=0,0,ROUND(Sort_IDAC!E21,-1*INT(LOG10(Sort_IDAC!E21))+2)))</f>
        <v>7.9100000000000003E-16</v>
      </c>
      <c r="F21" s="6">
        <f>IF(Sort_IDAC!$B21="","",IF(Sort_IDAC!F21=0,0,ROUND(Sort_IDAC!F21,-1*INT(LOG10(Sort_IDAC!F21))+2)))</f>
        <v>3.9599999999999997E-15</v>
      </c>
      <c r="G21" s="6">
        <f>IF(Sort_IDAC!$B21="","",IF(Sort_IDAC!G21=0,0,ROUND(Sort_IDAC!G21,-1*INT(LOG10(Sort_IDAC!G21))+2)))</f>
        <v>2.0000000000000001E-17</v>
      </c>
      <c r="H21" s="6">
        <f>IF(Sort_IDAC!$B21="","",IF(Sort_IDAC!H21=0,0,ROUND(Sort_IDAC!H21,-1*INT(LOG10(Sort_IDAC!H21))+2)))</f>
        <v>4.7299999999999999E-16</v>
      </c>
      <c r="I21" s="6">
        <f>IF(Sort_IDAC!$B21="","",IF(Sort_IDAC!I21=0,0,ROUND(Sort_IDAC!I21,-1*INT(LOG10(Sort_IDAC!I21))+2)))</f>
        <v>4.34E-16</v>
      </c>
      <c r="J21" s="6">
        <f>IF(Sort_IDAC!$B21="","",IF(Sort_IDAC!J21=0,0,ROUND(Sort_IDAC!J21,-1*INT(LOG10(Sort_IDAC!J21))+2)))</f>
        <v>4.34E-16</v>
      </c>
      <c r="K21" s="6">
        <f>IF(Sort_IDAC!$B21="","",IF(Sort_IDAC!K21=0,0,ROUND(Sort_IDAC!K21,-1*INT(LOG10(Sort_IDAC!K21))+2)))</f>
        <v>4.34E-16</v>
      </c>
      <c r="L21" s="6">
        <f>IF(Sort_IDAC!$B21="","",IF(Sort_IDAC!L21=0,0,ROUND(Sort_IDAC!L21,-1*INT(LOG10(Sort_IDAC!L21))+2)))</f>
        <v>7.9100000000000003E-16</v>
      </c>
      <c r="M21" s="6">
        <f>IF(Sort_IDAC!$B21="","",IF(Sort_IDAC!M21=0,0,ROUND(Sort_IDAC!M21,-1*INT(LOG10(Sort_IDAC!M21))+2)))</f>
        <v>7.9100000000000003E-16</v>
      </c>
      <c r="N21" s="6">
        <f>IF(Sort_IDAC!$B21="","",IF(Sort_IDAC!N21=0,0,ROUND(Sort_IDAC!N21,-1*INT(LOG10(Sort_IDAC!N21))+2)))</f>
        <v>7.9100000000000003E-16</v>
      </c>
      <c r="O21" s="6">
        <f>IF(Sort_IDAC!$B21="","",IF(Sort_IDAC!O21=0,0,ROUND(Sort_IDAC!O21,-1*INT(LOG10(Sort_IDAC!O21))+2)))</f>
        <v>9.7500000000000007E-16</v>
      </c>
      <c r="P21" s="6">
        <f>IF(Sort_IDAC!$B21="","",IF(Sort_IDAC!P21=0,0,ROUND(Sort_IDAC!P21,-1*INT(LOG10(Sort_IDAC!P21))+2)))</f>
        <v>1.4300000000000001E-16</v>
      </c>
      <c r="Q21" s="6">
        <f>IF(Sort_IDAC!$B21="","",IF(Sort_IDAC!Q21=0,0,ROUND(Sort_IDAC!Q21,-1*INT(LOG10(Sort_IDAC!Q21))+2)))</f>
        <v>6.2700000000000003E-16</v>
      </c>
      <c r="R21" s="6">
        <f>IF(Sort_IDAC!$B21="","",IF(Sort_IDAC!R21=0,0,ROUND(Sort_IDAC!R21,-1*INT(LOG10(Sort_IDAC!R21))+2)))</f>
        <v>6.2700000000000003E-16</v>
      </c>
      <c r="S21" s="6">
        <f>IF(Sort_IDAC!$B21="","",IF(Sort_IDAC!S21=0,0,ROUND(Sort_IDAC!S21,-1*INT(LOG10(Sort_IDAC!S21))+2)))</f>
        <v>5.4499999999999998E-17</v>
      </c>
      <c r="T21" s="6">
        <f>IF(Sort_IDAC!$B21="","",IF(Sort_IDAC!T21=0,0,ROUND(Sort_IDAC!T21,-1*INT(LOG10(Sort_IDAC!T21))+2)))</f>
        <v>5.9299999999999997E-17</v>
      </c>
      <c r="U21" s="6">
        <f>IF(Sort_IDAC!$B21="","",IF(Sort_IDAC!U21=0,0,ROUND(Sort_IDAC!U21,-1*INT(LOG10(Sort_IDAC!U21))+2)))</f>
        <v>5.9299999999999997E-17</v>
      </c>
      <c r="V21" s="6">
        <f>IF(Sort_IDAC!$B21="","",IF(Sort_IDAC!V21=0,0,ROUND(Sort_IDAC!V21,-1*INT(LOG10(Sort_IDAC!V21))+2)))</f>
        <v>5.9299999999999997E-17</v>
      </c>
      <c r="W21" s="6">
        <f>IF(Sort_IDAC!$B21="","",IF(Sort_IDAC!W21=0,0,ROUND(Sort_IDAC!W21,-1*INT(LOG10(Sort_IDAC!W21))+2)))</f>
        <v>5.9299999999999997E-17</v>
      </c>
      <c r="X21" s="6">
        <f>IF(Sort_IDAC!$B21="","",IF(Sort_IDAC!X21=0,0,ROUND(Sort_IDAC!X21,-1*INT(LOG10(Sort_IDAC!X21))+2)))</f>
        <v>5.9299999999999997E-17</v>
      </c>
      <c r="Y21" s="6">
        <f>IF(Sort_IDAC!$B21="","",IF(Sort_IDAC!Y21=0,0,ROUND(Sort_IDAC!Y21,-1*INT(LOG10(Sort_IDAC!Y21))+2)))</f>
        <v>4.3799999999999998E-17</v>
      </c>
      <c r="Z21" s="6">
        <f>IF(Sort_IDAC!$B21="","",IF(Sort_IDAC!Z21=0,0,ROUND(Sort_IDAC!Z21,-1*INT(LOG10(Sort_IDAC!Z21))+2)))</f>
        <v>7.8999999999999998E-15</v>
      </c>
      <c r="AA21" s="6">
        <f>IF(Sort_IDAC!$B21="","",IF(Sort_IDAC!AA21=0,0,ROUND(Sort_IDAC!AA21,-1*INT(LOG10(Sort_IDAC!AA21))+2)))</f>
        <v>8.5000000000000001E-15</v>
      </c>
      <c r="AB21" s="6">
        <f>IF(Sort_IDAC!$B21="","",IF(Sort_IDAC!AB21=0,0,ROUND(Sort_IDAC!AB21,-1*INT(LOG10(Sort_IDAC!AB21))+2)))</f>
        <v>1.0000000000000001E-15</v>
      </c>
      <c r="AC21" s="6">
        <f>IF(Sort_IDAC!$B21="","",IF(Sort_IDAC!AC21=0,0,ROUND(Sort_IDAC!AC21,-1*INT(LOG10(Sort_IDAC!AC21))+2)))</f>
        <v>1.3899999999999999E-13</v>
      </c>
      <c r="AD21" s="6">
        <f>IF(Sort_IDAC!$B21="","",IF(Sort_IDAC!AD21=0,0,ROUND(Sort_IDAC!AD21,-1*INT(LOG10(Sort_IDAC!AD21))+2)))</f>
        <v>1.5499999999999999E-15</v>
      </c>
      <c r="AE21" s="6">
        <f>IF(Sort_IDAC!$B21="","",IF(Sort_IDAC!AE21=0,0,ROUND(Sort_IDAC!AE21,-1*INT(LOG10(Sort_IDAC!AE21))+2)))</f>
        <v>1.52E-15</v>
      </c>
      <c r="AF21" s="6">
        <f>IF(Sort_IDAC!$B21="","",IF(Sort_IDAC!AF21=0,0,ROUND(Sort_IDAC!AF21,-1*INT(LOG10(Sort_IDAC!AF21))+2)))</f>
        <v>1.52E-15</v>
      </c>
      <c r="AG21" s="6">
        <f>IF(Sort_IDAC!$B21="","",IF(Sort_IDAC!AG21=0,0,ROUND(Sort_IDAC!AG21,-1*INT(LOG10(Sort_IDAC!AG21))+2)))</f>
        <v>4.32E-15</v>
      </c>
      <c r="AH21" s="6">
        <f>IF(Sort_IDAC!$B21="","",IF(Sort_IDAC!AH21=0,0,ROUND(Sort_IDAC!AH21,-1*INT(LOG10(Sort_IDAC!AH21))+2)))</f>
        <v>7.7900000000000004E-16</v>
      </c>
      <c r="AI21" s="6">
        <f>IF(Sort_IDAC!$B21="","",IF(Sort_IDAC!AI21=0,0,ROUND(Sort_IDAC!AI21,-1*INT(LOG10(Sort_IDAC!AI21))+2)))</f>
        <v>8.0900000000000003E-16</v>
      </c>
      <c r="AJ21" s="6">
        <f>IF(Sort_IDAC!$B21="","",IF(Sort_IDAC!AJ21=0,0,ROUND(Sort_IDAC!AJ21,-1*INT(LOG10(Sort_IDAC!AJ21))+2)))</f>
        <v>8.1100000000000001E-17</v>
      </c>
      <c r="AK21" s="6">
        <f>IF(Sort_IDAC!$B21="","",IF(Sort_IDAC!AK21=0,0,ROUND(Sort_IDAC!AK21,-1*INT(LOG10(Sort_IDAC!AK21))+2)))</f>
        <v>2.7000000000000001E-15</v>
      </c>
      <c r="AL21" s="6">
        <f>IF(Sort_IDAC!$B21="","",IF(Sort_IDAC!AL21=0,0,ROUND(Sort_IDAC!AL21,-1*INT(LOG10(Sort_IDAC!AL21))+2)))</f>
        <v>3.67E-16</v>
      </c>
      <c r="AM21" s="6">
        <f>IF(Sort_IDAC!$B21="","",IF(Sort_IDAC!AM21=0,0,ROUND(Sort_IDAC!AM21,-1*INT(LOG10(Sort_IDAC!AM21))+2)))</f>
        <v>8.0300000000000003E-16</v>
      </c>
      <c r="AN21" s="6">
        <f>IF(Sort_IDAC!$B21="","",IF(Sort_IDAC!AN21=0,0,ROUND(Sort_IDAC!AN21,-1*INT(LOG10(Sort_IDAC!AN21))+2)))</f>
        <v>8.5800000000000004E-16</v>
      </c>
      <c r="AO21" s="6">
        <f>IF(Sort_IDAC!$B21="","",IF(Sort_IDAC!AO21=0,0,ROUND(Sort_IDAC!AO21,-1*INT(LOG10(Sort_IDAC!AO21))+2)))</f>
        <v>8.5800000000000004E-16</v>
      </c>
      <c r="AP21" s="6">
        <f>IF(Sort_IDAC!$B21="","",IF(Sort_IDAC!AP21=0,0,ROUND(Sort_IDAC!AP21,-1*INT(LOG10(Sort_IDAC!AP21))+2)))</f>
        <v>8.5800000000000004E-16</v>
      </c>
      <c r="AQ21" s="6">
        <f>IF(Sort_IDAC!$B21="","",IF(Sort_IDAC!AQ21=0,0,ROUND(Sort_IDAC!AQ21,-1*INT(LOG10(Sort_IDAC!AQ21))+2)))</f>
        <v>6.75E-17</v>
      </c>
      <c r="AR21" s="6">
        <f>IF(Sort_IDAC!$B21="","",IF(Sort_IDAC!AR21=0,0,ROUND(Sort_IDAC!AR21,-1*INT(LOG10(Sort_IDAC!AR21))+2)))</f>
        <v>6.75E-17</v>
      </c>
      <c r="AS21" s="6">
        <f>IF(Sort_IDAC!$B21="","",IF(Sort_IDAC!AS21=0,0,ROUND(Sort_IDAC!AS21,-1*INT(LOG10(Sort_IDAC!AS21))+2)))</f>
        <v>2.6899999999999998E-16</v>
      </c>
      <c r="AT21" s="6">
        <f>IF(Sort_IDAC!$B21="","",IF(Sort_IDAC!AT21=0,0,ROUND(Sort_IDAC!AT21,-1*INT(LOG10(Sort_IDAC!AT21))+2)))</f>
        <v>1E-14</v>
      </c>
      <c r="AU21" s="6">
        <f>IF(Sort_IDAC!$B21="","",IF(Sort_IDAC!AU21=0,0,ROUND(Sort_IDAC!AU21,-1*INT(LOG10(Sort_IDAC!AU21))+2)))</f>
        <v>2.8599999999999999E-17</v>
      </c>
      <c r="AV21" s="6">
        <f>IF(Sort_IDAC!$B21="","",IF(Sort_IDAC!AV21=0,0,ROUND(Sort_IDAC!AV21,-1*INT(LOG10(Sort_IDAC!AV21))+2)))</f>
        <v>0</v>
      </c>
      <c r="AW21" s="6">
        <f>IF(Sort_IDAC!$B21="","",IF(Sort_IDAC!AW21=0,0,ROUND(Sort_IDAC!AW21,-1*INT(LOG10(Sort_IDAC!AW21))+2)))</f>
        <v>3.5399999999999998E-16</v>
      </c>
      <c r="AX21" s="6">
        <f>IF(Sort_IDAC!$B21="","",IF(Sort_IDAC!AX21=0,0,ROUND(Sort_IDAC!AX21,-1*INT(LOG10(Sort_IDAC!AX21))+2)))</f>
        <v>2.9899999999999998E-16</v>
      </c>
      <c r="AY21" s="6">
        <f>IF(Sort_IDAC!$B21="","",IF(Sort_IDAC!AY21=0,0,ROUND(Sort_IDAC!AY21,-1*INT(LOG10(Sort_IDAC!AY21))+2)))</f>
        <v>2.9899999999999998E-16</v>
      </c>
      <c r="AZ21" s="6">
        <f>IF(Sort_IDAC!$B21="","",IF(Sort_IDAC!AZ21=0,0,ROUND(Sort_IDAC!AZ21,-1*INT(LOG10(Sort_IDAC!AZ21))+2)))</f>
        <v>1.71E-15</v>
      </c>
      <c r="BA21" s="6">
        <f>IF(Sort_IDAC!$B21="","",IF(Sort_IDAC!BA21=0,0,ROUND(Sort_IDAC!BA21,-1*INT(LOG10(Sort_IDAC!BA21))+2)))</f>
        <v>7.8099999999999997E-16</v>
      </c>
      <c r="BB21" s="6">
        <f>IF(Sort_IDAC!$B21="","",IF(Sort_IDAC!BB21=0,0,ROUND(Sort_IDAC!BB21,-1*INT(LOG10(Sort_IDAC!BB21))+2)))</f>
        <v>3.0400000000000001E-15</v>
      </c>
      <c r="BC21" s="6">
        <f>IF(Sort_IDAC!$B21="","",IF(Sort_IDAC!BC21=0,0,ROUND(Sort_IDAC!BC21,-1*INT(LOG10(Sort_IDAC!BC21))+2)))</f>
        <v>3.4800000000000001E-15</v>
      </c>
      <c r="BD21" s="6">
        <f>IF(Sort_IDAC!$B21="","",IF(Sort_IDAC!BD21=0,0,ROUND(Sort_IDAC!BD21,-1*INT(LOG10(Sort_IDAC!BD21))+2)))</f>
        <v>3.4800000000000001E-15</v>
      </c>
      <c r="BE21" s="6">
        <f>IF(Sort_IDAC!$B21="","",IF(Sort_IDAC!BE21=0,0,ROUND(Sort_IDAC!BE21,-1*INT(LOG10(Sort_IDAC!BE21))+2)))</f>
        <v>5.7400000000000006E-17</v>
      </c>
      <c r="BF21" s="6">
        <f>IF(Sort_IDAC!$B21="","",IF(Sort_IDAC!BF21=0,0,ROUND(Sort_IDAC!BF21,-1*INT(LOG10(Sort_IDAC!BF21))+2)))</f>
        <v>4.0400000000000001E-16</v>
      </c>
      <c r="BG21" s="6">
        <f>IF(Sort_IDAC!$B21="","",IF(Sort_IDAC!BG21=0,0,ROUND(Sort_IDAC!BG21,-1*INT(LOG10(Sort_IDAC!BG21))+2)))</f>
        <v>4.76E-15</v>
      </c>
      <c r="BH21" s="6">
        <f>IF(Sort_IDAC!$B21="","",IF(Sort_IDAC!BH21=0,0,ROUND(Sort_IDAC!BH21,-1*INT(LOG10(Sort_IDAC!BH21))+2)))</f>
        <v>3.9199999999999998E-15</v>
      </c>
      <c r="BI21" s="6">
        <f>IF(Sort_IDAC!$B21="","",IF(Sort_IDAC!BI21=0,0,ROUND(Sort_IDAC!BI21,-1*INT(LOG10(Sort_IDAC!BI21))+2)))</f>
        <v>3.9199999999999998E-15</v>
      </c>
      <c r="BJ21" s="6">
        <f>IF(Sort_IDAC!$B21="","",IF(Sort_IDAC!BJ21=0,0,ROUND(Sort_IDAC!BJ21,-1*INT(LOG10(Sort_IDAC!BJ21))+2)))</f>
        <v>3.9199999999999998E-15</v>
      </c>
      <c r="BK21" s="6">
        <f>IF(Sort_IDAC!$B21="","",IF(Sort_IDAC!BK21=0,0,ROUND(Sort_IDAC!BK21,-1*INT(LOG10(Sort_IDAC!BK21))+2)))</f>
        <v>6.0599999999999999E-15</v>
      </c>
      <c r="BL21" s="6">
        <f>IF(Sort_IDAC!$B21="","",IF(Sort_IDAC!BL21=0,0,ROUND(Sort_IDAC!BL21,-1*INT(LOG10(Sort_IDAC!BL21))+2)))</f>
        <v>4.76E-15</v>
      </c>
      <c r="BM21" s="6">
        <f>IF(Sort_IDAC!$B21="","",IF(Sort_IDAC!BM21=0,0,ROUND(Sort_IDAC!BM21,-1*INT(LOG10(Sort_IDAC!BM21))+2)))</f>
        <v>4.7299999999999999E-15</v>
      </c>
      <c r="BN21" s="6">
        <f>IF(Sort_IDAC!$B21="","",IF(Sort_IDAC!BN21=0,0,ROUND(Sort_IDAC!BN21,-1*INT(LOG10(Sort_IDAC!BN21))+2)))</f>
        <v>4.7299999999999999E-15</v>
      </c>
      <c r="BO21" s="6">
        <f>IF(Sort_IDAC!$B21="","",IF(Sort_IDAC!BO21=0,0,ROUND(Sort_IDAC!BO21,-1*INT(LOG10(Sort_IDAC!BO21))+2)))</f>
        <v>6.63E-17</v>
      </c>
      <c r="BP21" s="6">
        <f>IF(Sort_IDAC!$B21="","",IF(Sort_IDAC!BP21=0,0,ROUND(Sort_IDAC!BP21,-1*INT(LOG10(Sort_IDAC!BP21))+2)))</f>
        <v>6.63E-17</v>
      </c>
      <c r="BQ21" s="6">
        <f>IF(Sort_IDAC!$B21="","",IF(Sort_IDAC!BQ21=0,0,ROUND(Sort_IDAC!BQ21,-1*INT(LOG10(Sort_IDAC!BQ21))+2)))</f>
        <v>0</v>
      </c>
      <c r="BR21" s="6">
        <f>IF(Sort_IDAC!$B21="","",IF(Sort_IDAC!BR21=0,0,ROUND(Sort_IDAC!BR21,-1*INT(LOG10(Sort_IDAC!BR21))+2)))</f>
        <v>2.73E-16</v>
      </c>
      <c r="BS21" s="6">
        <f>IF(Sort_IDAC!$B21="","",IF(Sort_IDAC!BS21=0,0,ROUND(Sort_IDAC!BS21,-1*INT(LOG10(Sort_IDAC!BS21))+2)))</f>
        <v>1.4499999999999999E-16</v>
      </c>
      <c r="BT21" s="6">
        <f>IF(Sort_IDAC!$B21="","",IF(Sort_IDAC!BT21=0,0,ROUND(Sort_IDAC!BT21,-1*INT(LOG10(Sort_IDAC!BT21))+2)))</f>
        <v>6.7699999999999996E-17</v>
      </c>
      <c r="BU21" s="6">
        <f>IF(Sort_IDAC!$B21="","",IF(Sort_IDAC!BU21=0,0,ROUND(Sort_IDAC!BU21,-1*INT(LOG10(Sort_IDAC!BU21))+2)))</f>
        <v>5.1499999999999999E-17</v>
      </c>
      <c r="BV21" s="6">
        <f>IF(Sort_IDAC!$B21="","",IF(Sort_IDAC!BV21=0,0,ROUND(Sort_IDAC!BV21,-1*INT(LOG10(Sort_IDAC!BV21))+2)))</f>
        <v>9.4499999999999997E-16</v>
      </c>
      <c r="BW21" s="6">
        <f>IF(Sort_IDAC!$B21="","",IF(Sort_IDAC!BW21=0,0,ROUND(Sort_IDAC!BW21,-1*INT(LOG10(Sort_IDAC!BW21))+2)))</f>
        <v>8.5999999999999997E-16</v>
      </c>
      <c r="BX21" s="6">
        <f>IF(Sort_IDAC!$B21="","",IF(Sort_IDAC!BX21=0,0,ROUND(Sort_IDAC!BX21,-1*INT(LOG10(Sort_IDAC!BX21))+2)))</f>
        <v>8.5999999999999997E-16</v>
      </c>
      <c r="BY21" s="6">
        <f>IF(Sort_IDAC!$B21="","",IF(Sort_IDAC!BY21=0,0,ROUND(Sort_IDAC!BY21,-1*INT(LOG10(Sort_IDAC!BY21))+2)))</f>
        <v>5.3899999999999996E-15</v>
      </c>
      <c r="BZ21" s="6">
        <f>IF(Sort_IDAC!$B21="","",IF(Sort_IDAC!BZ21=0,0,ROUND(Sort_IDAC!BZ21,-1*INT(LOG10(Sort_IDAC!BZ21))+2)))</f>
        <v>2.8000000000000001E-16</v>
      </c>
      <c r="CA21" s="6">
        <f>IF(Sort_IDAC!$B21="","",IF(Sort_IDAC!CA21=0,0,ROUND(Sort_IDAC!CA21,-1*INT(LOG10(Sort_IDAC!CA21))+2)))</f>
        <v>2.58E-16</v>
      </c>
      <c r="CB21" s="6">
        <f>IF(Sort_IDAC!$B21="","",IF(Sort_IDAC!CB21=0,0,ROUND(Sort_IDAC!CB21,-1*INT(LOG10(Sort_IDAC!CB21))+2)))</f>
        <v>2.7100000000000002E-16</v>
      </c>
      <c r="CC21" s="6">
        <f>IF(Sort_IDAC!$B21="","",IF(Sort_IDAC!CC21=0,0,ROUND(Sort_IDAC!CC21,-1*INT(LOG10(Sort_IDAC!CC21))+2)))</f>
        <v>4.55E-16</v>
      </c>
      <c r="CD21" s="6"/>
      <c r="CE21" s="6"/>
      <c r="CF21" s="6"/>
      <c r="CG21" s="6"/>
    </row>
    <row r="22" spans="2:85" x14ac:dyDescent="0.15">
      <c r="B22" s="5" t="s">
        <v>14</v>
      </c>
      <c r="C22" s="6">
        <f>IF(Sort_IDAC!$B22="","",IF(Sort_IDAC!C22=0,0,ROUND(Sort_IDAC!C22,-1*INT(LOG10(Sort_IDAC!C22))+2)))</f>
        <v>9.0499999999999991E-16</v>
      </c>
      <c r="D22" s="6">
        <f>IF(Sort_IDAC!$B22="","",IF(Sort_IDAC!D22=0,0,ROUND(Sort_IDAC!D22,-1*INT(LOG10(Sort_IDAC!D22))+2)))</f>
        <v>7.0799999999999997E-16</v>
      </c>
      <c r="E22" s="6">
        <f>IF(Sort_IDAC!$B22="","",IF(Sort_IDAC!E22=0,0,ROUND(Sort_IDAC!E22,-1*INT(LOG10(Sort_IDAC!E22))+2)))</f>
        <v>1.3899999999999999E-16</v>
      </c>
      <c r="F22" s="6">
        <f>IF(Sort_IDAC!$B22="","",IF(Sort_IDAC!F22=0,0,ROUND(Sort_IDAC!F22,-1*INT(LOG10(Sort_IDAC!F22))+2)))</f>
        <v>2.9999999999999998E-15</v>
      </c>
      <c r="G22" s="6">
        <f>IF(Sort_IDAC!$B22="","",IF(Sort_IDAC!G22=0,0,ROUND(Sort_IDAC!G22,-1*INT(LOG10(Sort_IDAC!G22))+2)))</f>
        <v>5.2399999999999999E-18</v>
      </c>
      <c r="H22" s="6">
        <f>IF(Sort_IDAC!$B22="","",IF(Sort_IDAC!H22=0,0,ROUND(Sort_IDAC!H22,-1*INT(LOG10(Sort_IDAC!H22))+2)))</f>
        <v>1.17E-16</v>
      </c>
      <c r="I22" s="6">
        <f>IF(Sort_IDAC!$B22="","",IF(Sort_IDAC!I22=0,0,ROUND(Sort_IDAC!I22,-1*INT(LOG10(Sort_IDAC!I22))+2)))</f>
        <v>7.7599999999999994E-17</v>
      </c>
      <c r="J22" s="6">
        <f>IF(Sort_IDAC!$B22="","",IF(Sort_IDAC!J22=0,0,ROUND(Sort_IDAC!J22,-1*INT(LOG10(Sort_IDAC!J22))+2)))</f>
        <v>7.7599999999999994E-17</v>
      </c>
      <c r="K22" s="6">
        <f>IF(Sort_IDAC!$B22="","",IF(Sort_IDAC!K22=0,0,ROUND(Sort_IDAC!K22,-1*INT(LOG10(Sort_IDAC!K22))+2)))</f>
        <v>7.7599999999999994E-17</v>
      </c>
      <c r="L22" s="6">
        <f>IF(Sort_IDAC!$B22="","",IF(Sort_IDAC!L22=0,0,ROUND(Sort_IDAC!L22,-1*INT(LOG10(Sort_IDAC!L22))+2)))</f>
        <v>1.3899999999999999E-16</v>
      </c>
      <c r="M22" s="6">
        <f>IF(Sort_IDAC!$B22="","",IF(Sort_IDAC!M22=0,0,ROUND(Sort_IDAC!M22,-1*INT(LOG10(Sort_IDAC!M22))+2)))</f>
        <v>1.3899999999999999E-16</v>
      </c>
      <c r="N22" s="6">
        <f>IF(Sort_IDAC!$B22="","",IF(Sort_IDAC!N22=0,0,ROUND(Sort_IDAC!N22,-1*INT(LOG10(Sort_IDAC!N22))+2)))</f>
        <v>1.3899999999999999E-16</v>
      </c>
      <c r="O22" s="6">
        <f>IF(Sort_IDAC!$B22="","",IF(Sort_IDAC!O22=0,0,ROUND(Sort_IDAC!O22,-1*INT(LOG10(Sort_IDAC!O22))+2)))</f>
        <v>8.4699999999999996E-16</v>
      </c>
      <c r="P22" s="6">
        <f>IF(Sort_IDAC!$B22="","",IF(Sort_IDAC!P22=0,0,ROUND(Sort_IDAC!P22,-1*INT(LOG10(Sort_IDAC!P22))+2)))</f>
        <v>1.2200000000000001E-16</v>
      </c>
      <c r="Q22" s="6">
        <f>IF(Sort_IDAC!$B22="","",IF(Sort_IDAC!Q22=0,0,ROUND(Sort_IDAC!Q22,-1*INT(LOG10(Sort_IDAC!Q22))+2)))</f>
        <v>5.1800000000000004E-16</v>
      </c>
      <c r="R22" s="6">
        <f>IF(Sort_IDAC!$B22="","",IF(Sort_IDAC!R22=0,0,ROUND(Sort_IDAC!R22,-1*INT(LOG10(Sort_IDAC!R22))+2)))</f>
        <v>5.1800000000000004E-16</v>
      </c>
      <c r="S22" s="6">
        <f>IF(Sort_IDAC!$B22="","",IF(Sort_IDAC!S22=0,0,ROUND(Sort_IDAC!S22,-1*INT(LOG10(Sort_IDAC!S22))+2)))</f>
        <v>2.0000000000000001E-17</v>
      </c>
      <c r="T22" s="6">
        <f>IF(Sort_IDAC!$B22="","",IF(Sort_IDAC!T22=0,0,ROUND(Sort_IDAC!T22,-1*INT(LOG10(Sort_IDAC!T22))+2)))</f>
        <v>1.33E-17</v>
      </c>
      <c r="U22" s="6">
        <f>IF(Sort_IDAC!$B22="","",IF(Sort_IDAC!U22=0,0,ROUND(Sort_IDAC!U22,-1*INT(LOG10(Sort_IDAC!U22))+2)))</f>
        <v>1.33E-17</v>
      </c>
      <c r="V22" s="6">
        <f>IF(Sort_IDAC!$B22="","",IF(Sort_IDAC!V22=0,0,ROUND(Sort_IDAC!V22,-1*INT(LOG10(Sort_IDAC!V22))+2)))</f>
        <v>1.33E-17</v>
      </c>
      <c r="W22" s="6">
        <f>IF(Sort_IDAC!$B22="","",IF(Sort_IDAC!W22=0,0,ROUND(Sort_IDAC!W22,-1*INT(LOG10(Sort_IDAC!W22))+2)))</f>
        <v>1.33E-17</v>
      </c>
      <c r="X22" s="6">
        <f>IF(Sort_IDAC!$B22="","",IF(Sort_IDAC!X22=0,0,ROUND(Sort_IDAC!X22,-1*INT(LOG10(Sort_IDAC!X22))+2)))</f>
        <v>1.33E-17</v>
      </c>
      <c r="Y22" s="6">
        <f>IF(Sort_IDAC!$B22="","",IF(Sort_IDAC!Y22=0,0,ROUND(Sort_IDAC!Y22,-1*INT(LOG10(Sort_IDAC!Y22))+2)))</f>
        <v>1.7200000000000001E-17</v>
      </c>
      <c r="Z22" s="6">
        <f>IF(Sort_IDAC!$B22="","",IF(Sort_IDAC!Z22=0,0,ROUND(Sort_IDAC!Z22,-1*INT(LOG10(Sort_IDAC!Z22))+2)))</f>
        <v>8.98E-16</v>
      </c>
      <c r="AA22" s="6">
        <f>IF(Sort_IDAC!$B22="","",IF(Sort_IDAC!AA22=0,0,ROUND(Sort_IDAC!AA22,-1*INT(LOG10(Sort_IDAC!AA22))+2)))</f>
        <v>8.7799999999999997E-16</v>
      </c>
      <c r="AB22" s="6">
        <f>IF(Sort_IDAC!$B22="","",IF(Sort_IDAC!AB22=0,0,ROUND(Sort_IDAC!AB22,-1*INT(LOG10(Sort_IDAC!AB22))+2)))</f>
        <v>1.97E-16</v>
      </c>
      <c r="AC22" s="6">
        <f>IF(Sort_IDAC!$B22="","",IF(Sort_IDAC!AC22=0,0,ROUND(Sort_IDAC!AC22,-1*INT(LOG10(Sort_IDAC!AC22))+2)))</f>
        <v>1.52E-15</v>
      </c>
      <c r="AD22" s="6">
        <f>IF(Sort_IDAC!$B22="","",IF(Sort_IDAC!AD22=0,0,ROUND(Sort_IDAC!AD22,-1*INT(LOG10(Sort_IDAC!AD22))+2)))</f>
        <v>4.8600000000000002E-14</v>
      </c>
      <c r="AE22" s="6">
        <f>IF(Sort_IDAC!$B22="","",IF(Sort_IDAC!AE22=0,0,ROUND(Sort_IDAC!AE22,-1*INT(LOG10(Sort_IDAC!AE22))+2)))</f>
        <v>9.2199999999999991E-13</v>
      </c>
      <c r="AF22" s="6">
        <f>IF(Sort_IDAC!$B22="","",IF(Sort_IDAC!AF22=0,0,ROUND(Sort_IDAC!AF22,-1*INT(LOG10(Sort_IDAC!AF22))+2)))</f>
        <v>2.2199999999999999E-13</v>
      </c>
      <c r="AG22" s="6">
        <f>IF(Sort_IDAC!$B22="","",IF(Sort_IDAC!AG22=0,0,ROUND(Sort_IDAC!AG22,-1*INT(LOG10(Sort_IDAC!AG22))+2)))</f>
        <v>4.9499999999999996E-16</v>
      </c>
      <c r="AH22" s="6">
        <f>IF(Sort_IDAC!$B22="","",IF(Sort_IDAC!AH22=0,0,ROUND(Sort_IDAC!AH22,-1*INT(LOG10(Sort_IDAC!AH22))+2)))</f>
        <v>1.3700000000000001E-16</v>
      </c>
      <c r="AI22" s="6">
        <f>IF(Sort_IDAC!$B22="","",IF(Sort_IDAC!AI22=0,0,ROUND(Sort_IDAC!AI22,-1*INT(LOG10(Sort_IDAC!AI22))+2)))</f>
        <v>1.4199999999999999E-16</v>
      </c>
      <c r="AJ22" s="6">
        <f>IF(Sort_IDAC!$B22="","",IF(Sort_IDAC!AJ22=0,0,ROUND(Sort_IDAC!AJ22,-1*INT(LOG10(Sort_IDAC!AJ22))+2)))</f>
        <v>1.8700000000000001E-17</v>
      </c>
      <c r="AK22" s="6">
        <f>IF(Sort_IDAC!$B22="","",IF(Sort_IDAC!AK22=0,0,ROUND(Sort_IDAC!AK22,-1*INT(LOG10(Sort_IDAC!AK22))+2)))</f>
        <v>3.6300000000000002E-15</v>
      </c>
      <c r="AL22" s="6">
        <f>IF(Sort_IDAC!$B22="","",IF(Sort_IDAC!AL22=0,0,ROUND(Sort_IDAC!AL22,-1*INT(LOG10(Sort_IDAC!AL22))+2)))</f>
        <v>6.6E-17</v>
      </c>
      <c r="AM22" s="6">
        <f>IF(Sort_IDAC!$B22="","",IF(Sort_IDAC!AM22=0,0,ROUND(Sort_IDAC!AM22,-1*INT(LOG10(Sort_IDAC!AM22))+2)))</f>
        <v>9.2899999999999991E-16</v>
      </c>
      <c r="AN22" s="6">
        <f>IF(Sort_IDAC!$B22="","",IF(Sort_IDAC!AN22=0,0,ROUND(Sort_IDAC!AN22,-1*INT(LOG10(Sort_IDAC!AN22))+2)))</f>
        <v>1.3100000000000001E-16</v>
      </c>
      <c r="AO22" s="6">
        <f>IF(Sort_IDAC!$B22="","",IF(Sort_IDAC!AO22=0,0,ROUND(Sort_IDAC!AO22,-1*INT(LOG10(Sort_IDAC!AO22))+2)))</f>
        <v>1.3100000000000001E-16</v>
      </c>
      <c r="AP22" s="6">
        <f>IF(Sort_IDAC!$B22="","",IF(Sort_IDAC!AP22=0,0,ROUND(Sort_IDAC!AP22,-1*INT(LOG10(Sort_IDAC!AP22))+2)))</f>
        <v>1.3100000000000001E-16</v>
      </c>
      <c r="AQ22" s="6">
        <f>IF(Sort_IDAC!$B22="","",IF(Sort_IDAC!AQ22=0,0,ROUND(Sort_IDAC!AQ22,-1*INT(LOG10(Sort_IDAC!AQ22))+2)))</f>
        <v>1.8799999999999999E-17</v>
      </c>
      <c r="AR22" s="6">
        <f>IF(Sort_IDAC!$B22="","",IF(Sort_IDAC!AR22=0,0,ROUND(Sort_IDAC!AR22,-1*INT(LOG10(Sort_IDAC!AR22))+2)))</f>
        <v>1.8799999999999999E-17</v>
      </c>
      <c r="AS22" s="6">
        <f>IF(Sort_IDAC!$B22="","",IF(Sort_IDAC!AS22=0,0,ROUND(Sort_IDAC!AS22,-1*INT(LOG10(Sort_IDAC!AS22))+2)))</f>
        <v>1.3E-15</v>
      </c>
      <c r="AT22" s="6">
        <f>IF(Sort_IDAC!$B22="","",IF(Sort_IDAC!AT22=0,0,ROUND(Sort_IDAC!AT22,-1*INT(LOG10(Sort_IDAC!AT22))+2)))</f>
        <v>1.7299999999999999E-15</v>
      </c>
      <c r="AU22" s="6">
        <f>IF(Sort_IDAC!$B22="","",IF(Sort_IDAC!AU22=0,0,ROUND(Sort_IDAC!AU22,-1*INT(LOG10(Sort_IDAC!AU22))+2)))</f>
        <v>6.8800000000000004E-18</v>
      </c>
      <c r="AV22" s="6">
        <f>IF(Sort_IDAC!$B22="","",IF(Sort_IDAC!AV22=0,0,ROUND(Sort_IDAC!AV22,-1*INT(LOG10(Sort_IDAC!AV22))+2)))</f>
        <v>0</v>
      </c>
      <c r="AW22" s="6">
        <f>IF(Sort_IDAC!$B22="","",IF(Sort_IDAC!AW22=0,0,ROUND(Sort_IDAC!AW22,-1*INT(LOG10(Sort_IDAC!AW22))+2)))</f>
        <v>2.8000000000000001E-15</v>
      </c>
      <c r="AX22" s="6">
        <f>IF(Sort_IDAC!$B22="","",IF(Sort_IDAC!AX22=0,0,ROUND(Sort_IDAC!AX22,-1*INT(LOG10(Sort_IDAC!AX22))+2)))</f>
        <v>2.2200000000000002E-15</v>
      </c>
      <c r="AY22" s="6">
        <f>IF(Sort_IDAC!$B22="","",IF(Sort_IDAC!AY22=0,0,ROUND(Sort_IDAC!AY22,-1*INT(LOG10(Sort_IDAC!AY22))+2)))</f>
        <v>2.2200000000000002E-15</v>
      </c>
      <c r="AZ22" s="6">
        <f>IF(Sort_IDAC!$B22="","",IF(Sort_IDAC!AZ22=0,0,ROUND(Sort_IDAC!AZ22,-1*INT(LOG10(Sort_IDAC!AZ22))+2)))</f>
        <v>1.42E-15</v>
      </c>
      <c r="BA22" s="6">
        <f>IF(Sort_IDAC!$B22="","",IF(Sort_IDAC!BA22=0,0,ROUND(Sort_IDAC!BA22,-1*INT(LOG10(Sort_IDAC!BA22))+2)))</f>
        <v>1.3700000000000001E-16</v>
      </c>
      <c r="BB22" s="6">
        <f>IF(Sort_IDAC!$B22="","",IF(Sort_IDAC!BB22=0,0,ROUND(Sort_IDAC!BB22,-1*INT(LOG10(Sort_IDAC!BB22))+2)))</f>
        <v>2.5399999999999999E-15</v>
      </c>
      <c r="BC22" s="6">
        <f>IF(Sort_IDAC!$B22="","",IF(Sort_IDAC!BC22=0,0,ROUND(Sort_IDAC!BC22,-1*INT(LOG10(Sort_IDAC!BC22))+2)))</f>
        <v>2.8299999999999998E-15</v>
      </c>
      <c r="BD22" s="6">
        <f>IF(Sort_IDAC!$B22="","",IF(Sort_IDAC!BD22=0,0,ROUND(Sort_IDAC!BD22,-1*INT(LOG10(Sort_IDAC!BD22))+2)))</f>
        <v>2.8299999999999998E-15</v>
      </c>
      <c r="BE22" s="6">
        <f>IF(Sort_IDAC!$B22="","",IF(Sort_IDAC!BE22=0,0,ROUND(Sort_IDAC!BE22,-1*INT(LOG10(Sort_IDAC!BE22))+2)))</f>
        <v>1.4299999999999999E-17</v>
      </c>
      <c r="BF22" s="6">
        <f>IF(Sort_IDAC!$B22="","",IF(Sort_IDAC!BF22=0,0,ROUND(Sort_IDAC!BF22,-1*INT(LOG10(Sort_IDAC!BF22))+2)))</f>
        <v>3.8300000000000001E-16</v>
      </c>
      <c r="BG22" s="6">
        <f>IF(Sort_IDAC!$B22="","",IF(Sort_IDAC!BG22=0,0,ROUND(Sort_IDAC!BG22,-1*INT(LOG10(Sort_IDAC!BG22))+2)))</f>
        <v>5.17E-15</v>
      </c>
      <c r="BH22" s="6">
        <f>IF(Sort_IDAC!$B22="","",IF(Sort_IDAC!BH22=0,0,ROUND(Sort_IDAC!BH22,-1*INT(LOG10(Sort_IDAC!BH22))+2)))</f>
        <v>7.2299999999999995E-15</v>
      </c>
      <c r="BI22" s="6">
        <f>IF(Sort_IDAC!$B22="","",IF(Sort_IDAC!BI22=0,0,ROUND(Sort_IDAC!BI22,-1*INT(LOG10(Sort_IDAC!BI22))+2)))</f>
        <v>7.2299999999999995E-15</v>
      </c>
      <c r="BJ22" s="6">
        <f>IF(Sort_IDAC!$B22="","",IF(Sort_IDAC!BJ22=0,0,ROUND(Sort_IDAC!BJ22,-1*INT(LOG10(Sort_IDAC!BJ22))+2)))</f>
        <v>7.2299999999999995E-15</v>
      </c>
      <c r="BK22" s="6">
        <f>IF(Sort_IDAC!$B22="","",IF(Sort_IDAC!BK22=0,0,ROUND(Sort_IDAC!BK22,-1*INT(LOG10(Sort_IDAC!BK22))+2)))</f>
        <v>6.3599999999999998E-16</v>
      </c>
      <c r="BL22" s="6">
        <f>IF(Sort_IDAC!$B22="","",IF(Sort_IDAC!BL22=0,0,ROUND(Sort_IDAC!BL22,-1*INT(LOG10(Sort_IDAC!BL22))+2)))</f>
        <v>1.0999999999999999E-15</v>
      </c>
      <c r="BM22" s="6">
        <f>IF(Sort_IDAC!$B22="","",IF(Sort_IDAC!BM22=0,0,ROUND(Sort_IDAC!BM22,-1*INT(LOG10(Sort_IDAC!BM22))+2)))</f>
        <v>1.4500000000000001E-15</v>
      </c>
      <c r="BN22" s="6">
        <f>IF(Sort_IDAC!$B22="","",IF(Sort_IDAC!BN22=0,0,ROUND(Sort_IDAC!BN22,-1*INT(LOG10(Sort_IDAC!BN22))+2)))</f>
        <v>1.4500000000000001E-15</v>
      </c>
      <c r="BO22" s="6">
        <f>IF(Sort_IDAC!$B22="","",IF(Sort_IDAC!BO22=0,0,ROUND(Sort_IDAC!BO22,-1*INT(LOG10(Sort_IDAC!BO22))+2)))</f>
        <v>1.9099999999999999E-17</v>
      </c>
      <c r="BP22" s="6">
        <f>IF(Sort_IDAC!$B22="","",IF(Sort_IDAC!BP22=0,0,ROUND(Sort_IDAC!BP22,-1*INT(LOG10(Sort_IDAC!BP22))+2)))</f>
        <v>1.9099999999999999E-17</v>
      </c>
      <c r="BQ22" s="6">
        <f>IF(Sort_IDAC!$B22="","",IF(Sort_IDAC!BQ22=0,0,ROUND(Sort_IDAC!BQ22,-1*INT(LOG10(Sort_IDAC!BQ22))+2)))</f>
        <v>0</v>
      </c>
      <c r="BR22" s="6">
        <f>IF(Sort_IDAC!$B22="","",IF(Sort_IDAC!BR22=0,0,ROUND(Sort_IDAC!BR22,-1*INT(LOG10(Sort_IDAC!BR22))+2)))</f>
        <v>5.5500000000000002E-17</v>
      </c>
      <c r="BS22" s="6">
        <f>IF(Sort_IDAC!$B22="","",IF(Sort_IDAC!BS22=0,0,ROUND(Sort_IDAC!BS22,-1*INT(LOG10(Sort_IDAC!BS22))+2)))</f>
        <v>2.9900000000000003E-17</v>
      </c>
      <c r="BT22" s="6">
        <f>IF(Sort_IDAC!$B22="","",IF(Sort_IDAC!BT22=0,0,ROUND(Sort_IDAC!BT22,-1*INT(LOG10(Sort_IDAC!BT22))+2)))</f>
        <v>1.77E-17</v>
      </c>
      <c r="BU22" s="6">
        <f>IF(Sort_IDAC!$B22="","",IF(Sort_IDAC!BU22=0,0,ROUND(Sort_IDAC!BU22,-1*INT(LOG10(Sort_IDAC!BU22))+2)))</f>
        <v>1.3999999999999999E-17</v>
      </c>
      <c r="BV22" s="6">
        <f>IF(Sort_IDAC!$B22="","",IF(Sort_IDAC!BV22=0,0,ROUND(Sort_IDAC!BV22,-1*INT(LOG10(Sort_IDAC!BV22))+2)))</f>
        <v>9.2500000000000004E-16</v>
      </c>
      <c r="BW22" s="6">
        <f>IF(Sort_IDAC!$B22="","",IF(Sort_IDAC!BW22=0,0,ROUND(Sort_IDAC!BW22,-1*INT(LOG10(Sort_IDAC!BW22))+2)))</f>
        <v>7.3600000000000003E-16</v>
      </c>
      <c r="BX22" s="6">
        <f>IF(Sort_IDAC!$B22="","",IF(Sort_IDAC!BX22=0,0,ROUND(Sort_IDAC!BX22,-1*INT(LOG10(Sort_IDAC!BX22))+2)))</f>
        <v>7.3600000000000003E-16</v>
      </c>
      <c r="BY22" s="6">
        <f>IF(Sort_IDAC!$B22="","",IF(Sort_IDAC!BY22=0,0,ROUND(Sort_IDAC!BY22,-1*INT(LOG10(Sort_IDAC!BY22))+2)))</f>
        <v>5.1600000000000002E-15</v>
      </c>
      <c r="BZ22" s="6">
        <f>IF(Sort_IDAC!$B22="","",IF(Sort_IDAC!BZ22=0,0,ROUND(Sort_IDAC!BZ22,-1*INT(LOG10(Sort_IDAC!BZ22))+2)))</f>
        <v>2.4100000000000001E-15</v>
      </c>
      <c r="CA22" s="6">
        <f>IF(Sort_IDAC!$B22="","",IF(Sort_IDAC!CA22=0,0,ROUND(Sort_IDAC!CA22,-1*INT(LOG10(Sort_IDAC!CA22))+2)))</f>
        <v>2.16E-15</v>
      </c>
      <c r="CB22" s="6">
        <f>IF(Sort_IDAC!$B22="","",IF(Sort_IDAC!CB22=0,0,ROUND(Sort_IDAC!CB22,-1*INT(LOG10(Sort_IDAC!CB22))+2)))</f>
        <v>1.6E-15</v>
      </c>
      <c r="CC22" s="6">
        <f>IF(Sort_IDAC!$B22="","",IF(Sort_IDAC!CC22=0,0,ROUND(Sort_IDAC!CC22,-1*INT(LOG10(Sort_IDAC!CC22))+2)))</f>
        <v>5.6500000000000001E-16</v>
      </c>
      <c r="CD22" s="6"/>
      <c r="CE22" s="6"/>
      <c r="CF22" s="6"/>
      <c r="CG22" s="6"/>
    </row>
    <row r="23" spans="2:85" x14ac:dyDescent="0.15">
      <c r="B23" s="5" t="s">
        <v>15</v>
      </c>
      <c r="C23" s="6">
        <f>IF(Sort_IDAC!$B23="","",IF(Sort_IDAC!C23=0,0,ROUND(Sort_IDAC!C23,-1*INT(LOG10(Sort_IDAC!C23))+2)))</f>
        <v>5.4E-16</v>
      </c>
      <c r="D23" s="6">
        <f>IF(Sort_IDAC!$B23="","",IF(Sort_IDAC!D23=0,0,ROUND(Sort_IDAC!D23,-1*INT(LOG10(Sort_IDAC!D23))+2)))</f>
        <v>9.0900000000000006E-15</v>
      </c>
      <c r="E23" s="6">
        <f>IF(Sort_IDAC!$B23="","",IF(Sort_IDAC!E23=0,0,ROUND(Sort_IDAC!E23,-1*INT(LOG10(Sort_IDAC!E23))+2)))</f>
        <v>2.4399999999999998E-15</v>
      </c>
      <c r="F23" s="6">
        <f>IF(Sort_IDAC!$B23="","",IF(Sort_IDAC!F23=0,0,ROUND(Sort_IDAC!F23,-1*INT(LOG10(Sort_IDAC!F23))+2)))</f>
        <v>4.3400000000000003E-15</v>
      </c>
      <c r="G23" s="6">
        <f>IF(Sort_IDAC!$B23="","",IF(Sort_IDAC!G23=0,0,ROUND(Sort_IDAC!G23,-1*INT(LOG10(Sort_IDAC!G23))+2)))</f>
        <v>4.58E-17</v>
      </c>
      <c r="H23" s="6">
        <f>IF(Sort_IDAC!$B23="","",IF(Sort_IDAC!H23=0,0,ROUND(Sort_IDAC!H23,-1*INT(LOG10(Sort_IDAC!H23))+2)))</f>
        <v>1.47E-15</v>
      </c>
      <c r="I23" s="6">
        <f>IF(Sort_IDAC!$B23="","",IF(Sort_IDAC!I23=0,0,ROUND(Sort_IDAC!I23,-1*INT(LOG10(Sort_IDAC!I23))+2)))</f>
        <v>1.0999999999999999E-15</v>
      </c>
      <c r="J23" s="6">
        <f>IF(Sort_IDAC!$B23="","",IF(Sort_IDAC!J23=0,0,ROUND(Sort_IDAC!J23,-1*INT(LOG10(Sort_IDAC!J23))+2)))</f>
        <v>1.0999999999999999E-15</v>
      </c>
      <c r="K23" s="6">
        <f>IF(Sort_IDAC!$B23="","",IF(Sort_IDAC!K23=0,0,ROUND(Sort_IDAC!K23,-1*INT(LOG10(Sort_IDAC!K23))+2)))</f>
        <v>1.0999999999999999E-15</v>
      </c>
      <c r="L23" s="6">
        <f>IF(Sort_IDAC!$B23="","",IF(Sort_IDAC!L23=0,0,ROUND(Sort_IDAC!L23,-1*INT(LOG10(Sort_IDAC!L23))+2)))</f>
        <v>2.4399999999999998E-15</v>
      </c>
      <c r="M23" s="6">
        <f>IF(Sort_IDAC!$B23="","",IF(Sort_IDAC!M23=0,0,ROUND(Sort_IDAC!M23,-1*INT(LOG10(Sort_IDAC!M23))+2)))</f>
        <v>2.4399999999999998E-15</v>
      </c>
      <c r="N23" s="6">
        <f>IF(Sort_IDAC!$B23="","",IF(Sort_IDAC!N23=0,0,ROUND(Sort_IDAC!N23,-1*INT(LOG10(Sort_IDAC!N23))+2)))</f>
        <v>2.4399999999999998E-15</v>
      </c>
      <c r="O23" s="6">
        <f>IF(Sort_IDAC!$B23="","",IF(Sort_IDAC!O23=0,0,ROUND(Sort_IDAC!O23,-1*INT(LOG10(Sort_IDAC!O23))+2)))</f>
        <v>9.5200000000000009E-16</v>
      </c>
      <c r="P23" s="6">
        <f>IF(Sort_IDAC!$B23="","",IF(Sort_IDAC!P23=0,0,ROUND(Sort_IDAC!P23,-1*INT(LOG10(Sort_IDAC!P23))+2)))</f>
        <v>1.59E-16</v>
      </c>
      <c r="Q23" s="6">
        <f>IF(Sort_IDAC!$B23="","",IF(Sort_IDAC!Q23=0,0,ROUND(Sort_IDAC!Q23,-1*INT(LOG10(Sort_IDAC!Q23))+2)))</f>
        <v>5.1700000000000002E-16</v>
      </c>
      <c r="R23" s="6">
        <f>IF(Sort_IDAC!$B23="","",IF(Sort_IDAC!R23=0,0,ROUND(Sort_IDAC!R23,-1*INT(LOG10(Sort_IDAC!R23))+2)))</f>
        <v>5.1700000000000002E-16</v>
      </c>
      <c r="S23" s="6">
        <f>IF(Sort_IDAC!$B23="","",IF(Sort_IDAC!S23=0,0,ROUND(Sort_IDAC!S23,-1*INT(LOG10(Sort_IDAC!S23))+2)))</f>
        <v>1.32E-16</v>
      </c>
      <c r="T23" s="6">
        <f>IF(Sort_IDAC!$B23="","",IF(Sort_IDAC!T23=0,0,ROUND(Sort_IDAC!T23,-1*INT(LOG10(Sort_IDAC!T23))+2)))</f>
        <v>1.44E-16</v>
      </c>
      <c r="U23" s="6">
        <f>IF(Sort_IDAC!$B23="","",IF(Sort_IDAC!U23=0,0,ROUND(Sort_IDAC!U23,-1*INT(LOG10(Sort_IDAC!U23))+2)))</f>
        <v>1.44E-16</v>
      </c>
      <c r="V23" s="6">
        <f>IF(Sort_IDAC!$B23="","",IF(Sort_IDAC!V23=0,0,ROUND(Sort_IDAC!V23,-1*INT(LOG10(Sort_IDAC!V23))+2)))</f>
        <v>1.44E-16</v>
      </c>
      <c r="W23" s="6">
        <f>IF(Sort_IDAC!$B23="","",IF(Sort_IDAC!W23=0,0,ROUND(Sort_IDAC!W23,-1*INT(LOG10(Sort_IDAC!W23))+2)))</f>
        <v>1.44E-16</v>
      </c>
      <c r="X23" s="6">
        <f>IF(Sort_IDAC!$B23="","",IF(Sort_IDAC!X23=0,0,ROUND(Sort_IDAC!X23,-1*INT(LOG10(Sort_IDAC!X23))+2)))</f>
        <v>1.44E-16</v>
      </c>
      <c r="Y23" s="6">
        <f>IF(Sort_IDAC!$B23="","",IF(Sort_IDAC!Y23=0,0,ROUND(Sort_IDAC!Y23,-1*INT(LOG10(Sort_IDAC!Y23))+2)))</f>
        <v>1.0500000000000001E-16</v>
      </c>
      <c r="Z23" s="6">
        <f>IF(Sort_IDAC!$B23="","",IF(Sort_IDAC!Z23=0,0,ROUND(Sort_IDAC!Z23,-1*INT(LOG10(Sort_IDAC!Z23))+2)))</f>
        <v>1.23E-14</v>
      </c>
      <c r="AA23" s="6">
        <f>IF(Sort_IDAC!$B23="","",IF(Sort_IDAC!AA23=0,0,ROUND(Sort_IDAC!AA23,-1*INT(LOG10(Sort_IDAC!AA23))+2)))</f>
        <v>1.4800000000000001E-14</v>
      </c>
      <c r="AB23" s="6">
        <f>IF(Sort_IDAC!$B23="","",IF(Sort_IDAC!AB23=0,0,ROUND(Sort_IDAC!AB23,-1*INT(LOG10(Sort_IDAC!AB23))+2)))</f>
        <v>2.8599999999999999E-15</v>
      </c>
      <c r="AC23" s="6">
        <f>IF(Sort_IDAC!$B23="","",IF(Sort_IDAC!AC23=0,0,ROUND(Sort_IDAC!AC23,-1*INT(LOG10(Sort_IDAC!AC23))+2)))</f>
        <v>4.3100000000000002E-15</v>
      </c>
      <c r="AD23" s="6">
        <f>IF(Sort_IDAC!$B23="","",IF(Sort_IDAC!AD23=0,0,ROUND(Sort_IDAC!AD23,-1*INT(LOG10(Sort_IDAC!AD23))+2)))</f>
        <v>5.0199999999999997E-16</v>
      </c>
      <c r="AE23" s="6">
        <f>IF(Sort_IDAC!$B23="","",IF(Sort_IDAC!AE23=0,0,ROUND(Sort_IDAC!AE23,-1*INT(LOG10(Sort_IDAC!AE23))+2)))</f>
        <v>4.9200000000000001E-16</v>
      </c>
      <c r="AF23" s="6">
        <f>IF(Sort_IDAC!$B23="","",IF(Sort_IDAC!AF23=0,0,ROUND(Sort_IDAC!AF23,-1*INT(LOG10(Sort_IDAC!AF23))+2)))</f>
        <v>4.9200000000000001E-16</v>
      </c>
      <c r="AG23" s="6">
        <f>IF(Sort_IDAC!$B23="","",IF(Sort_IDAC!AG23=0,0,ROUND(Sort_IDAC!AG23,-1*INT(LOG10(Sort_IDAC!AG23))+2)))</f>
        <v>3.4100000000000001E-14</v>
      </c>
      <c r="AH23" s="6">
        <f>IF(Sort_IDAC!$B23="","",IF(Sort_IDAC!AH23=0,0,ROUND(Sort_IDAC!AH23,-1*INT(LOG10(Sort_IDAC!AH23))+2)))</f>
        <v>2.3999999999999999E-15</v>
      </c>
      <c r="AI23" s="6">
        <f>IF(Sort_IDAC!$B23="","",IF(Sort_IDAC!AI23=0,0,ROUND(Sort_IDAC!AI23,-1*INT(LOG10(Sort_IDAC!AI23))+2)))</f>
        <v>2.4199999999999999E-15</v>
      </c>
      <c r="AJ23" s="6">
        <f>IF(Sort_IDAC!$B23="","",IF(Sort_IDAC!AJ23=0,0,ROUND(Sort_IDAC!AJ23,-1*INT(LOG10(Sort_IDAC!AJ23))+2)))</f>
        <v>2.02E-16</v>
      </c>
      <c r="AK23" s="6">
        <f>IF(Sort_IDAC!$B23="","",IF(Sort_IDAC!AK23=0,0,ROUND(Sort_IDAC!AK23,-1*INT(LOG10(Sort_IDAC!AK23))+2)))</f>
        <v>1.5100000000000001E-15</v>
      </c>
      <c r="AL23" s="6">
        <f>IF(Sort_IDAC!$B23="","",IF(Sort_IDAC!AL23=0,0,ROUND(Sort_IDAC!AL23,-1*INT(LOG10(Sort_IDAC!AL23))+2)))</f>
        <v>9.7400000000000005E-16</v>
      </c>
      <c r="AM23" s="6">
        <f>IF(Sort_IDAC!$B23="","",IF(Sort_IDAC!AM23=0,0,ROUND(Sort_IDAC!AM23,-1*INT(LOG10(Sort_IDAC!AM23))+2)))</f>
        <v>5.2699999999999998E-16</v>
      </c>
      <c r="AN23" s="6">
        <f>IF(Sort_IDAC!$B23="","",IF(Sort_IDAC!AN23=0,0,ROUND(Sort_IDAC!AN23,-1*INT(LOG10(Sort_IDAC!AN23))+2)))</f>
        <v>2.43E-15</v>
      </c>
      <c r="AO23" s="6">
        <f>IF(Sort_IDAC!$B23="","",IF(Sort_IDAC!AO23=0,0,ROUND(Sort_IDAC!AO23,-1*INT(LOG10(Sort_IDAC!AO23))+2)))</f>
        <v>2.43E-15</v>
      </c>
      <c r="AP23" s="6">
        <f>IF(Sort_IDAC!$B23="","",IF(Sort_IDAC!AP23=0,0,ROUND(Sort_IDAC!AP23,-1*INT(LOG10(Sort_IDAC!AP23))+2)))</f>
        <v>2.43E-15</v>
      </c>
      <c r="AQ23" s="6">
        <f>IF(Sort_IDAC!$B23="","",IF(Sort_IDAC!AQ23=0,0,ROUND(Sort_IDAC!AQ23,-1*INT(LOG10(Sort_IDAC!AQ23))+2)))</f>
        <v>1.73E-16</v>
      </c>
      <c r="AR23" s="6">
        <f>IF(Sort_IDAC!$B23="","",IF(Sort_IDAC!AR23=0,0,ROUND(Sort_IDAC!AR23,-1*INT(LOG10(Sort_IDAC!AR23))+2)))</f>
        <v>1.73E-16</v>
      </c>
      <c r="AS23" s="6">
        <f>IF(Sort_IDAC!$B23="","",IF(Sort_IDAC!AS23=0,0,ROUND(Sort_IDAC!AS23,-1*INT(LOG10(Sort_IDAC!AS23))+2)))</f>
        <v>1.11E-16</v>
      </c>
      <c r="AT23" s="6">
        <f>IF(Sort_IDAC!$B23="","",IF(Sort_IDAC!AT23=0,0,ROUND(Sort_IDAC!AT23,-1*INT(LOG10(Sort_IDAC!AT23))+2)))</f>
        <v>5.44E-15</v>
      </c>
      <c r="AU23" s="6">
        <f>IF(Sort_IDAC!$B23="","",IF(Sort_IDAC!AU23=0,0,ROUND(Sort_IDAC!AU23,-1*INT(LOG10(Sort_IDAC!AU23))+2)))</f>
        <v>6.9100000000000004E-17</v>
      </c>
      <c r="AV23" s="6">
        <f>IF(Sort_IDAC!$B23="","",IF(Sort_IDAC!AV23=0,0,ROUND(Sort_IDAC!AV23,-1*INT(LOG10(Sort_IDAC!AV23))+2)))</f>
        <v>0</v>
      </c>
      <c r="AW23" s="6">
        <f>IF(Sort_IDAC!$B23="","",IF(Sort_IDAC!AW23=0,0,ROUND(Sort_IDAC!AW23,-1*INT(LOG10(Sort_IDAC!AW23))+2)))</f>
        <v>1.3599999999999999E-16</v>
      </c>
      <c r="AX23" s="6">
        <f>IF(Sort_IDAC!$B23="","",IF(Sort_IDAC!AX23=0,0,ROUND(Sort_IDAC!AX23,-1*INT(LOG10(Sort_IDAC!AX23))+2)))</f>
        <v>1.1799999999999999E-16</v>
      </c>
      <c r="AY23" s="6">
        <f>IF(Sort_IDAC!$B23="","",IF(Sort_IDAC!AY23=0,0,ROUND(Sort_IDAC!AY23,-1*INT(LOG10(Sort_IDAC!AY23))+2)))</f>
        <v>1.1799999999999999E-16</v>
      </c>
      <c r="AZ23" s="6">
        <f>IF(Sort_IDAC!$B23="","",IF(Sort_IDAC!AZ23=0,0,ROUND(Sort_IDAC!AZ23,-1*INT(LOG10(Sort_IDAC!AZ23))+2)))</f>
        <v>1.5499999999999999E-15</v>
      </c>
      <c r="BA23" s="6">
        <f>IF(Sort_IDAC!$B23="","",IF(Sort_IDAC!BA23=0,0,ROUND(Sort_IDAC!BA23,-1*INT(LOG10(Sort_IDAC!BA23))+2)))</f>
        <v>2.4100000000000001E-15</v>
      </c>
      <c r="BB23" s="6">
        <f>IF(Sort_IDAC!$B23="","",IF(Sort_IDAC!BB23=0,0,ROUND(Sort_IDAC!BB23,-1*INT(LOG10(Sort_IDAC!BB23))+2)))</f>
        <v>1.24E-15</v>
      </c>
      <c r="BC23" s="6">
        <f>IF(Sort_IDAC!$B23="","",IF(Sort_IDAC!BC23=0,0,ROUND(Sort_IDAC!BC23,-1*INT(LOG10(Sort_IDAC!BC23))+2)))</f>
        <v>1.2900000000000001E-15</v>
      </c>
      <c r="BD23" s="6">
        <f>IF(Sort_IDAC!$B23="","",IF(Sort_IDAC!BD23=0,0,ROUND(Sort_IDAC!BD23,-1*INT(LOG10(Sort_IDAC!BD23))+2)))</f>
        <v>1.2900000000000001E-15</v>
      </c>
      <c r="BE23" s="6">
        <f>IF(Sort_IDAC!$B23="","",IF(Sort_IDAC!BE23=0,0,ROUND(Sort_IDAC!BE23,-1*INT(LOG10(Sort_IDAC!BE23))+2)))</f>
        <v>1.3899999999999999E-16</v>
      </c>
      <c r="BF23" s="6">
        <f>IF(Sort_IDAC!$B23="","",IF(Sort_IDAC!BF23=0,0,ROUND(Sort_IDAC!BF23,-1*INT(LOG10(Sort_IDAC!BF23))+2)))</f>
        <v>4.2399999999999999E-16</v>
      </c>
      <c r="BG23" s="6">
        <f>IF(Sort_IDAC!$B23="","",IF(Sort_IDAC!BG23=0,0,ROUND(Sort_IDAC!BG23,-1*INT(LOG10(Sort_IDAC!BG23))+2)))</f>
        <v>1.7400000000000001E-15</v>
      </c>
      <c r="BH23" s="6">
        <f>IF(Sort_IDAC!$B23="","",IF(Sort_IDAC!BH23=0,0,ROUND(Sort_IDAC!BH23,-1*INT(LOG10(Sort_IDAC!BH23))+2)))</f>
        <v>1.4999999999999999E-15</v>
      </c>
      <c r="BI23" s="6">
        <f>IF(Sort_IDAC!$B23="","",IF(Sort_IDAC!BI23=0,0,ROUND(Sort_IDAC!BI23,-1*INT(LOG10(Sort_IDAC!BI23))+2)))</f>
        <v>1.4999999999999999E-15</v>
      </c>
      <c r="BJ23" s="6">
        <f>IF(Sort_IDAC!$B23="","",IF(Sort_IDAC!BJ23=0,0,ROUND(Sort_IDAC!BJ23,-1*INT(LOG10(Sort_IDAC!BJ23))+2)))</f>
        <v>1.4999999999999999E-15</v>
      </c>
      <c r="BK23" s="6">
        <f>IF(Sort_IDAC!$B23="","",IF(Sort_IDAC!BK23=0,0,ROUND(Sort_IDAC!BK23,-1*INT(LOG10(Sort_IDAC!BK23))+2)))</f>
        <v>1.9500000000000001E-15</v>
      </c>
      <c r="BL23" s="6">
        <f>IF(Sort_IDAC!$B23="","",IF(Sort_IDAC!BL23=0,0,ROUND(Sort_IDAC!BL23,-1*INT(LOG10(Sort_IDAC!BL23))+2)))</f>
        <v>4.2100000000000002E-15</v>
      </c>
      <c r="BM23" s="6">
        <f>IF(Sort_IDAC!$B23="","",IF(Sort_IDAC!BM23=0,0,ROUND(Sort_IDAC!BM23,-1*INT(LOG10(Sort_IDAC!BM23))+2)))</f>
        <v>4.5699999999999997E-15</v>
      </c>
      <c r="BN23" s="6">
        <f>IF(Sort_IDAC!$B23="","",IF(Sort_IDAC!BN23=0,0,ROUND(Sort_IDAC!BN23,-1*INT(LOG10(Sort_IDAC!BN23))+2)))</f>
        <v>4.5699999999999997E-15</v>
      </c>
      <c r="BO23" s="6">
        <f>IF(Sort_IDAC!$B23="","",IF(Sort_IDAC!BO23=0,0,ROUND(Sort_IDAC!BO23,-1*INT(LOG10(Sort_IDAC!BO23))+2)))</f>
        <v>1.67E-16</v>
      </c>
      <c r="BP23" s="6">
        <f>IF(Sort_IDAC!$B23="","",IF(Sort_IDAC!BP23=0,0,ROUND(Sort_IDAC!BP23,-1*INT(LOG10(Sort_IDAC!BP23))+2)))</f>
        <v>1.67E-16</v>
      </c>
      <c r="BQ23" s="6">
        <f>IF(Sort_IDAC!$B23="","",IF(Sort_IDAC!BQ23=0,0,ROUND(Sort_IDAC!BQ23,-1*INT(LOG10(Sort_IDAC!BQ23))+2)))</f>
        <v>0</v>
      </c>
      <c r="BR23" s="6">
        <f>IF(Sort_IDAC!$B23="","",IF(Sort_IDAC!BR23=0,0,ROUND(Sort_IDAC!BR23,-1*INT(LOG10(Sort_IDAC!BR23))+2)))</f>
        <v>7.9299999999999997E-16</v>
      </c>
      <c r="BS23" s="6">
        <f>IF(Sort_IDAC!$B23="","",IF(Sort_IDAC!BS23=0,0,ROUND(Sort_IDAC!BS23,-1*INT(LOG10(Sort_IDAC!BS23))+2)))</f>
        <v>3.8399999999999998E-16</v>
      </c>
      <c r="BT23" s="6">
        <f>IF(Sort_IDAC!$B23="","",IF(Sort_IDAC!BT23=0,0,ROUND(Sort_IDAC!BT23,-1*INT(LOG10(Sort_IDAC!BT23))+2)))</f>
        <v>1.7099999999999999E-16</v>
      </c>
      <c r="BU23" s="6">
        <f>IF(Sort_IDAC!$B23="","",IF(Sort_IDAC!BU23=0,0,ROUND(Sort_IDAC!BU23,-1*INT(LOG10(Sort_IDAC!BU23))+2)))</f>
        <v>1.32E-16</v>
      </c>
      <c r="BV23" s="6">
        <f>IF(Sort_IDAC!$B23="","",IF(Sort_IDAC!BV23=0,0,ROUND(Sort_IDAC!BV23,-1*INT(LOG10(Sort_IDAC!BV23))+2)))</f>
        <v>8.4400000000000001E-16</v>
      </c>
      <c r="BW23" s="6">
        <f>IF(Sort_IDAC!$B23="","",IF(Sort_IDAC!BW23=0,0,ROUND(Sort_IDAC!BW23,-1*INT(LOG10(Sort_IDAC!BW23))+2)))</f>
        <v>5.9799999999999995E-16</v>
      </c>
      <c r="BX23" s="6">
        <f>IF(Sort_IDAC!$B23="","",IF(Sort_IDAC!BX23=0,0,ROUND(Sort_IDAC!BX23,-1*INT(LOG10(Sort_IDAC!BX23))+2)))</f>
        <v>5.9799999999999995E-16</v>
      </c>
      <c r="BY23" s="6">
        <f>IF(Sort_IDAC!$B23="","",IF(Sort_IDAC!BY23=0,0,ROUND(Sort_IDAC!BY23,-1*INT(LOG10(Sort_IDAC!BY23))+2)))</f>
        <v>1.48E-15</v>
      </c>
      <c r="BZ23" s="6">
        <f>IF(Sort_IDAC!$B23="","",IF(Sort_IDAC!BZ23=0,0,ROUND(Sort_IDAC!BZ23,-1*INT(LOG10(Sort_IDAC!BZ23))+2)))</f>
        <v>1.2399999999999999E-16</v>
      </c>
      <c r="CA23" s="6">
        <f>IF(Sort_IDAC!$B23="","",IF(Sort_IDAC!CA23=0,0,ROUND(Sort_IDAC!CA23,-1*INT(LOG10(Sort_IDAC!CA23))+2)))</f>
        <v>1.1300000000000001E-16</v>
      </c>
      <c r="CB23" s="6">
        <f>IF(Sort_IDAC!$B23="","",IF(Sort_IDAC!CB23=0,0,ROUND(Sort_IDAC!CB23,-1*INT(LOG10(Sort_IDAC!CB23))+2)))</f>
        <v>1.1E-16</v>
      </c>
      <c r="CC23" s="6">
        <f>IF(Sort_IDAC!$B23="","",IF(Sort_IDAC!CC23=0,0,ROUND(Sort_IDAC!CC23,-1*INT(LOG10(Sort_IDAC!CC23))+2)))</f>
        <v>3.9800000000000001E-16</v>
      </c>
      <c r="CD23" s="6"/>
      <c r="CE23" s="6"/>
      <c r="CF23" s="6"/>
      <c r="CG23" s="6"/>
    </row>
    <row r="24" spans="2:85" x14ac:dyDescent="0.15">
      <c r="C24" s="6" t="str">
        <f>IF(Sort_IDAC!$B24="","",IF(Sort_IDAC!C24=0,0,ROUND(Sort_IDAC!C24,-1*INT(LOG10(Sort_IDAC!C24))+2)))</f>
        <v/>
      </c>
      <c r="D24" s="6" t="str">
        <f>IF(Sort_IDAC!$B24="","",IF(Sort_IDAC!D24=0,0,ROUND(Sort_IDAC!D24,-1*INT(LOG10(Sort_IDAC!D24))+2)))</f>
        <v/>
      </c>
      <c r="E24" s="6" t="str">
        <f>IF(Sort_IDAC!$B24="","",IF(Sort_IDAC!E24=0,0,ROUND(Sort_IDAC!E24,-1*INT(LOG10(Sort_IDAC!E24))+2)))</f>
        <v/>
      </c>
      <c r="F24" s="6" t="str">
        <f>IF(Sort_IDAC!$B24="","",IF(Sort_IDAC!F24=0,0,ROUND(Sort_IDAC!F24,-1*INT(LOG10(Sort_IDAC!F24))+2)))</f>
        <v/>
      </c>
      <c r="G24" s="6" t="str">
        <f>IF(Sort_IDAC!$B24="","",IF(Sort_IDAC!G24=0,0,ROUND(Sort_IDAC!G24,-1*INT(LOG10(Sort_IDAC!G24))+2)))</f>
        <v/>
      </c>
      <c r="H24" s="6" t="str">
        <f>IF(Sort_IDAC!$B24="","",IF(Sort_IDAC!H24=0,0,ROUND(Sort_IDAC!H24,-1*INT(LOG10(Sort_IDAC!H24))+2)))</f>
        <v/>
      </c>
      <c r="I24" s="6" t="str">
        <f>IF(Sort_IDAC!$B24="","",IF(Sort_IDAC!I24=0,0,ROUND(Sort_IDAC!I24,-1*INT(LOG10(Sort_IDAC!I24))+2)))</f>
        <v/>
      </c>
      <c r="J24" s="6" t="str">
        <f>IF(Sort_IDAC!$B24="","",IF(Sort_IDAC!J24=0,0,ROUND(Sort_IDAC!J24,-1*INT(LOG10(Sort_IDAC!J24))+2)))</f>
        <v/>
      </c>
      <c r="K24" s="6" t="str">
        <f>IF(Sort_IDAC!$B24="","",IF(Sort_IDAC!K24=0,0,ROUND(Sort_IDAC!K24,-1*INT(LOG10(Sort_IDAC!K24))+2)))</f>
        <v/>
      </c>
      <c r="L24" s="6" t="str">
        <f>IF(Sort_IDAC!$B24="","",IF(Sort_IDAC!L24=0,0,ROUND(Sort_IDAC!L24,-1*INT(LOG10(Sort_IDAC!L24))+2)))</f>
        <v/>
      </c>
      <c r="M24" s="6" t="str">
        <f>IF(Sort_IDAC!$B24="","",IF(Sort_IDAC!M24=0,0,ROUND(Sort_IDAC!M24,-1*INT(LOG10(Sort_IDAC!M24))+2)))</f>
        <v/>
      </c>
      <c r="N24" s="6" t="str">
        <f>IF(Sort_IDAC!$B24="","",IF(Sort_IDAC!N24=0,0,ROUND(Sort_IDAC!N24,-1*INT(LOG10(Sort_IDAC!N24))+2)))</f>
        <v/>
      </c>
      <c r="O24" s="6" t="str">
        <f>IF(Sort_IDAC!$B24="","",IF(Sort_IDAC!O24=0,0,ROUND(Sort_IDAC!O24,-1*INT(LOG10(Sort_IDAC!O24))+2)))</f>
        <v/>
      </c>
      <c r="P24" s="6" t="str">
        <f>IF(Sort_IDAC!$B24="","",IF(Sort_IDAC!P24=0,0,ROUND(Sort_IDAC!P24,-1*INT(LOG10(Sort_IDAC!P24))+2)))</f>
        <v/>
      </c>
      <c r="Q24" s="6" t="str">
        <f>IF(Sort_IDAC!$B24="","",IF(Sort_IDAC!Q24=0,0,ROUND(Sort_IDAC!Q24,-1*INT(LOG10(Sort_IDAC!Q24))+2)))</f>
        <v/>
      </c>
      <c r="R24" s="6" t="str">
        <f>IF(Sort_IDAC!$B24="","",IF(Sort_IDAC!R24=0,0,ROUND(Sort_IDAC!R24,-1*INT(LOG10(Sort_IDAC!R24))+2)))</f>
        <v/>
      </c>
      <c r="S24" s="6" t="str">
        <f>IF(Sort_IDAC!$B24="","",IF(Sort_IDAC!S24=0,0,ROUND(Sort_IDAC!S24,-1*INT(LOG10(Sort_IDAC!S24))+2)))</f>
        <v/>
      </c>
      <c r="T24" s="6" t="str">
        <f>IF(Sort_IDAC!$B24="","",IF(Sort_IDAC!T24=0,0,ROUND(Sort_IDAC!T24,-1*INT(LOG10(Sort_IDAC!T24))+2)))</f>
        <v/>
      </c>
      <c r="U24" s="6" t="str">
        <f>IF(Sort_IDAC!$B24="","",IF(Sort_IDAC!U24=0,0,ROUND(Sort_IDAC!U24,-1*INT(LOG10(Sort_IDAC!U24))+2)))</f>
        <v/>
      </c>
      <c r="V24" s="6" t="str">
        <f>IF(Sort_IDAC!$B24="","",IF(Sort_IDAC!V24=0,0,ROUND(Sort_IDAC!V24,-1*INT(LOG10(Sort_IDAC!V24))+2)))</f>
        <v/>
      </c>
      <c r="W24" s="6" t="str">
        <f>IF(Sort_IDAC!$B24="","",IF(Sort_IDAC!W24=0,0,ROUND(Sort_IDAC!W24,-1*INT(LOG10(Sort_IDAC!W24))+2)))</f>
        <v/>
      </c>
      <c r="X24" s="6" t="str">
        <f>IF(Sort_IDAC!$B24="","",IF(Sort_IDAC!X24=0,0,ROUND(Sort_IDAC!X24,-1*INT(LOG10(Sort_IDAC!X24))+2)))</f>
        <v/>
      </c>
      <c r="Y24" s="6" t="str">
        <f>IF(Sort_IDAC!$B24="","",IF(Sort_IDAC!Y24=0,0,ROUND(Sort_IDAC!Y24,-1*INT(LOG10(Sort_IDAC!Y24))+2)))</f>
        <v/>
      </c>
      <c r="Z24" s="6" t="str">
        <f>IF(Sort_IDAC!$B24="","",IF(Sort_IDAC!Z24=0,0,ROUND(Sort_IDAC!Z24,-1*INT(LOG10(Sort_IDAC!Z24))+2)))</f>
        <v/>
      </c>
      <c r="AA24" s="6" t="str">
        <f>IF(Sort_IDAC!$B24="","",IF(Sort_IDAC!AA24=0,0,ROUND(Sort_IDAC!AA24,-1*INT(LOG10(Sort_IDAC!AA24))+2)))</f>
        <v/>
      </c>
      <c r="AB24" s="6" t="str">
        <f>IF(Sort_IDAC!$B24="","",IF(Sort_IDAC!AB24=0,0,ROUND(Sort_IDAC!AB24,-1*INT(LOG10(Sort_IDAC!AB24))+2)))</f>
        <v/>
      </c>
      <c r="AC24" s="6" t="str">
        <f>IF(Sort_IDAC!$B24="","",IF(Sort_IDAC!AC24=0,0,ROUND(Sort_IDAC!AC24,-1*INT(LOG10(Sort_IDAC!AC24))+2)))</f>
        <v/>
      </c>
      <c r="AD24" s="6" t="str">
        <f>IF(Sort_IDAC!$B24="","",IF(Sort_IDAC!AD24=0,0,ROUND(Sort_IDAC!AD24,-1*INT(LOG10(Sort_IDAC!AD24))+2)))</f>
        <v/>
      </c>
      <c r="AE24" s="6" t="str">
        <f>IF(Sort_IDAC!$B24="","",IF(Sort_IDAC!AE24=0,0,ROUND(Sort_IDAC!AE24,-1*INT(LOG10(Sort_IDAC!AE24))+2)))</f>
        <v/>
      </c>
      <c r="AF24" s="6" t="str">
        <f>IF(Sort_IDAC!$B24="","",IF(Sort_IDAC!AF24=0,0,ROUND(Sort_IDAC!AF24,-1*INT(LOG10(Sort_IDAC!AF24))+2)))</f>
        <v/>
      </c>
      <c r="AG24" s="6" t="str">
        <f>IF(Sort_IDAC!$B24="","",IF(Sort_IDAC!AG24=0,0,ROUND(Sort_IDAC!AG24,-1*INT(LOG10(Sort_IDAC!AG24))+2)))</f>
        <v/>
      </c>
      <c r="AH24" s="6" t="str">
        <f>IF(Sort_IDAC!$B24="","",IF(Sort_IDAC!AH24=0,0,ROUND(Sort_IDAC!AH24,-1*INT(LOG10(Sort_IDAC!AH24))+2)))</f>
        <v/>
      </c>
      <c r="AI24" s="6" t="str">
        <f>IF(Sort_IDAC!$B24="","",IF(Sort_IDAC!AI24=0,0,ROUND(Sort_IDAC!AI24,-1*INT(LOG10(Sort_IDAC!AI24))+2)))</f>
        <v/>
      </c>
      <c r="AJ24" s="6" t="str">
        <f>IF(Sort_IDAC!$B24="","",IF(Sort_IDAC!AJ24=0,0,ROUND(Sort_IDAC!AJ24,-1*INT(LOG10(Sort_IDAC!AJ24))+2)))</f>
        <v/>
      </c>
      <c r="AK24" s="6" t="str">
        <f>IF(Sort_IDAC!$B24="","",IF(Sort_IDAC!AK24=0,0,ROUND(Sort_IDAC!AK24,-1*INT(LOG10(Sort_IDAC!AK24))+2)))</f>
        <v/>
      </c>
      <c r="AL24" s="6" t="str">
        <f>IF(Sort_IDAC!$B24="","",IF(Sort_IDAC!AL24=0,0,ROUND(Sort_IDAC!AL24,-1*INT(LOG10(Sort_IDAC!AL24))+2)))</f>
        <v/>
      </c>
      <c r="AM24" s="6" t="str">
        <f>IF(Sort_IDAC!$B24="","",IF(Sort_IDAC!AM24=0,0,ROUND(Sort_IDAC!AM24,-1*INT(LOG10(Sort_IDAC!AM24))+2)))</f>
        <v/>
      </c>
      <c r="AN24" s="6" t="str">
        <f>IF(Sort_IDAC!$B24="","",IF(Sort_IDAC!AN24=0,0,ROUND(Sort_IDAC!AN24,-1*INT(LOG10(Sort_IDAC!AN24))+2)))</f>
        <v/>
      </c>
      <c r="AO24" s="6" t="str">
        <f>IF(Sort_IDAC!$B24="","",IF(Sort_IDAC!AO24=0,0,ROUND(Sort_IDAC!AO24,-1*INT(LOG10(Sort_IDAC!AO24))+2)))</f>
        <v/>
      </c>
      <c r="AP24" s="6" t="str">
        <f>IF(Sort_IDAC!$B24="","",IF(Sort_IDAC!AP24=0,0,ROUND(Sort_IDAC!AP24,-1*INT(LOG10(Sort_IDAC!AP24))+2)))</f>
        <v/>
      </c>
      <c r="AQ24" s="6" t="str">
        <f>IF(Sort_IDAC!$B24="","",IF(Sort_IDAC!AQ24=0,0,ROUND(Sort_IDAC!AQ24,-1*INT(LOG10(Sort_IDAC!AQ24))+2)))</f>
        <v/>
      </c>
      <c r="AR24" s="6" t="str">
        <f>IF(Sort_IDAC!$B24="","",IF(Sort_IDAC!AR24=0,0,ROUND(Sort_IDAC!AR24,-1*INT(LOG10(Sort_IDAC!AR24))+2)))</f>
        <v/>
      </c>
      <c r="AS24" s="6" t="str">
        <f>IF(Sort_IDAC!$B24="","",IF(Sort_IDAC!AS24=0,0,ROUND(Sort_IDAC!AS24,-1*INT(LOG10(Sort_IDAC!AS24))+2)))</f>
        <v/>
      </c>
      <c r="AT24" s="6" t="str">
        <f>IF(Sort_IDAC!$B24="","",IF(Sort_IDAC!AT24=0,0,ROUND(Sort_IDAC!AT24,-1*INT(LOG10(Sort_IDAC!AT24))+2)))</f>
        <v/>
      </c>
      <c r="AU24" s="6" t="str">
        <f>IF(Sort_IDAC!$B24="","",IF(Sort_IDAC!AU24=0,0,ROUND(Sort_IDAC!AU24,-1*INT(LOG10(Sort_IDAC!AU24))+2)))</f>
        <v/>
      </c>
      <c r="AV24" s="6" t="str">
        <f>IF(Sort_IDAC!$B24="","",IF(Sort_IDAC!AV24=0,0,ROUND(Sort_IDAC!AV24,-1*INT(LOG10(Sort_IDAC!AV24))+2)))</f>
        <v/>
      </c>
      <c r="AW24" s="6" t="str">
        <f>IF(Sort_IDAC!$B24="","",IF(Sort_IDAC!AW24=0,0,ROUND(Sort_IDAC!AW24,-1*INT(LOG10(Sort_IDAC!AW24))+2)))</f>
        <v/>
      </c>
      <c r="AX24" s="6" t="str">
        <f>IF(Sort_IDAC!$B24="","",IF(Sort_IDAC!AX24=0,0,ROUND(Sort_IDAC!AX24,-1*INT(LOG10(Sort_IDAC!AX24))+2)))</f>
        <v/>
      </c>
      <c r="AY24" s="6" t="str">
        <f>IF(Sort_IDAC!$B24="","",IF(Sort_IDAC!AY24=0,0,ROUND(Sort_IDAC!AY24,-1*INT(LOG10(Sort_IDAC!AY24))+2)))</f>
        <v/>
      </c>
      <c r="AZ24" s="6" t="str">
        <f>IF(Sort_IDAC!$B24="","",IF(Sort_IDAC!AZ24=0,0,ROUND(Sort_IDAC!AZ24,-1*INT(LOG10(Sort_IDAC!AZ24))+2)))</f>
        <v/>
      </c>
      <c r="BA24" s="6" t="str">
        <f>IF(Sort_IDAC!$B24="","",IF(Sort_IDAC!BA24=0,0,ROUND(Sort_IDAC!BA24,-1*INT(LOG10(Sort_IDAC!BA24))+2)))</f>
        <v/>
      </c>
      <c r="BB24" s="6" t="str">
        <f>IF(Sort_IDAC!$B24="","",IF(Sort_IDAC!BB24=0,0,ROUND(Sort_IDAC!BB24,-1*INT(LOG10(Sort_IDAC!BB24))+2)))</f>
        <v/>
      </c>
      <c r="BC24" s="6" t="str">
        <f>IF(Sort_IDAC!$B24="","",IF(Sort_IDAC!BC24=0,0,ROUND(Sort_IDAC!BC24,-1*INT(LOG10(Sort_IDAC!BC24))+2)))</f>
        <v/>
      </c>
      <c r="BD24" s="6" t="str">
        <f>IF(Sort_IDAC!$B24="","",IF(Sort_IDAC!BD24=0,0,ROUND(Sort_IDAC!BD24,-1*INT(LOG10(Sort_IDAC!BD24))+2)))</f>
        <v/>
      </c>
      <c r="BE24" s="6" t="str">
        <f>IF(Sort_IDAC!$B24="","",IF(Sort_IDAC!BE24=0,0,ROUND(Sort_IDAC!BE24,-1*INT(LOG10(Sort_IDAC!BE24))+2)))</f>
        <v/>
      </c>
      <c r="BF24" s="6" t="str">
        <f>IF(Sort_IDAC!$B24="","",IF(Sort_IDAC!BF24=0,0,ROUND(Sort_IDAC!BF24,-1*INT(LOG10(Sort_IDAC!BF24))+2)))</f>
        <v/>
      </c>
      <c r="BG24" s="6" t="str">
        <f>IF(Sort_IDAC!$B24="","",IF(Sort_IDAC!BG24=0,0,ROUND(Sort_IDAC!BG24,-1*INT(LOG10(Sort_IDAC!BG24))+2)))</f>
        <v/>
      </c>
      <c r="BH24" s="6" t="str">
        <f>IF(Sort_IDAC!$B24="","",IF(Sort_IDAC!BH24=0,0,ROUND(Sort_IDAC!BH24,-1*INT(LOG10(Sort_IDAC!BH24))+2)))</f>
        <v/>
      </c>
      <c r="BI24" s="6" t="str">
        <f>IF(Sort_IDAC!$B24="","",IF(Sort_IDAC!BI24=0,0,ROUND(Sort_IDAC!BI24,-1*INT(LOG10(Sort_IDAC!BI24))+2)))</f>
        <v/>
      </c>
      <c r="BJ24" s="6" t="str">
        <f>IF(Sort_IDAC!$B24="","",IF(Sort_IDAC!BJ24=0,0,ROUND(Sort_IDAC!BJ24,-1*INT(LOG10(Sort_IDAC!BJ24))+2)))</f>
        <v/>
      </c>
      <c r="BK24" s="6" t="str">
        <f>IF(Sort_IDAC!$B24="","",IF(Sort_IDAC!BK24=0,0,ROUND(Sort_IDAC!BK24,-1*INT(LOG10(Sort_IDAC!BK24))+2)))</f>
        <v/>
      </c>
      <c r="BL24" s="6" t="str">
        <f>IF(Sort_IDAC!$B24="","",IF(Sort_IDAC!BL24=0,0,ROUND(Sort_IDAC!BL24,-1*INT(LOG10(Sort_IDAC!BL24))+2)))</f>
        <v/>
      </c>
      <c r="BM24" s="6" t="str">
        <f>IF(Sort_IDAC!$B24="","",IF(Sort_IDAC!BM24=0,0,ROUND(Sort_IDAC!BM24,-1*INT(LOG10(Sort_IDAC!BM24))+2)))</f>
        <v/>
      </c>
      <c r="BN24" s="6" t="str">
        <f>IF(Sort_IDAC!$B24="","",IF(Sort_IDAC!BN24=0,0,ROUND(Sort_IDAC!BN24,-1*INT(LOG10(Sort_IDAC!BN24))+2)))</f>
        <v/>
      </c>
      <c r="BO24" s="6" t="str">
        <f>IF(Sort_IDAC!$B24="","",IF(Sort_IDAC!BO24=0,0,ROUND(Sort_IDAC!BO24,-1*INT(LOG10(Sort_IDAC!BO24))+2)))</f>
        <v/>
      </c>
      <c r="BP24" s="6" t="str">
        <f>IF(Sort_IDAC!$B24="","",IF(Sort_IDAC!BP24=0,0,ROUND(Sort_IDAC!BP24,-1*INT(LOG10(Sort_IDAC!BP24))+2)))</f>
        <v/>
      </c>
      <c r="BQ24" s="6" t="str">
        <f>IF(Sort_IDAC!$B24="","",IF(Sort_IDAC!BQ24=0,0,ROUND(Sort_IDAC!BQ24,-1*INT(LOG10(Sort_IDAC!BQ24))+2)))</f>
        <v/>
      </c>
      <c r="BR24" s="6" t="str">
        <f>IF(Sort_IDAC!$B24="","",IF(Sort_IDAC!BR24=0,0,ROUND(Sort_IDAC!BR24,-1*INT(LOG10(Sort_IDAC!BR24))+2)))</f>
        <v/>
      </c>
      <c r="BS24" s="6" t="str">
        <f>IF(Sort_IDAC!$B24="","",IF(Sort_IDAC!BS24=0,0,ROUND(Sort_IDAC!BS24,-1*INT(LOG10(Sort_IDAC!BS24))+2)))</f>
        <v/>
      </c>
      <c r="BT24" s="6" t="str">
        <f>IF(Sort_IDAC!$B24="","",IF(Sort_IDAC!BT24=0,0,ROUND(Sort_IDAC!BT24,-1*INT(LOG10(Sort_IDAC!BT24))+2)))</f>
        <v/>
      </c>
      <c r="BU24" s="6" t="str">
        <f>IF(Sort_IDAC!$B24="","",IF(Sort_IDAC!BU24=0,0,ROUND(Sort_IDAC!BU24,-1*INT(LOG10(Sort_IDAC!BU24))+2)))</f>
        <v/>
      </c>
      <c r="BV24" s="6" t="str">
        <f>IF(Sort_IDAC!$B24="","",IF(Sort_IDAC!BV24=0,0,ROUND(Sort_IDAC!BV24,-1*INT(LOG10(Sort_IDAC!BV24))+2)))</f>
        <v/>
      </c>
      <c r="BW24" s="6" t="str">
        <f>IF(Sort_IDAC!$B24="","",IF(Sort_IDAC!BW24=0,0,ROUND(Sort_IDAC!BW24,-1*INT(LOG10(Sort_IDAC!BW24))+2)))</f>
        <v/>
      </c>
      <c r="BX24" s="6" t="str">
        <f>IF(Sort_IDAC!$B24="","",IF(Sort_IDAC!BX24=0,0,ROUND(Sort_IDAC!BX24,-1*INT(LOG10(Sort_IDAC!BX24))+2)))</f>
        <v/>
      </c>
      <c r="BY24" s="6" t="str">
        <f>IF(Sort_IDAC!$B24="","",IF(Sort_IDAC!BY24=0,0,ROUND(Sort_IDAC!BY24,-1*INT(LOG10(Sort_IDAC!BY24))+2)))</f>
        <v/>
      </c>
      <c r="BZ24" s="6" t="str">
        <f>IF(Sort_IDAC!$B24="","",IF(Sort_IDAC!BZ24=0,0,ROUND(Sort_IDAC!BZ24,-1*INT(LOG10(Sort_IDAC!BZ24))+2)))</f>
        <v/>
      </c>
      <c r="CA24" s="6" t="str">
        <f>IF(Sort_IDAC!$B24="","",IF(Sort_IDAC!CA24=0,0,ROUND(Sort_IDAC!CA24,-1*INT(LOG10(Sort_IDAC!CA24))+2)))</f>
        <v/>
      </c>
      <c r="CB24" s="6" t="str">
        <f>IF(Sort_IDAC!$B24="","",IF(Sort_IDAC!CB24=0,0,ROUND(Sort_IDAC!CB24,-1*INT(LOG10(Sort_IDAC!CB24))+2)))</f>
        <v/>
      </c>
      <c r="CC24" s="6" t="str">
        <f>IF(Sort_IDAC!$B24="","",IF(Sort_IDAC!CC24=0,0,ROUND(Sort_IDAC!CC24,-1*INT(LOG10(Sort_IDAC!CC24))+2)))</f>
        <v/>
      </c>
      <c r="CD24" s="6"/>
      <c r="CE24" s="6"/>
      <c r="CF24" s="6"/>
      <c r="CG24" s="6"/>
    </row>
    <row r="25" spans="2:85" x14ac:dyDescent="0.15">
      <c r="C25" s="6" t="str">
        <f>IF(Sort_IDAC!$B25="","",IF(Sort_IDAC!C25=0,0,ROUND(Sort_IDAC!C25,-1*INT(LOG10(Sort_IDAC!C25))+2)))</f>
        <v/>
      </c>
      <c r="D25" s="6" t="str">
        <f>IF(Sort_IDAC!$B25="","",IF(Sort_IDAC!D25=0,0,ROUND(Sort_IDAC!D25,-1*INT(LOG10(Sort_IDAC!D25))+2)))</f>
        <v/>
      </c>
      <c r="E25" s="6" t="str">
        <f>IF(Sort_IDAC!$B25="","",IF(Sort_IDAC!E25=0,0,ROUND(Sort_IDAC!E25,-1*INT(LOG10(Sort_IDAC!E25))+2)))</f>
        <v/>
      </c>
      <c r="F25" s="6" t="str">
        <f>IF(Sort_IDAC!$B25="","",IF(Sort_IDAC!F25=0,0,ROUND(Sort_IDAC!F25,-1*INT(LOG10(Sort_IDAC!F25))+2)))</f>
        <v/>
      </c>
      <c r="G25" s="6" t="str">
        <f>IF(Sort_IDAC!$B25="","",IF(Sort_IDAC!G25=0,0,ROUND(Sort_IDAC!G25,-1*INT(LOG10(Sort_IDAC!G25))+2)))</f>
        <v/>
      </c>
      <c r="H25" s="6" t="str">
        <f>IF(Sort_IDAC!$B25="","",IF(Sort_IDAC!H25=0,0,ROUND(Sort_IDAC!H25,-1*INT(LOG10(Sort_IDAC!H25))+2)))</f>
        <v/>
      </c>
      <c r="I25" s="6" t="str">
        <f>IF(Sort_IDAC!$B25="","",IF(Sort_IDAC!I25=0,0,ROUND(Sort_IDAC!I25,-1*INT(LOG10(Sort_IDAC!I25))+2)))</f>
        <v/>
      </c>
      <c r="J25" s="6" t="str">
        <f>IF(Sort_IDAC!$B25="","",IF(Sort_IDAC!J25=0,0,ROUND(Sort_IDAC!J25,-1*INT(LOG10(Sort_IDAC!J25))+2)))</f>
        <v/>
      </c>
      <c r="K25" s="6" t="str">
        <f>IF(Sort_IDAC!$B25="","",IF(Sort_IDAC!K25=0,0,ROUND(Sort_IDAC!K25,-1*INT(LOG10(Sort_IDAC!K25))+2)))</f>
        <v/>
      </c>
      <c r="L25" s="6" t="str">
        <f>IF(Sort_IDAC!$B25="","",IF(Sort_IDAC!L25=0,0,ROUND(Sort_IDAC!L25,-1*INT(LOG10(Sort_IDAC!L25))+2)))</f>
        <v/>
      </c>
      <c r="M25" s="6" t="str">
        <f>IF(Sort_IDAC!$B25="","",IF(Sort_IDAC!M25=0,0,ROUND(Sort_IDAC!M25,-1*INT(LOG10(Sort_IDAC!M25))+2)))</f>
        <v/>
      </c>
      <c r="N25" s="6" t="str">
        <f>IF(Sort_IDAC!$B25="","",IF(Sort_IDAC!N25=0,0,ROUND(Sort_IDAC!N25,-1*INT(LOG10(Sort_IDAC!N25))+2)))</f>
        <v/>
      </c>
      <c r="O25" s="6" t="str">
        <f>IF(Sort_IDAC!$B25="","",IF(Sort_IDAC!O25=0,0,ROUND(Sort_IDAC!O25,-1*INT(LOG10(Sort_IDAC!O25))+2)))</f>
        <v/>
      </c>
      <c r="P25" s="6" t="str">
        <f>IF(Sort_IDAC!$B25="","",IF(Sort_IDAC!P25=0,0,ROUND(Sort_IDAC!P25,-1*INT(LOG10(Sort_IDAC!P25))+2)))</f>
        <v/>
      </c>
      <c r="Q25" s="6" t="str">
        <f>IF(Sort_IDAC!$B25="","",IF(Sort_IDAC!Q25=0,0,ROUND(Sort_IDAC!Q25,-1*INT(LOG10(Sort_IDAC!Q25))+2)))</f>
        <v/>
      </c>
      <c r="R25" s="6" t="str">
        <f>IF(Sort_IDAC!$B25="","",IF(Sort_IDAC!R25=0,0,ROUND(Sort_IDAC!R25,-1*INT(LOG10(Sort_IDAC!R25))+2)))</f>
        <v/>
      </c>
      <c r="S25" s="6" t="str">
        <f>IF(Sort_IDAC!$B25="","",IF(Sort_IDAC!S25=0,0,ROUND(Sort_IDAC!S25,-1*INT(LOG10(Sort_IDAC!S25))+2)))</f>
        <v/>
      </c>
      <c r="T25" s="6" t="str">
        <f>IF(Sort_IDAC!$B25="","",IF(Sort_IDAC!T25=0,0,ROUND(Sort_IDAC!T25,-1*INT(LOG10(Sort_IDAC!T25))+2)))</f>
        <v/>
      </c>
      <c r="U25" s="6" t="str">
        <f>IF(Sort_IDAC!$B25="","",IF(Sort_IDAC!U25=0,0,ROUND(Sort_IDAC!U25,-1*INT(LOG10(Sort_IDAC!U25))+2)))</f>
        <v/>
      </c>
      <c r="V25" s="6" t="str">
        <f>IF(Sort_IDAC!$B25="","",IF(Sort_IDAC!V25=0,0,ROUND(Sort_IDAC!V25,-1*INT(LOG10(Sort_IDAC!V25))+2)))</f>
        <v/>
      </c>
      <c r="W25" s="6" t="str">
        <f>IF(Sort_IDAC!$B25="","",IF(Sort_IDAC!W25=0,0,ROUND(Sort_IDAC!W25,-1*INT(LOG10(Sort_IDAC!W25))+2)))</f>
        <v/>
      </c>
      <c r="X25" s="6" t="str">
        <f>IF(Sort_IDAC!$B25="","",IF(Sort_IDAC!X25=0,0,ROUND(Sort_IDAC!X25,-1*INT(LOG10(Sort_IDAC!X25))+2)))</f>
        <v/>
      </c>
      <c r="Y25" s="6" t="str">
        <f>IF(Sort_IDAC!$B25="","",IF(Sort_IDAC!Y25=0,0,ROUND(Sort_IDAC!Y25,-1*INT(LOG10(Sort_IDAC!Y25))+2)))</f>
        <v/>
      </c>
      <c r="Z25" s="6" t="str">
        <f>IF(Sort_IDAC!$B25="","",IF(Sort_IDAC!Z25=0,0,ROUND(Sort_IDAC!Z25,-1*INT(LOG10(Sort_IDAC!Z25))+2)))</f>
        <v/>
      </c>
      <c r="AA25" s="6" t="str">
        <f>IF(Sort_IDAC!$B25="","",IF(Sort_IDAC!AA25=0,0,ROUND(Sort_IDAC!AA25,-1*INT(LOG10(Sort_IDAC!AA25))+2)))</f>
        <v/>
      </c>
      <c r="AB25" s="6" t="str">
        <f>IF(Sort_IDAC!$B25="","",IF(Sort_IDAC!AB25=0,0,ROUND(Sort_IDAC!AB25,-1*INT(LOG10(Sort_IDAC!AB25))+2)))</f>
        <v/>
      </c>
      <c r="AC25" s="6" t="str">
        <f>IF(Sort_IDAC!$B25="","",IF(Sort_IDAC!AC25=0,0,ROUND(Sort_IDAC!AC25,-1*INT(LOG10(Sort_IDAC!AC25))+2)))</f>
        <v/>
      </c>
      <c r="AD25" s="6" t="str">
        <f>IF(Sort_IDAC!$B25="","",IF(Sort_IDAC!AD25=0,0,ROUND(Sort_IDAC!AD25,-1*INT(LOG10(Sort_IDAC!AD25))+2)))</f>
        <v/>
      </c>
      <c r="AE25" s="6" t="str">
        <f>IF(Sort_IDAC!$B25="","",IF(Sort_IDAC!AE25=0,0,ROUND(Sort_IDAC!AE25,-1*INT(LOG10(Sort_IDAC!AE25))+2)))</f>
        <v/>
      </c>
      <c r="AF25" s="6" t="str">
        <f>IF(Sort_IDAC!$B25="","",IF(Sort_IDAC!AF25=0,0,ROUND(Sort_IDAC!AF25,-1*INT(LOG10(Sort_IDAC!AF25))+2)))</f>
        <v/>
      </c>
      <c r="AG25" s="6" t="str">
        <f>IF(Sort_IDAC!$B25="","",IF(Sort_IDAC!AG25=0,0,ROUND(Sort_IDAC!AG25,-1*INT(LOG10(Sort_IDAC!AG25))+2)))</f>
        <v/>
      </c>
      <c r="AH25" s="6" t="str">
        <f>IF(Sort_IDAC!$B25="","",IF(Sort_IDAC!AH25=0,0,ROUND(Sort_IDAC!AH25,-1*INT(LOG10(Sort_IDAC!AH25))+2)))</f>
        <v/>
      </c>
      <c r="AI25" s="6" t="str">
        <f>IF(Sort_IDAC!$B25="","",IF(Sort_IDAC!AI25=0,0,ROUND(Sort_IDAC!AI25,-1*INT(LOG10(Sort_IDAC!AI25))+2)))</f>
        <v/>
      </c>
      <c r="AJ25" s="6" t="str">
        <f>IF(Sort_IDAC!$B25="","",IF(Sort_IDAC!AJ25=0,0,ROUND(Sort_IDAC!AJ25,-1*INT(LOG10(Sort_IDAC!AJ25))+2)))</f>
        <v/>
      </c>
      <c r="AK25" s="6" t="str">
        <f>IF(Sort_IDAC!$B25="","",IF(Sort_IDAC!AK25=0,0,ROUND(Sort_IDAC!AK25,-1*INT(LOG10(Sort_IDAC!AK25))+2)))</f>
        <v/>
      </c>
      <c r="AL25" s="6" t="str">
        <f>IF(Sort_IDAC!$B25="","",IF(Sort_IDAC!AL25=0,0,ROUND(Sort_IDAC!AL25,-1*INT(LOG10(Sort_IDAC!AL25))+2)))</f>
        <v/>
      </c>
      <c r="AM25" s="6" t="str">
        <f>IF(Sort_IDAC!$B25="","",IF(Sort_IDAC!AM25=0,0,ROUND(Sort_IDAC!AM25,-1*INT(LOG10(Sort_IDAC!AM25))+2)))</f>
        <v/>
      </c>
      <c r="AN25" s="6" t="str">
        <f>IF(Sort_IDAC!$B25="","",IF(Sort_IDAC!AN25=0,0,ROUND(Sort_IDAC!AN25,-1*INT(LOG10(Sort_IDAC!AN25))+2)))</f>
        <v/>
      </c>
      <c r="AO25" s="6" t="str">
        <f>IF(Sort_IDAC!$B25="","",IF(Sort_IDAC!AO25=0,0,ROUND(Sort_IDAC!AO25,-1*INT(LOG10(Sort_IDAC!AO25))+2)))</f>
        <v/>
      </c>
      <c r="AP25" s="6" t="str">
        <f>IF(Sort_IDAC!$B25="","",IF(Sort_IDAC!AP25=0,0,ROUND(Sort_IDAC!AP25,-1*INT(LOG10(Sort_IDAC!AP25))+2)))</f>
        <v/>
      </c>
      <c r="AQ25" s="6" t="str">
        <f>IF(Sort_IDAC!$B25="","",IF(Sort_IDAC!AQ25=0,0,ROUND(Sort_IDAC!AQ25,-1*INT(LOG10(Sort_IDAC!AQ25))+2)))</f>
        <v/>
      </c>
      <c r="AR25" s="6" t="str">
        <f>IF(Sort_IDAC!$B25="","",IF(Sort_IDAC!AR25=0,0,ROUND(Sort_IDAC!AR25,-1*INT(LOG10(Sort_IDAC!AR25))+2)))</f>
        <v/>
      </c>
      <c r="AS25" s="6" t="str">
        <f>IF(Sort_IDAC!$B25="","",IF(Sort_IDAC!AS25=0,0,ROUND(Sort_IDAC!AS25,-1*INT(LOG10(Sort_IDAC!AS25))+2)))</f>
        <v/>
      </c>
      <c r="AT25" s="6" t="str">
        <f>IF(Sort_IDAC!$B25="","",IF(Sort_IDAC!AT25=0,0,ROUND(Sort_IDAC!AT25,-1*INT(LOG10(Sort_IDAC!AT25))+2)))</f>
        <v/>
      </c>
      <c r="AU25" s="6" t="str">
        <f>IF(Sort_IDAC!$B25="","",IF(Sort_IDAC!AU25=0,0,ROUND(Sort_IDAC!AU25,-1*INT(LOG10(Sort_IDAC!AU25))+2)))</f>
        <v/>
      </c>
      <c r="AV25" s="6" t="str">
        <f>IF(Sort_IDAC!$B25="","",IF(Sort_IDAC!AV25=0,0,ROUND(Sort_IDAC!AV25,-1*INT(LOG10(Sort_IDAC!AV25))+2)))</f>
        <v/>
      </c>
      <c r="AW25" s="6" t="str">
        <f>IF(Sort_IDAC!$B25="","",IF(Sort_IDAC!AW25=0,0,ROUND(Sort_IDAC!AW25,-1*INT(LOG10(Sort_IDAC!AW25))+2)))</f>
        <v/>
      </c>
      <c r="AX25" s="6" t="str">
        <f>IF(Sort_IDAC!$B25="","",IF(Sort_IDAC!AX25=0,0,ROUND(Sort_IDAC!AX25,-1*INT(LOG10(Sort_IDAC!AX25))+2)))</f>
        <v/>
      </c>
      <c r="AY25" s="6" t="str">
        <f>IF(Sort_IDAC!$B25="","",IF(Sort_IDAC!AY25=0,0,ROUND(Sort_IDAC!AY25,-1*INT(LOG10(Sort_IDAC!AY25))+2)))</f>
        <v/>
      </c>
      <c r="AZ25" s="6" t="str">
        <f>IF(Sort_IDAC!$B25="","",IF(Sort_IDAC!AZ25=0,0,ROUND(Sort_IDAC!AZ25,-1*INT(LOG10(Sort_IDAC!AZ25))+2)))</f>
        <v/>
      </c>
      <c r="BA25" s="6" t="str">
        <f>IF(Sort_IDAC!$B25="","",IF(Sort_IDAC!BA25=0,0,ROUND(Sort_IDAC!BA25,-1*INT(LOG10(Sort_IDAC!BA25))+2)))</f>
        <v/>
      </c>
      <c r="BB25" s="6" t="str">
        <f>IF(Sort_IDAC!$B25="","",IF(Sort_IDAC!BB25=0,0,ROUND(Sort_IDAC!BB25,-1*INT(LOG10(Sort_IDAC!BB25))+2)))</f>
        <v/>
      </c>
      <c r="BC25" s="6" t="str">
        <f>IF(Sort_IDAC!$B25="","",IF(Sort_IDAC!BC25=0,0,ROUND(Sort_IDAC!BC25,-1*INT(LOG10(Sort_IDAC!BC25))+2)))</f>
        <v/>
      </c>
      <c r="BD25" s="6" t="str">
        <f>IF(Sort_IDAC!$B25="","",IF(Sort_IDAC!BD25=0,0,ROUND(Sort_IDAC!BD25,-1*INT(LOG10(Sort_IDAC!BD25))+2)))</f>
        <v/>
      </c>
      <c r="BE25" s="6" t="str">
        <f>IF(Sort_IDAC!$B25="","",IF(Sort_IDAC!BE25=0,0,ROUND(Sort_IDAC!BE25,-1*INT(LOG10(Sort_IDAC!BE25))+2)))</f>
        <v/>
      </c>
      <c r="BF25" s="6" t="str">
        <f>IF(Sort_IDAC!$B25="","",IF(Sort_IDAC!BF25=0,0,ROUND(Sort_IDAC!BF25,-1*INT(LOG10(Sort_IDAC!BF25))+2)))</f>
        <v/>
      </c>
      <c r="BG25" s="6" t="str">
        <f>IF(Sort_IDAC!$B25="","",IF(Sort_IDAC!BG25=0,0,ROUND(Sort_IDAC!BG25,-1*INT(LOG10(Sort_IDAC!BG25))+2)))</f>
        <v/>
      </c>
      <c r="BH25" s="6" t="str">
        <f>IF(Sort_IDAC!$B25="","",IF(Sort_IDAC!BH25=0,0,ROUND(Sort_IDAC!BH25,-1*INT(LOG10(Sort_IDAC!BH25))+2)))</f>
        <v/>
      </c>
      <c r="BI25" s="6" t="str">
        <f>IF(Sort_IDAC!$B25="","",IF(Sort_IDAC!BI25=0,0,ROUND(Sort_IDAC!BI25,-1*INT(LOG10(Sort_IDAC!BI25))+2)))</f>
        <v/>
      </c>
      <c r="BJ25" s="6" t="str">
        <f>IF(Sort_IDAC!$B25="","",IF(Sort_IDAC!BJ25=0,0,ROUND(Sort_IDAC!BJ25,-1*INT(LOG10(Sort_IDAC!BJ25))+2)))</f>
        <v/>
      </c>
      <c r="BK25" s="6" t="str">
        <f>IF(Sort_IDAC!$B25="","",IF(Sort_IDAC!BK25=0,0,ROUND(Sort_IDAC!BK25,-1*INT(LOG10(Sort_IDAC!BK25))+2)))</f>
        <v/>
      </c>
      <c r="BL25" s="6" t="str">
        <f>IF(Sort_IDAC!$B25="","",IF(Sort_IDAC!BL25=0,0,ROUND(Sort_IDAC!BL25,-1*INT(LOG10(Sort_IDAC!BL25))+2)))</f>
        <v/>
      </c>
      <c r="BM25" s="6" t="str">
        <f>IF(Sort_IDAC!$B25="","",IF(Sort_IDAC!BM25=0,0,ROUND(Sort_IDAC!BM25,-1*INT(LOG10(Sort_IDAC!BM25))+2)))</f>
        <v/>
      </c>
      <c r="BN25" s="6" t="str">
        <f>IF(Sort_IDAC!$B25="","",IF(Sort_IDAC!BN25=0,0,ROUND(Sort_IDAC!BN25,-1*INT(LOG10(Sort_IDAC!BN25))+2)))</f>
        <v/>
      </c>
      <c r="BO25" s="6" t="str">
        <f>IF(Sort_IDAC!$B25="","",IF(Sort_IDAC!BO25=0,0,ROUND(Sort_IDAC!BO25,-1*INT(LOG10(Sort_IDAC!BO25))+2)))</f>
        <v/>
      </c>
      <c r="BP25" s="6" t="str">
        <f>IF(Sort_IDAC!$B25="","",IF(Sort_IDAC!BP25=0,0,ROUND(Sort_IDAC!BP25,-1*INT(LOG10(Sort_IDAC!BP25))+2)))</f>
        <v/>
      </c>
      <c r="BQ25" s="6" t="str">
        <f>IF(Sort_IDAC!$B25="","",IF(Sort_IDAC!BQ25=0,0,ROUND(Sort_IDAC!BQ25,-1*INT(LOG10(Sort_IDAC!BQ25))+2)))</f>
        <v/>
      </c>
      <c r="BR25" s="6" t="str">
        <f>IF(Sort_IDAC!$B25="","",IF(Sort_IDAC!BR25=0,0,ROUND(Sort_IDAC!BR25,-1*INT(LOG10(Sort_IDAC!BR25))+2)))</f>
        <v/>
      </c>
      <c r="BS25" s="6" t="str">
        <f>IF(Sort_IDAC!$B25="","",IF(Sort_IDAC!BS25=0,0,ROUND(Sort_IDAC!BS25,-1*INT(LOG10(Sort_IDAC!BS25))+2)))</f>
        <v/>
      </c>
      <c r="BT25" s="6" t="str">
        <f>IF(Sort_IDAC!$B25="","",IF(Sort_IDAC!BT25=0,0,ROUND(Sort_IDAC!BT25,-1*INT(LOG10(Sort_IDAC!BT25))+2)))</f>
        <v/>
      </c>
      <c r="BU25" s="6" t="str">
        <f>IF(Sort_IDAC!$B25="","",IF(Sort_IDAC!BU25=0,0,ROUND(Sort_IDAC!BU25,-1*INT(LOG10(Sort_IDAC!BU25))+2)))</f>
        <v/>
      </c>
      <c r="BV25" s="6" t="str">
        <f>IF(Sort_IDAC!$B25="","",IF(Sort_IDAC!BV25=0,0,ROUND(Sort_IDAC!BV25,-1*INT(LOG10(Sort_IDAC!BV25))+2)))</f>
        <v/>
      </c>
      <c r="BW25" s="6" t="str">
        <f>IF(Sort_IDAC!$B25="","",IF(Sort_IDAC!BW25=0,0,ROUND(Sort_IDAC!BW25,-1*INT(LOG10(Sort_IDAC!BW25))+2)))</f>
        <v/>
      </c>
      <c r="BX25" s="6" t="str">
        <f>IF(Sort_IDAC!$B25="","",IF(Sort_IDAC!BX25=0,0,ROUND(Sort_IDAC!BX25,-1*INT(LOG10(Sort_IDAC!BX25))+2)))</f>
        <v/>
      </c>
      <c r="BY25" s="6" t="str">
        <f>IF(Sort_IDAC!$B25="","",IF(Sort_IDAC!BY25=0,0,ROUND(Sort_IDAC!BY25,-1*INT(LOG10(Sort_IDAC!BY25))+2)))</f>
        <v/>
      </c>
      <c r="BZ25" s="6" t="str">
        <f>IF(Sort_IDAC!$B25="","",IF(Sort_IDAC!BZ25=0,0,ROUND(Sort_IDAC!BZ25,-1*INT(LOG10(Sort_IDAC!BZ25))+2)))</f>
        <v/>
      </c>
      <c r="CA25" s="6" t="str">
        <f>IF(Sort_IDAC!$B25="","",IF(Sort_IDAC!CA25=0,0,ROUND(Sort_IDAC!CA25,-1*INT(LOG10(Sort_IDAC!CA25))+2)))</f>
        <v/>
      </c>
      <c r="CB25" s="6" t="str">
        <f>IF(Sort_IDAC!$B25="","",IF(Sort_IDAC!CB25=0,0,ROUND(Sort_IDAC!CB25,-1*INT(LOG10(Sort_IDAC!CB25))+2)))</f>
        <v/>
      </c>
      <c r="CC25" s="6" t="str">
        <f>IF(Sort_IDAC!$B25="","",IF(Sort_IDAC!CC25=0,0,ROUND(Sort_IDAC!CC25,-1*INT(LOG10(Sort_IDAC!CC25))+2)))</f>
        <v/>
      </c>
      <c r="CD25" s="6"/>
      <c r="CE25" s="6"/>
      <c r="CF25" s="6"/>
      <c r="CG25" s="6"/>
    </row>
    <row r="26" spans="2:85" x14ac:dyDescent="0.15">
      <c r="B26" s="5" t="s">
        <v>16</v>
      </c>
      <c r="C26" s="6">
        <f>IF(Sort_IDAC!$B26="","",IF(Sort_IDAC!C26=0,0,ROUND(Sort_IDAC!C26,-1*INT(LOG10(Sort_IDAC!C26))+2)))</f>
        <v>6.1599999999999995E-16</v>
      </c>
      <c r="D26" s="6">
        <f>IF(Sort_IDAC!$B26="","",IF(Sort_IDAC!D26=0,0,ROUND(Sort_IDAC!D26,-1*INT(LOG10(Sort_IDAC!D26))+2)))</f>
        <v>1.12E-16</v>
      </c>
      <c r="E26" s="6">
        <f>IF(Sort_IDAC!$B26="","",IF(Sort_IDAC!E26=0,0,ROUND(Sort_IDAC!E26,-1*INT(LOG10(Sort_IDAC!E26))+2)))</f>
        <v>9.3700000000000004E-16</v>
      </c>
      <c r="F26" s="6">
        <f>IF(Sort_IDAC!$B26="","",IF(Sort_IDAC!F26=0,0,ROUND(Sort_IDAC!F26,-1*INT(LOG10(Sort_IDAC!F26))+2)))</f>
        <v>2.2500000000000001E-16</v>
      </c>
      <c r="G26" s="6">
        <f>IF(Sort_IDAC!$B26="","",IF(Sort_IDAC!G26=0,0,ROUND(Sort_IDAC!G26,-1*INT(LOG10(Sort_IDAC!G26))+2)))</f>
        <v>1.8899999999999999E-15</v>
      </c>
      <c r="H26" s="6">
        <f>IF(Sort_IDAC!$B26="","",IF(Sort_IDAC!H26=0,0,ROUND(Sort_IDAC!H26,-1*INT(LOG10(Sort_IDAC!H26))+2)))</f>
        <v>8.9599999999999997E-16</v>
      </c>
      <c r="I26" s="6">
        <f>IF(Sort_IDAC!$B26="","",IF(Sort_IDAC!I26=0,0,ROUND(Sort_IDAC!I26,-1*INT(LOG10(Sort_IDAC!I26))+2)))</f>
        <v>7.8100000000000003E-15</v>
      </c>
      <c r="J26" s="6">
        <f>IF(Sort_IDAC!$B26="","",IF(Sort_IDAC!J26=0,0,ROUND(Sort_IDAC!J26,-1*INT(LOG10(Sort_IDAC!J26))+2)))</f>
        <v>7.8100000000000003E-15</v>
      </c>
      <c r="K26" s="6">
        <f>IF(Sort_IDAC!$B26="","",IF(Sort_IDAC!K26=0,0,ROUND(Sort_IDAC!K26,-1*INT(LOG10(Sort_IDAC!K26))+2)))</f>
        <v>7.8100000000000003E-15</v>
      </c>
      <c r="L26" s="6">
        <f>IF(Sort_IDAC!$B26="","",IF(Sort_IDAC!L26=0,0,ROUND(Sort_IDAC!L26,-1*INT(LOG10(Sort_IDAC!L26))+2)))</f>
        <v>9.3700000000000004E-16</v>
      </c>
      <c r="M26" s="6">
        <f>IF(Sort_IDAC!$B26="","",IF(Sort_IDAC!M26=0,0,ROUND(Sort_IDAC!M26,-1*INT(LOG10(Sort_IDAC!M26))+2)))</f>
        <v>9.3700000000000004E-16</v>
      </c>
      <c r="N26" s="6">
        <f>IF(Sort_IDAC!$B26="","",IF(Sort_IDAC!N26=0,0,ROUND(Sort_IDAC!N26,-1*INT(LOG10(Sort_IDAC!N26))+2)))</f>
        <v>9.3700000000000004E-16</v>
      </c>
      <c r="O26" s="6">
        <f>IF(Sort_IDAC!$B26="","",IF(Sort_IDAC!O26=0,0,ROUND(Sort_IDAC!O26,-1*INT(LOG10(Sort_IDAC!O26))+2)))</f>
        <v>4.32E-15</v>
      </c>
      <c r="P26" s="6">
        <f>IF(Sort_IDAC!$B26="","",IF(Sort_IDAC!P26=0,0,ROUND(Sort_IDAC!P26,-1*INT(LOG10(Sort_IDAC!P26))+2)))</f>
        <v>5.47E-17</v>
      </c>
      <c r="Q26" s="6">
        <f>IF(Sort_IDAC!$B26="","",IF(Sort_IDAC!Q26=0,0,ROUND(Sort_IDAC!Q26,-1*INT(LOG10(Sort_IDAC!Q26))+2)))</f>
        <v>1.2900000000000001E-15</v>
      </c>
      <c r="R26" s="6">
        <f>IF(Sort_IDAC!$B26="","",IF(Sort_IDAC!R26=0,0,ROUND(Sort_IDAC!R26,-1*INT(LOG10(Sort_IDAC!R26))+2)))</f>
        <v>1.2900000000000001E-15</v>
      </c>
      <c r="S26" s="6">
        <f>IF(Sort_IDAC!$B26="","",IF(Sort_IDAC!S26=0,0,ROUND(Sort_IDAC!S26,-1*INT(LOG10(Sort_IDAC!S26))+2)))</f>
        <v>4.1400000000000002E-15</v>
      </c>
      <c r="T26" s="6">
        <f>IF(Sort_IDAC!$B26="","",IF(Sort_IDAC!T26=0,0,ROUND(Sort_IDAC!T26,-1*INT(LOG10(Sort_IDAC!T26))+2)))</f>
        <v>7.6200000000000006E-14</v>
      </c>
      <c r="U26" s="6">
        <f>IF(Sort_IDAC!$B26="","",IF(Sort_IDAC!U26=0,0,ROUND(Sort_IDAC!U26,-1*INT(LOG10(Sort_IDAC!U26))+2)))</f>
        <v>7.6200000000000006E-14</v>
      </c>
      <c r="V26" s="6">
        <f>IF(Sort_IDAC!$B26="","",IF(Sort_IDAC!V26=0,0,ROUND(Sort_IDAC!V26,-1*INT(LOG10(Sort_IDAC!V26))+2)))</f>
        <v>7.6200000000000006E-14</v>
      </c>
      <c r="W26" s="6">
        <f>IF(Sort_IDAC!$B26="","",IF(Sort_IDAC!W26=0,0,ROUND(Sort_IDAC!W26,-1*INT(LOG10(Sort_IDAC!W26))+2)))</f>
        <v>7.6200000000000006E-14</v>
      </c>
      <c r="X26" s="6">
        <f>IF(Sort_IDAC!$B26="","",IF(Sort_IDAC!X26=0,0,ROUND(Sort_IDAC!X26,-1*INT(LOG10(Sort_IDAC!X26))+2)))</f>
        <v>7.6200000000000006E-14</v>
      </c>
      <c r="Y26" s="6">
        <f>IF(Sort_IDAC!$B26="","",IF(Sort_IDAC!Y26=0,0,ROUND(Sort_IDAC!Y26,-1*INT(LOG10(Sort_IDAC!Y26))+2)))</f>
        <v>2.43E-15</v>
      </c>
      <c r="Z26" s="6">
        <f>IF(Sort_IDAC!$B26="","",IF(Sort_IDAC!Z26=0,0,ROUND(Sort_IDAC!Z26,-1*INT(LOG10(Sort_IDAC!Z26))+2)))</f>
        <v>1.1900000000000001E-16</v>
      </c>
      <c r="AA26" s="6">
        <f>IF(Sort_IDAC!$B26="","",IF(Sort_IDAC!AA26=0,0,ROUND(Sort_IDAC!AA26,-1*INT(LOG10(Sort_IDAC!AA26))+2)))</f>
        <v>1.4499999999999999E-16</v>
      </c>
      <c r="AB26" s="6">
        <f>IF(Sort_IDAC!$B26="","",IF(Sort_IDAC!AB26=0,0,ROUND(Sort_IDAC!AB26,-1*INT(LOG10(Sort_IDAC!AB26))+2)))</f>
        <v>6.6800000000000001E-16</v>
      </c>
      <c r="AC26" s="6">
        <f>IF(Sort_IDAC!$B26="","",IF(Sort_IDAC!AC26=0,0,ROUND(Sort_IDAC!AC26,-1*INT(LOG10(Sort_IDAC!AC26))+2)))</f>
        <v>8.2400000000000005E-17</v>
      </c>
      <c r="AD26" s="6">
        <f>IF(Sort_IDAC!$B26="","",IF(Sort_IDAC!AD26=0,0,ROUND(Sort_IDAC!AD26,-1*INT(LOG10(Sort_IDAC!AD26))+2)))</f>
        <v>1.62E-17</v>
      </c>
      <c r="AE26" s="6">
        <f>IF(Sort_IDAC!$B26="","",IF(Sort_IDAC!AE26=0,0,ROUND(Sort_IDAC!AE26,-1*INT(LOG10(Sort_IDAC!AE26))+2)))</f>
        <v>1.5E-17</v>
      </c>
      <c r="AF26" s="6">
        <f>IF(Sort_IDAC!$B26="","",IF(Sort_IDAC!AF26=0,0,ROUND(Sort_IDAC!AF26,-1*INT(LOG10(Sort_IDAC!AF26))+2)))</f>
        <v>1.5E-17</v>
      </c>
      <c r="AG26" s="6">
        <f>IF(Sort_IDAC!$B26="","",IF(Sort_IDAC!AG26=0,0,ROUND(Sort_IDAC!AG26,-1*INT(LOG10(Sort_IDAC!AG26))+2)))</f>
        <v>2.2099999999999999E-16</v>
      </c>
      <c r="AH26" s="6">
        <f>IF(Sort_IDAC!$B26="","",IF(Sort_IDAC!AH26=0,0,ROUND(Sort_IDAC!AH26,-1*INT(LOG10(Sort_IDAC!AH26))+2)))</f>
        <v>1.1700000000000001E-15</v>
      </c>
      <c r="AI26" s="6">
        <f>IF(Sort_IDAC!$B26="","",IF(Sort_IDAC!AI26=0,0,ROUND(Sort_IDAC!AI26,-1*INT(LOG10(Sort_IDAC!AI26))+2)))</f>
        <v>9.1200000000000003E-16</v>
      </c>
      <c r="AJ26" s="6">
        <f>IF(Sort_IDAC!$B26="","",IF(Sort_IDAC!AJ26=0,0,ROUND(Sort_IDAC!AJ26,-1*INT(LOG10(Sort_IDAC!AJ26))+2)))</f>
        <v>3.47E-12</v>
      </c>
      <c r="AK26" s="6">
        <f>IF(Sort_IDAC!$B26="","",IF(Sort_IDAC!AK26=0,0,ROUND(Sort_IDAC!AK26,-1*INT(LOG10(Sort_IDAC!AK26))+2)))</f>
        <v>1.0999999999999999E-15</v>
      </c>
      <c r="AL26" s="6">
        <f>IF(Sort_IDAC!$B26="","",IF(Sort_IDAC!AL26=0,0,ROUND(Sort_IDAC!AL26,-1*INT(LOG10(Sort_IDAC!AL26))+2)))</f>
        <v>1.02E-14</v>
      </c>
      <c r="AM26" s="6">
        <f>IF(Sort_IDAC!$B26="","",IF(Sort_IDAC!AM26=0,0,ROUND(Sort_IDAC!AM26,-1*INT(LOG10(Sort_IDAC!AM26))+2)))</f>
        <v>9.59E-16</v>
      </c>
      <c r="AN26" s="6">
        <f>IF(Sort_IDAC!$B26="","",IF(Sort_IDAC!AN26=0,0,ROUND(Sort_IDAC!AN26,-1*INT(LOG10(Sort_IDAC!AN26))+2)))</f>
        <v>7.3300000000000004E-15</v>
      </c>
      <c r="AO26" s="6">
        <f>IF(Sort_IDAC!$B26="","",IF(Sort_IDAC!AO26=0,0,ROUND(Sort_IDAC!AO26,-1*INT(LOG10(Sort_IDAC!AO26))+2)))</f>
        <v>7.3300000000000004E-15</v>
      </c>
      <c r="AP26" s="6">
        <f>IF(Sort_IDAC!$B26="","",IF(Sort_IDAC!AP26=0,0,ROUND(Sort_IDAC!AP26,-1*INT(LOG10(Sort_IDAC!AP26))+2)))</f>
        <v>7.3300000000000004E-15</v>
      </c>
      <c r="AQ26" s="6">
        <f>IF(Sort_IDAC!$B26="","",IF(Sort_IDAC!AQ26=0,0,ROUND(Sort_IDAC!AQ26,-1*INT(LOG10(Sort_IDAC!AQ26))+2)))</f>
        <v>5.8599999999999998E-14</v>
      </c>
      <c r="AR26" s="6">
        <f>IF(Sort_IDAC!$B26="","",IF(Sort_IDAC!AR26=0,0,ROUND(Sort_IDAC!AR26,-1*INT(LOG10(Sort_IDAC!AR26))+2)))</f>
        <v>5.8599999999999998E-14</v>
      </c>
      <c r="AS26" s="6">
        <f>IF(Sort_IDAC!$B26="","",IF(Sort_IDAC!AS26=0,0,ROUND(Sort_IDAC!AS26,-1*INT(LOG10(Sort_IDAC!AS26))+2)))</f>
        <v>3.4500000000000001E-18</v>
      </c>
      <c r="AT26" s="6">
        <f>IF(Sort_IDAC!$B26="","",IF(Sort_IDAC!AT26=0,0,ROUND(Sort_IDAC!AT26,-1*INT(LOG10(Sort_IDAC!AT26))+2)))</f>
        <v>7.6600000000000002E-17</v>
      </c>
      <c r="AU26" s="6">
        <f>IF(Sort_IDAC!$B26="","",IF(Sort_IDAC!AU26=0,0,ROUND(Sort_IDAC!AU26,-1*INT(LOG10(Sort_IDAC!AU26))+2)))</f>
        <v>4.9699999999999999E-15</v>
      </c>
      <c r="AV26" s="6">
        <f>IF(Sort_IDAC!$B26="","",IF(Sort_IDAC!AV26=0,0,ROUND(Sort_IDAC!AV26,-1*INT(LOG10(Sort_IDAC!AV26))+2)))</f>
        <v>0</v>
      </c>
      <c r="AW26" s="6">
        <f>IF(Sort_IDAC!$B26="","",IF(Sort_IDAC!AW26=0,0,ROUND(Sort_IDAC!AW26,-1*INT(LOG10(Sort_IDAC!AW26))+2)))</f>
        <v>4.9699999999999997E-18</v>
      </c>
      <c r="AX26" s="6">
        <f>IF(Sort_IDAC!$B26="","",IF(Sort_IDAC!AX26=0,0,ROUND(Sort_IDAC!AX26,-1*INT(LOG10(Sort_IDAC!AX26))+2)))</f>
        <v>5.4800000000000001E-18</v>
      </c>
      <c r="AY26" s="6">
        <f>IF(Sort_IDAC!$B26="","",IF(Sort_IDAC!AY26=0,0,ROUND(Sort_IDAC!AY26,-1*INT(LOG10(Sort_IDAC!AY26))+2)))</f>
        <v>3.9E-18</v>
      </c>
      <c r="AZ26" s="6">
        <f>IF(Sort_IDAC!$B26="","",IF(Sort_IDAC!AZ26=0,0,ROUND(Sort_IDAC!AZ26,-1*INT(LOG10(Sort_IDAC!AZ26))+2)))</f>
        <v>1.4500000000000001E-15</v>
      </c>
      <c r="BA26" s="6">
        <f>IF(Sort_IDAC!$B26="","",IF(Sort_IDAC!BA26=0,0,ROUND(Sort_IDAC!BA26,-1*INT(LOG10(Sort_IDAC!BA26))+2)))</f>
        <v>1.66E-15</v>
      </c>
      <c r="BB26" s="6">
        <f>IF(Sort_IDAC!$B26="","",IF(Sort_IDAC!BB26=0,0,ROUND(Sort_IDAC!BB26,-1*INT(LOG10(Sort_IDAC!BB26))+2)))</f>
        <v>2.1500000000000001E-17</v>
      </c>
      <c r="BC26" s="6">
        <f>IF(Sort_IDAC!$B26="","",IF(Sort_IDAC!BC26=0,0,ROUND(Sort_IDAC!BC26,-1*INT(LOG10(Sort_IDAC!BC26))+2)))</f>
        <v>2.7600000000000001E-17</v>
      </c>
      <c r="BD26" s="6">
        <f>IF(Sort_IDAC!$B26="","",IF(Sort_IDAC!BD26=0,0,ROUND(Sort_IDAC!BD26,-1*INT(LOG10(Sort_IDAC!BD26))+2)))</f>
        <v>2.7600000000000001E-17</v>
      </c>
      <c r="BE26" s="6">
        <f>IF(Sort_IDAC!$B26="","",IF(Sort_IDAC!BE26=0,0,ROUND(Sort_IDAC!BE26,-1*INT(LOG10(Sort_IDAC!BE26))+2)))</f>
        <v>2.6600000000000002E-14</v>
      </c>
      <c r="BF26" s="6">
        <f>IF(Sort_IDAC!$B26="","",IF(Sort_IDAC!BF26=0,0,ROUND(Sort_IDAC!BF26,-1*INT(LOG10(Sort_IDAC!BF26))+2)))</f>
        <v>4.7199999999999998E-16</v>
      </c>
      <c r="BG26" s="6">
        <f>IF(Sort_IDAC!$B26="","",IF(Sort_IDAC!BG26=0,0,ROUND(Sort_IDAC!BG26,-1*INT(LOG10(Sort_IDAC!BG26))+2)))</f>
        <v>4.43E-17</v>
      </c>
      <c r="BH26" s="6">
        <f>IF(Sort_IDAC!$B26="","",IF(Sort_IDAC!BH26=0,0,ROUND(Sort_IDAC!BH26,-1*INT(LOG10(Sort_IDAC!BH26))+2)))</f>
        <v>2.3900000000000001E-17</v>
      </c>
      <c r="BI26" s="6">
        <f>IF(Sort_IDAC!$B26="","",IF(Sort_IDAC!BI26=0,0,ROUND(Sort_IDAC!BI26,-1*INT(LOG10(Sort_IDAC!BI26))+2)))</f>
        <v>2.3900000000000001E-17</v>
      </c>
      <c r="BJ26" s="6">
        <f>IF(Sort_IDAC!$B26="","",IF(Sort_IDAC!BJ26=0,0,ROUND(Sort_IDAC!BJ26,-1*INT(LOG10(Sort_IDAC!BJ26))+2)))</f>
        <v>2.3900000000000001E-17</v>
      </c>
      <c r="BK26" s="6">
        <f>IF(Sort_IDAC!$B26="","",IF(Sort_IDAC!BK26=0,0,ROUND(Sort_IDAC!BK26,-1*INT(LOG10(Sort_IDAC!BK26))+2)))</f>
        <v>1.7E-16</v>
      </c>
      <c r="BL26" s="6">
        <f>IF(Sort_IDAC!$B26="","",IF(Sort_IDAC!BL26=0,0,ROUND(Sort_IDAC!BL26,-1*INT(LOG10(Sort_IDAC!BL26))+2)))</f>
        <v>1.32E-16</v>
      </c>
      <c r="BM26" s="6">
        <f>IF(Sort_IDAC!$B26="","",IF(Sort_IDAC!BM26=0,0,ROUND(Sort_IDAC!BM26,-1*INT(LOG10(Sort_IDAC!BM26))+2)))</f>
        <v>1.3599999999999999E-16</v>
      </c>
      <c r="BN26" s="6">
        <f>IF(Sort_IDAC!$B26="","",IF(Sort_IDAC!BN26=0,0,ROUND(Sort_IDAC!BN26,-1*INT(LOG10(Sort_IDAC!BN26))+2)))</f>
        <v>1.3599999999999999E-16</v>
      </c>
      <c r="BO26" s="6">
        <f>IF(Sort_IDAC!$B26="","",IF(Sort_IDAC!BO26=0,0,ROUND(Sort_IDAC!BO26,-1*INT(LOG10(Sort_IDAC!BO26))+2)))</f>
        <v>1.42E-14</v>
      </c>
      <c r="BP26" s="6">
        <f>IF(Sort_IDAC!$B26="","",IF(Sort_IDAC!BP26=0,0,ROUND(Sort_IDAC!BP26,-1*INT(LOG10(Sort_IDAC!BP26))+2)))</f>
        <v>1.42E-14</v>
      </c>
      <c r="BQ26" s="6">
        <f>IF(Sort_IDAC!$B26="","",IF(Sort_IDAC!BQ26=0,0,ROUND(Sort_IDAC!BQ26,-1*INT(LOG10(Sort_IDAC!BQ26))+2)))</f>
        <v>0</v>
      </c>
      <c r="BR26" s="6">
        <f>IF(Sort_IDAC!$B26="","",IF(Sort_IDAC!BR26=0,0,ROUND(Sort_IDAC!BR26,-1*INT(LOG10(Sort_IDAC!BR26))+2)))</f>
        <v>2.96E-15</v>
      </c>
      <c r="BS26" s="6">
        <f>IF(Sort_IDAC!$B26="","",IF(Sort_IDAC!BS26=0,0,ROUND(Sort_IDAC!BS26,-1*INT(LOG10(Sort_IDAC!BS26))+2)))</f>
        <v>1.3300000000000001E-14</v>
      </c>
      <c r="BT26" s="6">
        <f>IF(Sort_IDAC!$B26="","",IF(Sort_IDAC!BT26=0,0,ROUND(Sort_IDAC!BT26,-1*INT(LOG10(Sort_IDAC!BT26))+2)))</f>
        <v>5.1500000000000001E-14</v>
      </c>
      <c r="BU26" s="6">
        <f>IF(Sort_IDAC!$B26="","",IF(Sort_IDAC!BU26=0,0,ROUND(Sort_IDAC!BU26,-1*INT(LOG10(Sort_IDAC!BU26))+2)))</f>
        <v>1.9499999999999999E-14</v>
      </c>
      <c r="BV26" s="6">
        <f>IF(Sort_IDAC!$B26="","",IF(Sort_IDAC!BV26=0,0,ROUND(Sort_IDAC!BV26,-1*INT(LOG10(Sort_IDAC!BV26))+2)))</f>
        <v>1.0399999999999999E-15</v>
      </c>
      <c r="BW26" s="6">
        <f>IF(Sort_IDAC!$B26="","",IF(Sort_IDAC!BW26=0,0,ROUND(Sort_IDAC!BW26,-1*INT(LOG10(Sort_IDAC!BW26))+2)))</f>
        <v>1.43E-15</v>
      </c>
      <c r="BX26" s="6">
        <f>IF(Sort_IDAC!$B26="","",IF(Sort_IDAC!BX26=0,0,ROUND(Sort_IDAC!BX26,-1*INT(LOG10(Sort_IDAC!BX26))+2)))</f>
        <v>1.43E-15</v>
      </c>
      <c r="BY26" s="6">
        <f>IF(Sort_IDAC!$B26="","",IF(Sort_IDAC!BY26=0,0,ROUND(Sort_IDAC!BY26,-1*INT(LOG10(Sort_IDAC!BY26))+2)))</f>
        <v>2.72E-17</v>
      </c>
      <c r="BZ26" s="6">
        <f>IF(Sort_IDAC!$B26="","",IF(Sort_IDAC!BZ26=0,0,ROUND(Sort_IDAC!BZ26,-1*INT(LOG10(Sort_IDAC!BZ26))+2)))</f>
        <v>2.02E-18</v>
      </c>
      <c r="CA26" s="6">
        <f>IF(Sort_IDAC!$B26="","",IF(Sort_IDAC!CA26=0,0,ROUND(Sort_IDAC!CA26,-1*INT(LOG10(Sort_IDAC!CA26))+2)))</f>
        <v>5.3100000000000002E-18</v>
      </c>
      <c r="CB26" s="6">
        <f>IF(Sort_IDAC!$B26="","",IF(Sort_IDAC!CB26=0,0,ROUND(Sort_IDAC!CB26,-1*INT(LOG10(Sort_IDAC!CB26))+2)))</f>
        <v>4.35E-18</v>
      </c>
      <c r="CC26" s="6">
        <f>IF(Sort_IDAC!$B26="","",IF(Sort_IDAC!CC26=0,0,ROUND(Sort_IDAC!CC26,-1*INT(LOG10(Sort_IDAC!CC26))+2)))</f>
        <v>5.5699999999999998E-16</v>
      </c>
      <c r="CD26" s="6"/>
      <c r="CE26" s="6"/>
      <c r="CF26" s="6"/>
      <c r="CG26" s="6"/>
    </row>
    <row r="27" spans="2:85" x14ac:dyDescent="0.15">
      <c r="B27" s="5" t="s">
        <v>17</v>
      </c>
      <c r="C27" s="6">
        <f>IF(Sort_IDAC!$B27="","",IF(Sort_IDAC!C27=0,0,ROUND(Sort_IDAC!C27,-1*INT(LOG10(Sort_IDAC!C27))+2)))</f>
        <v>1.02E-15</v>
      </c>
      <c r="D27" s="6">
        <f>IF(Sort_IDAC!$B27="","",IF(Sort_IDAC!D27=0,0,ROUND(Sort_IDAC!D27,-1*INT(LOG10(Sort_IDAC!D27))+2)))</f>
        <v>4.1599999999999998E-15</v>
      </c>
      <c r="E27" s="6">
        <f>IF(Sort_IDAC!$B27="","",IF(Sort_IDAC!E27=0,0,ROUND(Sort_IDAC!E27,-1*INT(LOG10(Sort_IDAC!E27))+2)))</f>
        <v>1.8599999999999999E-15</v>
      </c>
      <c r="F27" s="6">
        <f>IF(Sort_IDAC!$B27="","",IF(Sort_IDAC!F27=0,0,ROUND(Sort_IDAC!F27,-1*INT(LOG10(Sort_IDAC!F27))+2)))</f>
        <v>2.1700000000000002E-15</v>
      </c>
      <c r="G27" s="6">
        <f>IF(Sort_IDAC!$B27="","",IF(Sort_IDAC!G27=0,0,ROUND(Sort_IDAC!G27,-1*INT(LOG10(Sort_IDAC!G27))+2)))</f>
        <v>2.1300000000000001E-16</v>
      </c>
      <c r="H27" s="6">
        <f>IF(Sort_IDAC!$B27="","",IF(Sort_IDAC!H27=0,0,ROUND(Sort_IDAC!H27,-1*INT(LOG10(Sort_IDAC!H27))+2)))</f>
        <v>7.9100000000000003E-16</v>
      </c>
      <c r="I27" s="6">
        <f>IF(Sort_IDAC!$B27="","",IF(Sort_IDAC!I27=0,0,ROUND(Sort_IDAC!I27,-1*INT(LOG10(Sort_IDAC!I27))+2)))</f>
        <v>3.7000000000000002E-15</v>
      </c>
      <c r="J27" s="6">
        <f>IF(Sort_IDAC!$B27="","",IF(Sort_IDAC!J27=0,0,ROUND(Sort_IDAC!J27,-1*INT(LOG10(Sort_IDAC!J27))+2)))</f>
        <v>3.7000000000000002E-15</v>
      </c>
      <c r="K27" s="6">
        <f>IF(Sort_IDAC!$B27="","",IF(Sort_IDAC!K27=0,0,ROUND(Sort_IDAC!K27,-1*INT(LOG10(Sort_IDAC!K27))+2)))</f>
        <v>3.7000000000000002E-15</v>
      </c>
      <c r="L27" s="6">
        <f>IF(Sort_IDAC!$B27="","",IF(Sort_IDAC!L27=0,0,ROUND(Sort_IDAC!L27,-1*INT(LOG10(Sort_IDAC!L27))+2)))</f>
        <v>1.8599999999999999E-15</v>
      </c>
      <c r="M27" s="6">
        <f>IF(Sort_IDAC!$B27="","",IF(Sort_IDAC!M27=0,0,ROUND(Sort_IDAC!M27,-1*INT(LOG10(Sort_IDAC!M27))+2)))</f>
        <v>1.8599999999999999E-15</v>
      </c>
      <c r="N27" s="6">
        <f>IF(Sort_IDAC!$B27="","",IF(Sort_IDAC!N27=0,0,ROUND(Sort_IDAC!N27,-1*INT(LOG10(Sort_IDAC!N27))+2)))</f>
        <v>1.8599999999999999E-15</v>
      </c>
      <c r="O27" s="6">
        <f>IF(Sort_IDAC!$B27="","",IF(Sort_IDAC!O27=0,0,ROUND(Sort_IDAC!O27,-1*INT(LOG10(Sort_IDAC!O27))+2)))</f>
        <v>1.02E-15</v>
      </c>
      <c r="P27" s="6">
        <f>IF(Sort_IDAC!$B27="","",IF(Sort_IDAC!P27=0,0,ROUND(Sort_IDAC!P27,-1*INT(LOG10(Sort_IDAC!P27))+2)))</f>
        <v>3.1600000000000001E-16</v>
      </c>
      <c r="Q27" s="6">
        <f>IF(Sort_IDAC!$B27="","",IF(Sort_IDAC!Q27=0,0,ROUND(Sort_IDAC!Q27,-1*INT(LOG10(Sort_IDAC!Q27))+2)))</f>
        <v>7.7100000000000001E-16</v>
      </c>
      <c r="R27" s="6">
        <f>IF(Sort_IDAC!$B27="","",IF(Sort_IDAC!R27=0,0,ROUND(Sort_IDAC!R27,-1*INT(LOG10(Sort_IDAC!R27))+2)))</f>
        <v>7.7100000000000001E-16</v>
      </c>
      <c r="S27" s="6">
        <f>IF(Sort_IDAC!$B27="","",IF(Sort_IDAC!S27=0,0,ROUND(Sort_IDAC!S27,-1*INT(LOG10(Sort_IDAC!S27))+2)))</f>
        <v>2.4499999999999999E-16</v>
      </c>
      <c r="T27" s="6">
        <f>IF(Sort_IDAC!$B27="","",IF(Sort_IDAC!T27=0,0,ROUND(Sort_IDAC!T27,-1*INT(LOG10(Sort_IDAC!T27))+2)))</f>
        <v>8.6499999999999995E-16</v>
      </c>
      <c r="U27" s="6">
        <f>IF(Sort_IDAC!$B27="","",IF(Sort_IDAC!U27=0,0,ROUND(Sort_IDAC!U27,-1*INT(LOG10(Sort_IDAC!U27))+2)))</f>
        <v>8.6499999999999995E-16</v>
      </c>
      <c r="V27" s="6">
        <f>IF(Sort_IDAC!$B27="","",IF(Sort_IDAC!V27=0,0,ROUND(Sort_IDAC!V27,-1*INT(LOG10(Sort_IDAC!V27))+2)))</f>
        <v>8.6499999999999995E-16</v>
      </c>
      <c r="W27" s="6">
        <f>IF(Sort_IDAC!$B27="","",IF(Sort_IDAC!W27=0,0,ROUND(Sort_IDAC!W27,-1*INT(LOG10(Sort_IDAC!W27))+2)))</f>
        <v>8.6499999999999995E-16</v>
      </c>
      <c r="X27" s="6">
        <f>IF(Sort_IDAC!$B27="","",IF(Sort_IDAC!X27=0,0,ROUND(Sort_IDAC!X27,-1*INT(LOG10(Sort_IDAC!X27))+2)))</f>
        <v>8.6499999999999995E-16</v>
      </c>
      <c r="Y27" s="6">
        <f>IF(Sort_IDAC!$B27="","",IF(Sort_IDAC!Y27=0,0,ROUND(Sort_IDAC!Y27,-1*INT(LOG10(Sort_IDAC!Y27))+2)))</f>
        <v>1.9199999999999999E-16</v>
      </c>
      <c r="Z27" s="6">
        <f>IF(Sort_IDAC!$B27="","",IF(Sort_IDAC!Z27=0,0,ROUND(Sort_IDAC!Z27,-1*INT(LOG10(Sort_IDAC!Z27))+2)))</f>
        <v>3.2199999999999999E-15</v>
      </c>
      <c r="AA27" s="6">
        <f>IF(Sort_IDAC!$B27="","",IF(Sort_IDAC!AA27=0,0,ROUND(Sort_IDAC!AA27,-1*INT(LOG10(Sort_IDAC!AA27))+2)))</f>
        <v>4.25E-15</v>
      </c>
      <c r="AB27" s="6">
        <f>IF(Sort_IDAC!$B27="","",IF(Sort_IDAC!AB27=0,0,ROUND(Sort_IDAC!AB27,-1*INT(LOG10(Sort_IDAC!AB27))+2)))</f>
        <v>2.77E-15</v>
      </c>
      <c r="AC27" s="6">
        <f>IF(Sort_IDAC!$B27="","",IF(Sort_IDAC!AC27=0,0,ROUND(Sort_IDAC!AC27,-1*INT(LOG10(Sort_IDAC!AC27))+2)))</f>
        <v>2.72E-15</v>
      </c>
      <c r="AD27" s="6">
        <f>IF(Sort_IDAC!$B27="","",IF(Sort_IDAC!AD27=0,0,ROUND(Sort_IDAC!AD27,-1*INT(LOG10(Sort_IDAC!AD27))+2)))</f>
        <v>3.0700000000000002E-15</v>
      </c>
      <c r="AE27" s="6">
        <f>IF(Sort_IDAC!$B27="","",IF(Sort_IDAC!AE27=0,0,ROUND(Sort_IDAC!AE27,-1*INT(LOG10(Sort_IDAC!AE27))+2)))</f>
        <v>3.6199999999999997E-15</v>
      </c>
      <c r="AF27" s="6">
        <f>IF(Sort_IDAC!$B27="","",IF(Sort_IDAC!AF27=0,0,ROUND(Sort_IDAC!AF27,-1*INT(LOG10(Sort_IDAC!AF27))+2)))</f>
        <v>3.6199999999999997E-15</v>
      </c>
      <c r="AG27" s="6">
        <f>IF(Sort_IDAC!$B27="","",IF(Sort_IDAC!AG27=0,0,ROUND(Sort_IDAC!AG27,-1*INT(LOG10(Sort_IDAC!AG27))+2)))</f>
        <v>1.5100000000000001E-15</v>
      </c>
      <c r="AH27" s="6">
        <f>IF(Sort_IDAC!$B27="","",IF(Sort_IDAC!AH27=0,0,ROUND(Sort_IDAC!AH27,-1*INT(LOG10(Sort_IDAC!AH27))+2)))</f>
        <v>1.92E-15</v>
      </c>
      <c r="AI27" s="6">
        <f>IF(Sort_IDAC!$B27="","",IF(Sort_IDAC!AI27=0,0,ROUND(Sort_IDAC!AI27,-1*INT(LOG10(Sort_IDAC!AI27))+2)))</f>
        <v>1.8500000000000001E-15</v>
      </c>
      <c r="AJ27" s="6">
        <f>IF(Sort_IDAC!$B27="","",IF(Sort_IDAC!AJ27=0,0,ROUND(Sort_IDAC!AJ27,-1*INT(LOG10(Sort_IDAC!AJ27))+2)))</f>
        <v>1.14E-15</v>
      </c>
      <c r="AK27" s="6">
        <f>IF(Sort_IDAC!$B27="","",IF(Sort_IDAC!AK27=0,0,ROUND(Sort_IDAC!AK27,-1*INT(LOG10(Sort_IDAC!AK27))+2)))</f>
        <v>2.7100000000000001E-13</v>
      </c>
      <c r="AL27" s="6">
        <f>IF(Sort_IDAC!$B27="","",IF(Sort_IDAC!AL27=0,0,ROUND(Sort_IDAC!AL27,-1*INT(LOG10(Sort_IDAC!AL27))+2)))</f>
        <v>3.4100000000000002E-15</v>
      </c>
      <c r="AM27" s="6">
        <f>IF(Sort_IDAC!$B27="","",IF(Sort_IDAC!AM27=0,0,ROUND(Sort_IDAC!AM27,-1*INT(LOG10(Sort_IDAC!AM27))+2)))</f>
        <v>8.920000000000001E-16</v>
      </c>
      <c r="AN27" s="6">
        <f>IF(Sort_IDAC!$B27="","",IF(Sort_IDAC!AN27=0,0,ROUND(Sort_IDAC!AN27,-1*INT(LOG10(Sort_IDAC!AN27))+2)))</f>
        <v>4.4999999999999998E-15</v>
      </c>
      <c r="AO27" s="6">
        <f>IF(Sort_IDAC!$B27="","",IF(Sort_IDAC!AO27=0,0,ROUND(Sort_IDAC!AO27,-1*INT(LOG10(Sort_IDAC!AO27))+2)))</f>
        <v>4.4999999999999998E-15</v>
      </c>
      <c r="AP27" s="6">
        <f>IF(Sort_IDAC!$B27="","",IF(Sort_IDAC!AP27=0,0,ROUND(Sort_IDAC!AP27,-1*INT(LOG10(Sort_IDAC!AP27))+2)))</f>
        <v>4.4999999999999998E-15</v>
      </c>
      <c r="AQ27" s="6">
        <f>IF(Sort_IDAC!$B27="","",IF(Sort_IDAC!AQ27=0,0,ROUND(Sort_IDAC!AQ27,-1*INT(LOG10(Sort_IDAC!AQ27))+2)))</f>
        <v>6.1599999999999995E-16</v>
      </c>
      <c r="AR27" s="6">
        <f>IF(Sort_IDAC!$B27="","",IF(Sort_IDAC!AR27=0,0,ROUND(Sort_IDAC!AR27,-1*INT(LOG10(Sort_IDAC!AR27))+2)))</f>
        <v>6.1599999999999995E-16</v>
      </c>
      <c r="AS27" s="6">
        <f>IF(Sort_IDAC!$B27="","",IF(Sort_IDAC!AS27=0,0,ROUND(Sort_IDAC!AS27,-1*INT(LOG10(Sort_IDAC!AS27))+2)))</f>
        <v>3.1600000000000001E-15</v>
      </c>
      <c r="AT27" s="6">
        <f>IF(Sort_IDAC!$B27="","",IF(Sort_IDAC!AT27=0,0,ROUND(Sort_IDAC!AT27,-1*INT(LOG10(Sort_IDAC!AT27))+2)))</f>
        <v>4.6200000000000001E-15</v>
      </c>
      <c r="AU27" s="6">
        <f>IF(Sort_IDAC!$B27="","",IF(Sort_IDAC!AU27=0,0,ROUND(Sort_IDAC!AU27,-1*INT(LOG10(Sort_IDAC!AU27))+2)))</f>
        <v>3.8900000000000001E-16</v>
      </c>
      <c r="AV27" s="6">
        <f>IF(Sort_IDAC!$B27="","",IF(Sort_IDAC!AV27=0,0,ROUND(Sort_IDAC!AV27,-1*INT(LOG10(Sort_IDAC!AV27))+2)))</f>
        <v>0</v>
      </c>
      <c r="AW27" s="6">
        <f>IF(Sort_IDAC!$B27="","",IF(Sort_IDAC!AW27=0,0,ROUND(Sort_IDAC!AW27,-1*INT(LOG10(Sort_IDAC!AW27))+2)))</f>
        <v>2.8099999999999999E-15</v>
      </c>
      <c r="AX27" s="6">
        <f>IF(Sort_IDAC!$B27="","",IF(Sort_IDAC!AX27=0,0,ROUND(Sort_IDAC!AX27,-1*INT(LOG10(Sort_IDAC!AX27))+2)))</f>
        <v>3.6700000000000001E-15</v>
      </c>
      <c r="AY27" s="6">
        <f>IF(Sort_IDAC!$B27="","",IF(Sort_IDAC!AY27=0,0,ROUND(Sort_IDAC!AY27,-1*INT(LOG10(Sort_IDAC!AY27))+2)))</f>
        <v>3.6700000000000001E-15</v>
      </c>
      <c r="AZ27" s="6">
        <f>IF(Sort_IDAC!$B27="","",IF(Sort_IDAC!AZ27=0,0,ROUND(Sort_IDAC!AZ27,-1*INT(LOG10(Sort_IDAC!AZ27))+2)))</f>
        <v>1.7199999999999999E-15</v>
      </c>
      <c r="BA27" s="6">
        <f>IF(Sort_IDAC!$B27="","",IF(Sort_IDAC!BA27=0,0,ROUND(Sort_IDAC!BA27,-1*INT(LOG10(Sort_IDAC!BA27))+2)))</f>
        <v>1.87E-15</v>
      </c>
      <c r="BB27" s="6">
        <f>IF(Sort_IDAC!$B27="","",IF(Sort_IDAC!BB27=0,0,ROUND(Sort_IDAC!BB27,-1*INT(LOG10(Sort_IDAC!BB27))+2)))</f>
        <v>2.5899999999999999E-15</v>
      </c>
      <c r="BC27" s="6">
        <f>IF(Sort_IDAC!$B27="","",IF(Sort_IDAC!BC27=0,0,ROUND(Sort_IDAC!BC27,-1*INT(LOG10(Sort_IDAC!BC27))+2)))</f>
        <v>3.35E-15</v>
      </c>
      <c r="BD27" s="6">
        <f>IF(Sort_IDAC!$B27="","",IF(Sort_IDAC!BD27=0,0,ROUND(Sort_IDAC!BD27,-1*INT(LOG10(Sort_IDAC!BD27))+2)))</f>
        <v>3.35E-15</v>
      </c>
      <c r="BE27" s="6">
        <f>IF(Sort_IDAC!$B27="","",IF(Sort_IDAC!BE27=0,0,ROUND(Sort_IDAC!BE27,-1*INT(LOG10(Sort_IDAC!BE27))+2)))</f>
        <v>1.2800000000000001E-15</v>
      </c>
      <c r="BF27" s="6">
        <f>IF(Sort_IDAC!$B27="","",IF(Sort_IDAC!BF27=0,0,ROUND(Sort_IDAC!BF27,-1*INT(LOG10(Sort_IDAC!BF27))+2)))</f>
        <v>4.6400000000000005E-16</v>
      </c>
      <c r="BG27" s="6">
        <f>IF(Sort_IDAC!$B27="","",IF(Sort_IDAC!BG27=0,0,ROUND(Sort_IDAC!BG27,-1*INT(LOG10(Sort_IDAC!BG27))+2)))</f>
        <v>3.8400000000000001E-15</v>
      </c>
      <c r="BH27" s="6">
        <f>IF(Sort_IDAC!$B27="","",IF(Sort_IDAC!BH27=0,0,ROUND(Sort_IDAC!BH27,-1*INT(LOG10(Sort_IDAC!BH27))+2)))</f>
        <v>5E-15</v>
      </c>
      <c r="BI27" s="6">
        <f>IF(Sort_IDAC!$B27="","",IF(Sort_IDAC!BI27=0,0,ROUND(Sort_IDAC!BI27,-1*INT(LOG10(Sort_IDAC!BI27))+2)))</f>
        <v>5E-15</v>
      </c>
      <c r="BJ27" s="6">
        <f>IF(Sort_IDAC!$B27="","",IF(Sort_IDAC!BJ27=0,0,ROUND(Sort_IDAC!BJ27,-1*INT(LOG10(Sort_IDAC!BJ27))+2)))</f>
        <v>5E-15</v>
      </c>
      <c r="BK27" s="6">
        <f>IF(Sort_IDAC!$B27="","",IF(Sort_IDAC!BK27=0,0,ROUND(Sort_IDAC!BK27,-1*INT(LOG10(Sort_IDAC!BK27))+2)))</f>
        <v>1.75E-15</v>
      </c>
      <c r="BL27" s="6">
        <f>IF(Sort_IDAC!$B27="","",IF(Sort_IDAC!BL27=0,0,ROUND(Sort_IDAC!BL27,-1*INT(LOG10(Sort_IDAC!BL27))+2)))</f>
        <v>2.4800000000000001E-15</v>
      </c>
      <c r="BM27" s="6">
        <f>IF(Sort_IDAC!$B27="","",IF(Sort_IDAC!BM27=0,0,ROUND(Sort_IDAC!BM27,-1*INT(LOG10(Sort_IDAC!BM27))+2)))</f>
        <v>3.2600000000000001E-15</v>
      </c>
      <c r="BN27" s="6">
        <f>IF(Sort_IDAC!$B27="","",IF(Sort_IDAC!BN27=0,0,ROUND(Sort_IDAC!BN27,-1*INT(LOG10(Sort_IDAC!BN27))+2)))</f>
        <v>3.2600000000000001E-15</v>
      </c>
      <c r="BO27" s="6">
        <f>IF(Sort_IDAC!$B27="","",IF(Sort_IDAC!BO27=0,0,ROUND(Sort_IDAC!BO27,-1*INT(LOG10(Sort_IDAC!BO27))+2)))</f>
        <v>4.4199999999999998E-16</v>
      </c>
      <c r="BP27" s="6">
        <f>IF(Sort_IDAC!$B27="","",IF(Sort_IDAC!BP27=0,0,ROUND(Sort_IDAC!BP27,-1*INT(LOG10(Sort_IDAC!BP27))+2)))</f>
        <v>4.4199999999999998E-16</v>
      </c>
      <c r="BQ27" s="6">
        <f>IF(Sort_IDAC!$B27="","",IF(Sort_IDAC!BQ27=0,0,ROUND(Sort_IDAC!BQ27,-1*INT(LOG10(Sort_IDAC!BQ27))+2)))</f>
        <v>0</v>
      </c>
      <c r="BR27" s="6">
        <f>IF(Sort_IDAC!$B27="","",IF(Sort_IDAC!BR27=0,0,ROUND(Sort_IDAC!BR27,-1*INT(LOG10(Sort_IDAC!BR27))+2)))</f>
        <v>4.4400000000000004E-15</v>
      </c>
      <c r="BS27" s="6">
        <f>IF(Sort_IDAC!$B27="","",IF(Sort_IDAC!BS27=0,0,ROUND(Sort_IDAC!BS27,-1*INT(LOG10(Sort_IDAC!BS27))+2)))</f>
        <v>3.1199999999999998E-15</v>
      </c>
      <c r="BT27" s="6">
        <f>IF(Sort_IDAC!$B27="","",IF(Sort_IDAC!BT27=0,0,ROUND(Sort_IDAC!BT27,-1*INT(LOG10(Sort_IDAC!BT27))+2)))</f>
        <v>6.6800000000000001E-16</v>
      </c>
      <c r="BU27" s="6">
        <f>IF(Sort_IDAC!$B27="","",IF(Sort_IDAC!BU27=0,0,ROUND(Sort_IDAC!BU27,-1*INT(LOG10(Sort_IDAC!BU27))+2)))</f>
        <v>6.5499999999999999E-16</v>
      </c>
      <c r="BV27" s="6">
        <f>IF(Sort_IDAC!$B27="","",IF(Sort_IDAC!BV27=0,0,ROUND(Sort_IDAC!BV27,-1*INT(LOG10(Sort_IDAC!BV27))+2)))</f>
        <v>1.09E-15</v>
      </c>
      <c r="BW27" s="6">
        <f>IF(Sort_IDAC!$B27="","",IF(Sort_IDAC!BW27=0,0,ROUND(Sort_IDAC!BW27,-1*INT(LOG10(Sort_IDAC!BW27))+2)))</f>
        <v>8.7600000000000003E-16</v>
      </c>
      <c r="BX27" s="6">
        <f>IF(Sort_IDAC!$B27="","",IF(Sort_IDAC!BX27=0,0,ROUND(Sort_IDAC!BX27,-1*INT(LOG10(Sort_IDAC!BX27))+2)))</f>
        <v>8.7600000000000003E-16</v>
      </c>
      <c r="BY27" s="6">
        <f>IF(Sort_IDAC!$B27="","",IF(Sort_IDAC!BY27=0,0,ROUND(Sort_IDAC!BY27,-1*INT(LOG10(Sort_IDAC!BY27))+2)))</f>
        <v>4.93E-15</v>
      </c>
      <c r="BZ27" s="6">
        <f>IF(Sort_IDAC!$B27="","",IF(Sort_IDAC!BZ27=0,0,ROUND(Sort_IDAC!BZ27,-1*INT(LOG10(Sort_IDAC!BZ27))+2)))</f>
        <v>2.1700000000000002E-15</v>
      </c>
      <c r="CA27" s="6">
        <f>IF(Sort_IDAC!$B27="","",IF(Sort_IDAC!CA27=0,0,ROUND(Sort_IDAC!CA27,-1*INT(LOG10(Sort_IDAC!CA27))+2)))</f>
        <v>2.4600000000000001E-15</v>
      </c>
      <c r="CB27" s="6">
        <f>IF(Sort_IDAC!$B27="","",IF(Sort_IDAC!CB27=0,0,ROUND(Sort_IDAC!CB27,-1*INT(LOG10(Sort_IDAC!CB27))+2)))</f>
        <v>3.1600000000000001E-15</v>
      </c>
      <c r="CC27" s="6">
        <f>IF(Sort_IDAC!$B27="","",IF(Sort_IDAC!CC27=0,0,ROUND(Sort_IDAC!CC27,-1*INT(LOG10(Sort_IDAC!CC27))+2)))</f>
        <v>6.6900000000000002E-16</v>
      </c>
      <c r="CD27" s="6"/>
      <c r="CE27" s="6"/>
      <c r="CF27" s="6"/>
      <c r="CG27" s="6"/>
    </row>
    <row r="28" spans="2:85" x14ac:dyDescent="0.15">
      <c r="B28" s="5" t="s">
        <v>18</v>
      </c>
      <c r="C28" s="6">
        <f>IF(Sort_IDAC!$B28="","",IF(Sort_IDAC!C28=0,0,ROUND(Sort_IDAC!C28,-1*INT(LOG10(Sort_IDAC!C28))+2)))</f>
        <v>7.0000000000000003E-16</v>
      </c>
      <c r="D28" s="6">
        <f>IF(Sort_IDAC!$B28="","",IF(Sort_IDAC!D28=0,0,ROUND(Sort_IDAC!D28,-1*INT(LOG10(Sort_IDAC!D28))+2)))</f>
        <v>7.1399999999999997E-16</v>
      </c>
      <c r="E28" s="6">
        <f>IF(Sort_IDAC!$B28="","",IF(Sort_IDAC!E28=0,0,ROUND(Sort_IDAC!E28,-1*INT(LOG10(Sort_IDAC!E28))+2)))</f>
        <v>7.6800000000000002E-15</v>
      </c>
      <c r="F28" s="6">
        <f>IF(Sort_IDAC!$B28="","",IF(Sort_IDAC!F28=0,0,ROUND(Sort_IDAC!F28,-1*INT(LOG10(Sort_IDAC!F28))+2)))</f>
        <v>2.67E-15</v>
      </c>
      <c r="G28" s="6">
        <f>IF(Sort_IDAC!$B28="","",IF(Sort_IDAC!G28=0,0,ROUND(Sort_IDAC!G28,-1*INT(LOG10(Sort_IDAC!G28))+2)))</f>
        <v>3.9399999999999999E-16</v>
      </c>
      <c r="H28" s="6">
        <f>IF(Sort_IDAC!$B28="","",IF(Sort_IDAC!H28=0,0,ROUND(Sort_IDAC!H28,-1*INT(LOG10(Sort_IDAC!H28))+2)))</f>
        <v>1.82E-15</v>
      </c>
      <c r="I28" s="6">
        <f>IF(Sort_IDAC!$B28="","",IF(Sort_IDAC!I28=0,0,ROUND(Sort_IDAC!I28,-1*INT(LOG10(Sort_IDAC!I28))+2)))</f>
        <v>1.6400000000000001E-13</v>
      </c>
      <c r="J28" s="6">
        <f>IF(Sort_IDAC!$B28="","",IF(Sort_IDAC!J28=0,0,ROUND(Sort_IDAC!J28,-1*INT(LOG10(Sort_IDAC!J28))+2)))</f>
        <v>1.6400000000000001E-13</v>
      </c>
      <c r="K28" s="6">
        <f>IF(Sort_IDAC!$B28="","",IF(Sort_IDAC!K28=0,0,ROUND(Sort_IDAC!K28,-1*INT(LOG10(Sort_IDAC!K28))+2)))</f>
        <v>1.6400000000000001E-13</v>
      </c>
      <c r="L28" s="6">
        <f>IF(Sort_IDAC!$B28="","",IF(Sort_IDAC!L28=0,0,ROUND(Sort_IDAC!L28,-1*INT(LOG10(Sort_IDAC!L28))+2)))</f>
        <v>7.6800000000000002E-15</v>
      </c>
      <c r="M28" s="6">
        <f>IF(Sort_IDAC!$B28="","",IF(Sort_IDAC!M28=0,0,ROUND(Sort_IDAC!M28,-1*INT(LOG10(Sort_IDAC!M28))+2)))</f>
        <v>7.6800000000000002E-15</v>
      </c>
      <c r="N28" s="6">
        <f>IF(Sort_IDAC!$B28="","",IF(Sort_IDAC!N28=0,0,ROUND(Sort_IDAC!N28,-1*INT(LOG10(Sort_IDAC!N28))+2)))</f>
        <v>7.6800000000000002E-15</v>
      </c>
      <c r="O28" s="6">
        <f>IF(Sort_IDAC!$B28="","",IF(Sort_IDAC!O28=0,0,ROUND(Sort_IDAC!O28,-1*INT(LOG10(Sort_IDAC!O28))+2)))</f>
        <v>1.18E-15</v>
      </c>
      <c r="P28" s="6">
        <f>IF(Sort_IDAC!$B28="","",IF(Sort_IDAC!P28=0,0,ROUND(Sort_IDAC!P28,-1*INT(LOG10(Sort_IDAC!P28))+2)))</f>
        <v>1.4000000000000001E-16</v>
      </c>
      <c r="Q28" s="6">
        <f>IF(Sort_IDAC!$B28="","",IF(Sort_IDAC!Q28=0,0,ROUND(Sort_IDAC!Q28,-1*INT(LOG10(Sort_IDAC!Q28))+2)))</f>
        <v>1.01E-15</v>
      </c>
      <c r="R28" s="6">
        <f>IF(Sort_IDAC!$B28="","",IF(Sort_IDAC!R28=0,0,ROUND(Sort_IDAC!R28,-1*INT(LOG10(Sort_IDAC!R28))+2)))</f>
        <v>1.01E-15</v>
      </c>
      <c r="S28" s="6">
        <f>IF(Sort_IDAC!$B28="","",IF(Sort_IDAC!S28=0,0,ROUND(Sort_IDAC!S28,-1*INT(LOG10(Sort_IDAC!S28))+2)))</f>
        <v>6.9099999999999999E-16</v>
      </c>
      <c r="T28" s="6">
        <f>IF(Sort_IDAC!$B28="","",IF(Sort_IDAC!T28=0,0,ROUND(Sort_IDAC!T28,-1*INT(LOG10(Sort_IDAC!T28))+2)))</f>
        <v>9.0200000000000006E-15</v>
      </c>
      <c r="U28" s="6">
        <f>IF(Sort_IDAC!$B28="","",IF(Sort_IDAC!U28=0,0,ROUND(Sort_IDAC!U28,-1*INT(LOG10(Sort_IDAC!U28))+2)))</f>
        <v>9.0200000000000006E-15</v>
      </c>
      <c r="V28" s="6">
        <f>IF(Sort_IDAC!$B28="","",IF(Sort_IDAC!V28=0,0,ROUND(Sort_IDAC!V28,-1*INT(LOG10(Sort_IDAC!V28))+2)))</f>
        <v>9.0200000000000006E-15</v>
      </c>
      <c r="W28" s="6">
        <f>IF(Sort_IDAC!$B28="","",IF(Sort_IDAC!W28=0,0,ROUND(Sort_IDAC!W28,-1*INT(LOG10(Sort_IDAC!W28))+2)))</f>
        <v>9.0200000000000006E-15</v>
      </c>
      <c r="X28" s="6">
        <f>IF(Sort_IDAC!$B28="","",IF(Sort_IDAC!X28=0,0,ROUND(Sort_IDAC!X28,-1*INT(LOG10(Sort_IDAC!X28))+2)))</f>
        <v>9.0200000000000006E-15</v>
      </c>
      <c r="Y28" s="6">
        <f>IF(Sort_IDAC!$B28="","",IF(Sort_IDAC!Y28=0,0,ROUND(Sort_IDAC!Y28,-1*INT(LOG10(Sort_IDAC!Y28))+2)))</f>
        <v>4.4100000000000002E-16</v>
      </c>
      <c r="Z28" s="6">
        <f>IF(Sort_IDAC!$B28="","",IF(Sort_IDAC!Z28=0,0,ROUND(Sort_IDAC!Z28,-1*INT(LOG10(Sort_IDAC!Z28))+2)))</f>
        <v>6.2000000000000002E-16</v>
      </c>
      <c r="AA28" s="6">
        <f>IF(Sort_IDAC!$B28="","",IF(Sort_IDAC!AA28=0,0,ROUND(Sort_IDAC!AA28,-1*INT(LOG10(Sort_IDAC!AA28))+2)))</f>
        <v>6.0599999999999999E-16</v>
      </c>
      <c r="AB28" s="6">
        <f>IF(Sort_IDAC!$B28="","",IF(Sort_IDAC!AB28=0,0,ROUND(Sort_IDAC!AB28,-1*INT(LOG10(Sort_IDAC!AB28))+2)))</f>
        <v>1.04E-14</v>
      </c>
      <c r="AC28" s="6">
        <f>IF(Sort_IDAC!$B28="","",IF(Sort_IDAC!AC28=0,0,ROUND(Sort_IDAC!AC28,-1*INT(LOG10(Sort_IDAC!AC28))+2)))</f>
        <v>3.9099999999999999E-16</v>
      </c>
      <c r="AD28" s="6">
        <f>IF(Sort_IDAC!$B28="","",IF(Sort_IDAC!AD28=0,0,ROUND(Sort_IDAC!AD28,-1*INT(LOG10(Sort_IDAC!AD28))+2)))</f>
        <v>6.9599999999999999E-17</v>
      </c>
      <c r="AE28" s="6">
        <f>IF(Sort_IDAC!$B28="","",IF(Sort_IDAC!AE28=0,0,ROUND(Sort_IDAC!AE28,-1*INT(LOG10(Sort_IDAC!AE28))+2)))</f>
        <v>5.7199999999999998E-17</v>
      </c>
      <c r="AF28" s="6">
        <f>IF(Sort_IDAC!$B28="","",IF(Sort_IDAC!AF28=0,0,ROUND(Sort_IDAC!AF28,-1*INT(LOG10(Sort_IDAC!AF28))+2)))</f>
        <v>5.7199999999999998E-17</v>
      </c>
      <c r="AG28" s="6">
        <f>IF(Sort_IDAC!$B28="","",IF(Sort_IDAC!AG28=0,0,ROUND(Sort_IDAC!AG28,-1*INT(LOG10(Sort_IDAC!AG28))+2)))</f>
        <v>9.9299999999999996E-16</v>
      </c>
      <c r="AH28" s="6">
        <f>IF(Sort_IDAC!$B28="","",IF(Sort_IDAC!AH28=0,0,ROUND(Sort_IDAC!AH28,-1*INT(LOG10(Sort_IDAC!AH28))+2)))</f>
        <v>1.2900000000000001E-14</v>
      </c>
      <c r="AI28" s="6">
        <f>IF(Sort_IDAC!$B28="","",IF(Sort_IDAC!AI28=0,0,ROUND(Sort_IDAC!AI28,-1*INT(LOG10(Sort_IDAC!AI28))+2)))</f>
        <v>7.7799999999999994E-15</v>
      </c>
      <c r="AJ28" s="6">
        <f>IF(Sort_IDAC!$B28="","",IF(Sort_IDAC!AJ28=0,0,ROUND(Sort_IDAC!AJ28,-1*INT(LOG10(Sort_IDAC!AJ28))+2)))</f>
        <v>1E-14</v>
      </c>
      <c r="AK28" s="6">
        <f>IF(Sort_IDAC!$B28="","",IF(Sort_IDAC!AK28=0,0,ROUND(Sort_IDAC!AK28,-1*INT(LOG10(Sort_IDAC!AK28))+2)))</f>
        <v>3.4399999999999999E-15</v>
      </c>
      <c r="AL28" s="6">
        <f>IF(Sort_IDAC!$B28="","",IF(Sort_IDAC!AL28=0,0,ROUND(Sort_IDAC!AL28,-1*INT(LOG10(Sort_IDAC!AL28))+2)))</f>
        <v>2.8299999999999999E-12</v>
      </c>
      <c r="AM28" s="6">
        <f>IF(Sort_IDAC!$B28="","",IF(Sort_IDAC!AM28=0,0,ROUND(Sort_IDAC!AM28,-1*INT(LOG10(Sort_IDAC!AM28))+2)))</f>
        <v>7.2699999999999998E-16</v>
      </c>
      <c r="AN28" s="6">
        <f>IF(Sort_IDAC!$B28="","",IF(Sort_IDAC!AN28=0,0,ROUND(Sort_IDAC!AN28,-1*INT(LOG10(Sort_IDAC!AN28))+2)))</f>
        <v>3.1800000000000001E-14</v>
      </c>
      <c r="AO28" s="6">
        <f>IF(Sort_IDAC!$B28="","",IF(Sort_IDAC!AO28=0,0,ROUND(Sort_IDAC!AO28,-1*INT(LOG10(Sort_IDAC!AO28))+2)))</f>
        <v>3.1800000000000001E-14</v>
      </c>
      <c r="AP28" s="6">
        <f>IF(Sort_IDAC!$B28="","",IF(Sort_IDAC!AP28=0,0,ROUND(Sort_IDAC!AP28,-1*INT(LOG10(Sort_IDAC!AP28))+2)))</f>
        <v>3.1800000000000001E-14</v>
      </c>
      <c r="AQ28" s="6">
        <f>IF(Sort_IDAC!$B28="","",IF(Sort_IDAC!AQ28=0,0,ROUND(Sort_IDAC!AQ28,-1*INT(LOG10(Sort_IDAC!AQ28))+2)))</f>
        <v>2.4899999999999998E-15</v>
      </c>
      <c r="AR28" s="6">
        <f>IF(Sort_IDAC!$B28="","",IF(Sort_IDAC!AR28=0,0,ROUND(Sort_IDAC!AR28,-1*INT(LOG10(Sort_IDAC!AR28))+2)))</f>
        <v>2.4899999999999998E-15</v>
      </c>
      <c r="AS28" s="6">
        <f>IF(Sort_IDAC!$B28="","",IF(Sort_IDAC!AS28=0,0,ROUND(Sort_IDAC!AS28,-1*INT(LOG10(Sort_IDAC!AS28))+2)))</f>
        <v>1.3800000000000001E-17</v>
      </c>
      <c r="AT28" s="6">
        <f>IF(Sort_IDAC!$B28="","",IF(Sort_IDAC!AT28=0,0,ROUND(Sort_IDAC!AT28,-1*INT(LOG10(Sort_IDAC!AT28))+2)))</f>
        <v>3.3800000000000002E-16</v>
      </c>
      <c r="AU28" s="6">
        <f>IF(Sort_IDAC!$B28="","",IF(Sort_IDAC!AU28=0,0,ROUND(Sort_IDAC!AU28,-1*INT(LOG10(Sort_IDAC!AU28))+2)))</f>
        <v>8.1099999999999996E-16</v>
      </c>
      <c r="AV28" s="6">
        <f>IF(Sort_IDAC!$B28="","",IF(Sort_IDAC!AV28=0,0,ROUND(Sort_IDAC!AV28,-1*INT(LOG10(Sort_IDAC!AV28))+2)))</f>
        <v>0</v>
      </c>
      <c r="AW28" s="6">
        <f>IF(Sort_IDAC!$B28="","",IF(Sort_IDAC!AW28=0,0,ROUND(Sort_IDAC!AW28,-1*INT(LOG10(Sort_IDAC!AW28))+2)))</f>
        <v>1.53E-17</v>
      </c>
      <c r="AX28" s="6">
        <f>IF(Sort_IDAC!$B28="","",IF(Sort_IDAC!AX28=0,0,ROUND(Sort_IDAC!AX28,-1*INT(LOG10(Sort_IDAC!AX28))+2)))</f>
        <v>1.4899999999999999E-17</v>
      </c>
      <c r="AY28" s="6">
        <f>IF(Sort_IDAC!$B28="","",IF(Sort_IDAC!AY28=0,0,ROUND(Sort_IDAC!AY28,-1*INT(LOG10(Sort_IDAC!AY28))+2)))</f>
        <v>1.68E-17</v>
      </c>
      <c r="AZ28" s="6">
        <f>IF(Sort_IDAC!$B28="","",IF(Sort_IDAC!AZ28=0,0,ROUND(Sort_IDAC!AZ28,-1*INT(LOG10(Sort_IDAC!AZ28))+2)))</f>
        <v>2.2499999999999999E-15</v>
      </c>
      <c r="BA28" s="6">
        <f>IF(Sort_IDAC!$B28="","",IF(Sort_IDAC!BA28=0,0,ROUND(Sort_IDAC!BA28,-1*INT(LOG10(Sort_IDAC!BA28))+2)))</f>
        <v>9.2599999999999998E-15</v>
      </c>
      <c r="BB28" s="6">
        <f>IF(Sort_IDAC!$B28="","",IF(Sort_IDAC!BB28=0,0,ROUND(Sort_IDAC!BB28,-1*INT(LOG10(Sort_IDAC!BB28))+2)))</f>
        <v>9.01E-17</v>
      </c>
      <c r="BC28" s="6">
        <f>IF(Sort_IDAC!$B28="","",IF(Sort_IDAC!BC28=0,0,ROUND(Sort_IDAC!BC28,-1*INT(LOG10(Sort_IDAC!BC28))+2)))</f>
        <v>8.9300000000000004E-17</v>
      </c>
      <c r="BD28" s="6">
        <f>IF(Sort_IDAC!$B28="","",IF(Sort_IDAC!BD28=0,0,ROUND(Sort_IDAC!BD28,-1*INT(LOG10(Sort_IDAC!BD28))+2)))</f>
        <v>8.9300000000000004E-17</v>
      </c>
      <c r="BE28" s="6">
        <f>IF(Sort_IDAC!$B28="","",IF(Sort_IDAC!BE28=0,0,ROUND(Sort_IDAC!BE28,-1*INT(LOG10(Sort_IDAC!BE28))+2)))</f>
        <v>2.38E-15</v>
      </c>
      <c r="BF28" s="6">
        <f>IF(Sort_IDAC!$B28="","",IF(Sort_IDAC!BF28=0,0,ROUND(Sort_IDAC!BF28,-1*INT(LOG10(Sort_IDAC!BF28))+2)))</f>
        <v>4.34E-16</v>
      </c>
      <c r="BG28" s="6">
        <f>IF(Sort_IDAC!$B28="","",IF(Sort_IDAC!BG28=0,0,ROUND(Sort_IDAC!BG28,-1*INT(LOG10(Sort_IDAC!BG28))+2)))</f>
        <v>1.44E-16</v>
      </c>
      <c r="BH28" s="6">
        <f>IF(Sort_IDAC!$B28="","",IF(Sort_IDAC!BH28=0,0,ROUND(Sort_IDAC!BH28,-1*INT(LOG10(Sort_IDAC!BH28))+2)))</f>
        <v>1.2200000000000001E-16</v>
      </c>
      <c r="BI28" s="6">
        <f>IF(Sort_IDAC!$B28="","",IF(Sort_IDAC!BI28=0,0,ROUND(Sort_IDAC!BI28,-1*INT(LOG10(Sort_IDAC!BI28))+2)))</f>
        <v>1.2200000000000001E-16</v>
      </c>
      <c r="BJ28" s="6">
        <f>IF(Sort_IDAC!$B28="","",IF(Sort_IDAC!BJ28=0,0,ROUND(Sort_IDAC!BJ28,-1*INT(LOG10(Sort_IDAC!BJ28))+2)))</f>
        <v>1.2200000000000001E-16</v>
      </c>
      <c r="BK28" s="6">
        <f>IF(Sort_IDAC!$B28="","",IF(Sort_IDAC!BK28=0,0,ROUND(Sort_IDAC!BK28,-1*INT(LOG10(Sort_IDAC!BK28))+2)))</f>
        <v>8.8100000000000002E-16</v>
      </c>
      <c r="BL28" s="6">
        <f>IF(Sort_IDAC!$B28="","",IF(Sort_IDAC!BL28=0,0,ROUND(Sort_IDAC!BL28,-1*INT(LOG10(Sort_IDAC!BL28))+2)))</f>
        <v>6.8200000000000004E-16</v>
      </c>
      <c r="BM28" s="6">
        <f>IF(Sort_IDAC!$B28="","",IF(Sort_IDAC!BM28=0,0,ROUND(Sort_IDAC!BM28,-1*INT(LOG10(Sort_IDAC!BM28))+2)))</f>
        <v>5.6899999999999998E-16</v>
      </c>
      <c r="BN28" s="6">
        <f>IF(Sort_IDAC!$B28="","",IF(Sort_IDAC!BN28=0,0,ROUND(Sort_IDAC!BN28,-1*INT(LOG10(Sort_IDAC!BN28))+2)))</f>
        <v>5.6899999999999998E-16</v>
      </c>
      <c r="BO28" s="6">
        <f>IF(Sort_IDAC!$B28="","",IF(Sort_IDAC!BO28=0,0,ROUND(Sort_IDAC!BO28,-1*INT(LOG10(Sort_IDAC!BO28))+2)))</f>
        <v>1.5700000000000001E-15</v>
      </c>
      <c r="BP28" s="6">
        <f>IF(Sort_IDAC!$B28="","",IF(Sort_IDAC!BP28=0,0,ROUND(Sort_IDAC!BP28,-1*INT(LOG10(Sort_IDAC!BP28))+2)))</f>
        <v>1.5700000000000001E-15</v>
      </c>
      <c r="BQ28" s="6">
        <f>IF(Sort_IDAC!$B28="","",IF(Sort_IDAC!BQ28=0,0,ROUND(Sort_IDAC!BQ28,-1*INT(LOG10(Sort_IDAC!BQ28))+2)))</f>
        <v>0</v>
      </c>
      <c r="BR28" s="6">
        <f>IF(Sort_IDAC!$B28="","",IF(Sort_IDAC!BR28=0,0,ROUND(Sort_IDAC!BR28,-1*INT(LOG10(Sort_IDAC!BR28))+2)))</f>
        <v>1.96E-14</v>
      </c>
      <c r="BS28" s="6">
        <f>IF(Sort_IDAC!$B28="","",IF(Sort_IDAC!BS28=0,0,ROUND(Sort_IDAC!BS28,-1*INT(LOG10(Sort_IDAC!BS28))+2)))</f>
        <v>5.44E-14</v>
      </c>
      <c r="BT28" s="6">
        <f>IF(Sort_IDAC!$B28="","",IF(Sort_IDAC!BT28=0,0,ROUND(Sort_IDAC!BT28,-1*INT(LOG10(Sort_IDAC!BT28))+2)))</f>
        <v>2.6599999999999998E-15</v>
      </c>
      <c r="BU28" s="6">
        <f>IF(Sort_IDAC!$B28="","",IF(Sort_IDAC!BU28=0,0,ROUND(Sort_IDAC!BU28,-1*INT(LOG10(Sort_IDAC!BU28))+2)))</f>
        <v>1.8599999999999999E-15</v>
      </c>
      <c r="BV28" s="6">
        <f>IF(Sort_IDAC!$B28="","",IF(Sort_IDAC!BV28=0,0,ROUND(Sort_IDAC!BV28,-1*INT(LOG10(Sort_IDAC!BV28))+2)))</f>
        <v>1.32E-15</v>
      </c>
      <c r="BW28" s="6">
        <f>IF(Sort_IDAC!$B28="","",IF(Sort_IDAC!BW28=0,0,ROUND(Sort_IDAC!BW28,-1*INT(LOG10(Sort_IDAC!BW28))+2)))</f>
        <v>9.2099999999999998E-16</v>
      </c>
      <c r="BX28" s="6">
        <f>IF(Sort_IDAC!$B28="","",IF(Sort_IDAC!BX28=0,0,ROUND(Sort_IDAC!BX28,-1*INT(LOG10(Sort_IDAC!BX28))+2)))</f>
        <v>9.2099999999999998E-16</v>
      </c>
      <c r="BY28" s="6">
        <f>IF(Sort_IDAC!$B28="","",IF(Sort_IDAC!BY28=0,0,ROUND(Sort_IDAC!BY28,-1*INT(LOG10(Sort_IDAC!BY28))+2)))</f>
        <v>1.1600000000000001E-16</v>
      </c>
      <c r="BZ28" s="6">
        <f>IF(Sort_IDAC!$B28="","",IF(Sort_IDAC!BZ28=0,0,ROUND(Sort_IDAC!BZ28,-1*INT(LOG10(Sort_IDAC!BZ28))+2)))</f>
        <v>8.8400000000000007E-18</v>
      </c>
      <c r="CA28" s="6">
        <f>IF(Sort_IDAC!$B28="","",IF(Sort_IDAC!CA28=0,0,ROUND(Sort_IDAC!CA28,-1*INT(LOG10(Sort_IDAC!CA28))+2)))</f>
        <v>1.3800000000000001E-17</v>
      </c>
      <c r="CB28" s="6">
        <f>IF(Sort_IDAC!$B28="","",IF(Sort_IDAC!CB28=0,0,ROUND(Sort_IDAC!CB28,-1*INT(LOG10(Sort_IDAC!CB28))+2)))</f>
        <v>1.71E-17</v>
      </c>
      <c r="CC28" s="6">
        <f>IF(Sort_IDAC!$B28="","",IF(Sort_IDAC!CC28=0,0,ROUND(Sort_IDAC!CC28,-1*INT(LOG10(Sort_IDAC!CC28))+2)))</f>
        <v>5.8300000000000001E-16</v>
      </c>
      <c r="CD28" s="6"/>
      <c r="CE28" s="6"/>
      <c r="CF28" s="6"/>
      <c r="CG28" s="6"/>
    </row>
    <row r="29" spans="2:85" x14ac:dyDescent="0.15">
      <c r="B29" s="5" t="s">
        <v>19</v>
      </c>
      <c r="C29" s="6">
        <f>IF(Sort_IDAC!$B29="","",IF(Sort_IDAC!C29=0,0,ROUND(Sort_IDAC!C29,-1*INT(LOG10(Sort_IDAC!C29))+2)))</f>
        <v>7.3500000000000001E-16</v>
      </c>
      <c r="D29" s="6">
        <f>IF(Sort_IDAC!$B29="","",IF(Sort_IDAC!D29=0,0,ROUND(Sort_IDAC!D29,-1*INT(LOG10(Sort_IDAC!D29))+2)))</f>
        <v>7.22E-16</v>
      </c>
      <c r="E29" s="6">
        <f>IF(Sort_IDAC!$B29="","",IF(Sort_IDAC!E29=0,0,ROUND(Sort_IDAC!E29,-1*INT(LOG10(Sort_IDAC!E29))+2)))</f>
        <v>7.0899999999999998E-16</v>
      </c>
      <c r="F29" s="6">
        <f>IF(Sort_IDAC!$B29="","",IF(Sort_IDAC!F29=0,0,ROUND(Sort_IDAC!F29,-1*INT(LOG10(Sort_IDAC!F29))+2)))</f>
        <v>7.9399999999999998E-16</v>
      </c>
      <c r="G29" s="6">
        <f>IF(Sort_IDAC!$B29="","",IF(Sort_IDAC!G29=0,0,ROUND(Sort_IDAC!G29,-1*INT(LOG10(Sort_IDAC!G29))+2)))</f>
        <v>1.61E-16</v>
      </c>
      <c r="H29" s="6">
        <f>IF(Sort_IDAC!$B29="","",IF(Sort_IDAC!H29=0,0,ROUND(Sort_IDAC!H29,-1*INT(LOG10(Sort_IDAC!H29))+2)))</f>
        <v>3.9599999999999998E-16</v>
      </c>
      <c r="I29" s="6">
        <f>IF(Sort_IDAC!$B29="","",IF(Sort_IDAC!I29=0,0,ROUND(Sort_IDAC!I29,-1*INT(LOG10(Sort_IDAC!I29))+2)))</f>
        <v>7.1999999999999997E-16</v>
      </c>
      <c r="J29" s="6">
        <f>IF(Sort_IDAC!$B29="","",IF(Sort_IDAC!J29=0,0,ROUND(Sort_IDAC!J29,-1*INT(LOG10(Sort_IDAC!J29))+2)))</f>
        <v>7.1999999999999997E-16</v>
      </c>
      <c r="K29" s="6">
        <f>IF(Sort_IDAC!$B29="","",IF(Sort_IDAC!K29=0,0,ROUND(Sort_IDAC!K29,-1*INT(LOG10(Sort_IDAC!K29))+2)))</f>
        <v>7.1999999999999997E-16</v>
      </c>
      <c r="L29" s="6">
        <f>IF(Sort_IDAC!$B29="","",IF(Sort_IDAC!L29=0,0,ROUND(Sort_IDAC!L29,-1*INT(LOG10(Sort_IDAC!L29))+2)))</f>
        <v>7.0899999999999998E-16</v>
      </c>
      <c r="M29" s="6">
        <f>IF(Sort_IDAC!$B29="","",IF(Sort_IDAC!M29=0,0,ROUND(Sort_IDAC!M29,-1*INT(LOG10(Sort_IDAC!M29))+2)))</f>
        <v>7.0899999999999998E-16</v>
      </c>
      <c r="N29" s="6">
        <f>IF(Sort_IDAC!$B29="","",IF(Sort_IDAC!N29=0,0,ROUND(Sort_IDAC!N29,-1*INT(LOG10(Sort_IDAC!N29))+2)))</f>
        <v>7.0899999999999998E-16</v>
      </c>
      <c r="O29" s="6">
        <f>IF(Sort_IDAC!$B29="","",IF(Sort_IDAC!O29=0,0,ROUND(Sort_IDAC!O29,-1*INT(LOG10(Sort_IDAC!O29))+2)))</f>
        <v>8.7099999999999995E-16</v>
      </c>
      <c r="P29" s="6">
        <f>IF(Sort_IDAC!$B29="","",IF(Sort_IDAC!P29=0,0,ROUND(Sort_IDAC!P29,-1*INT(LOG10(Sort_IDAC!P29))+2)))</f>
        <v>1.0399999999999999E-15</v>
      </c>
      <c r="Q29" s="6">
        <f>IF(Sort_IDAC!$B29="","",IF(Sort_IDAC!Q29=0,0,ROUND(Sort_IDAC!Q29,-1*INT(LOG10(Sort_IDAC!Q29))+2)))</f>
        <v>9.2400000000000003E-16</v>
      </c>
      <c r="R29" s="6">
        <f>IF(Sort_IDAC!$B29="","",IF(Sort_IDAC!R29=0,0,ROUND(Sort_IDAC!R29,-1*INT(LOG10(Sort_IDAC!R29))+2)))</f>
        <v>9.2400000000000003E-16</v>
      </c>
      <c r="S29" s="6">
        <f>IF(Sort_IDAC!$B29="","",IF(Sort_IDAC!S29=0,0,ROUND(Sort_IDAC!S29,-1*INT(LOG10(Sort_IDAC!S29))+2)))</f>
        <v>2.3200000000000002E-16</v>
      </c>
      <c r="T29" s="6">
        <f>IF(Sort_IDAC!$B29="","",IF(Sort_IDAC!T29=0,0,ROUND(Sort_IDAC!T29,-1*INT(LOG10(Sort_IDAC!T29))+2)))</f>
        <v>6.2399999999999998E-16</v>
      </c>
      <c r="U29" s="6">
        <f>IF(Sort_IDAC!$B29="","",IF(Sort_IDAC!U29=0,0,ROUND(Sort_IDAC!U29,-1*INT(LOG10(Sort_IDAC!U29))+2)))</f>
        <v>6.2399999999999998E-16</v>
      </c>
      <c r="V29" s="6">
        <f>IF(Sort_IDAC!$B29="","",IF(Sort_IDAC!V29=0,0,ROUND(Sort_IDAC!V29,-1*INT(LOG10(Sort_IDAC!V29))+2)))</f>
        <v>6.2399999999999998E-16</v>
      </c>
      <c r="W29" s="6">
        <f>IF(Sort_IDAC!$B29="","",IF(Sort_IDAC!W29=0,0,ROUND(Sort_IDAC!W29,-1*INT(LOG10(Sort_IDAC!W29))+2)))</f>
        <v>6.2399999999999998E-16</v>
      </c>
      <c r="X29" s="6">
        <f>IF(Sort_IDAC!$B29="","",IF(Sort_IDAC!X29=0,0,ROUND(Sort_IDAC!X29,-1*INT(LOG10(Sort_IDAC!X29))+2)))</f>
        <v>6.2399999999999998E-16</v>
      </c>
      <c r="Y29" s="6">
        <f>IF(Sort_IDAC!$B29="","",IF(Sort_IDAC!Y29=0,0,ROUND(Sort_IDAC!Y29,-1*INT(LOG10(Sort_IDAC!Y29))+2)))</f>
        <v>1.97E-16</v>
      </c>
      <c r="Z29" s="6">
        <f>IF(Sort_IDAC!$B29="","",IF(Sort_IDAC!Z29=0,0,ROUND(Sort_IDAC!Z29,-1*INT(LOG10(Sort_IDAC!Z29))+2)))</f>
        <v>5.3899999999999998E-16</v>
      </c>
      <c r="AA29" s="6">
        <f>IF(Sort_IDAC!$B29="","",IF(Sort_IDAC!AA29=0,0,ROUND(Sort_IDAC!AA29,-1*INT(LOG10(Sort_IDAC!AA29))+2)))</f>
        <v>5.5300000000000001E-16</v>
      </c>
      <c r="AB29" s="6">
        <f>IF(Sort_IDAC!$B29="","",IF(Sort_IDAC!AB29=0,0,ROUND(Sort_IDAC!AB29,-1*INT(LOG10(Sort_IDAC!AB29))+2)))</f>
        <v>5.3199999999999997E-16</v>
      </c>
      <c r="AC29" s="6">
        <f>IF(Sort_IDAC!$B29="","",IF(Sort_IDAC!AC29=0,0,ROUND(Sort_IDAC!AC29,-1*INT(LOG10(Sort_IDAC!AC29))+2)))</f>
        <v>7.9899999999999997E-16</v>
      </c>
      <c r="AD29" s="6">
        <f>IF(Sort_IDAC!$B29="","",IF(Sort_IDAC!AD29=0,0,ROUND(Sort_IDAC!AD29,-1*INT(LOG10(Sort_IDAC!AD29))+2)))</f>
        <v>8.6699999999999999E-16</v>
      </c>
      <c r="AE29" s="6">
        <f>IF(Sort_IDAC!$B29="","",IF(Sort_IDAC!AE29=0,0,ROUND(Sort_IDAC!AE29,-1*INT(LOG10(Sort_IDAC!AE29))+2)))</f>
        <v>9.2199999999999999E-16</v>
      </c>
      <c r="AF29" s="6">
        <f>IF(Sort_IDAC!$B29="","",IF(Sort_IDAC!AF29=0,0,ROUND(Sort_IDAC!AF29,-1*INT(LOG10(Sort_IDAC!AF29))+2)))</f>
        <v>9.0599999999999993E-16</v>
      </c>
      <c r="AG29" s="6">
        <f>IF(Sort_IDAC!$B29="","",IF(Sort_IDAC!AG29=0,0,ROUND(Sort_IDAC!AG29,-1*INT(LOG10(Sort_IDAC!AG29))+2)))</f>
        <v>5.2400000000000003E-16</v>
      </c>
      <c r="AH29" s="6">
        <f>IF(Sort_IDAC!$B29="","",IF(Sort_IDAC!AH29=0,0,ROUND(Sort_IDAC!AH29,-1*INT(LOG10(Sort_IDAC!AH29))+2)))</f>
        <v>7.1E-16</v>
      </c>
      <c r="AI29" s="6">
        <f>IF(Sort_IDAC!$B29="","",IF(Sort_IDAC!AI29=0,0,ROUND(Sort_IDAC!AI29,-1*INT(LOG10(Sort_IDAC!AI29))+2)))</f>
        <v>7.0299999999999998E-16</v>
      </c>
      <c r="AJ29" s="6">
        <f>IF(Sort_IDAC!$B29="","",IF(Sort_IDAC!AJ29=0,0,ROUND(Sort_IDAC!AJ29,-1*INT(LOG10(Sort_IDAC!AJ29))+2)))</f>
        <v>9.0200000000000006E-16</v>
      </c>
      <c r="AK29" s="6">
        <f>IF(Sort_IDAC!$B29="","",IF(Sort_IDAC!AK29=0,0,ROUND(Sort_IDAC!AK29,-1*INT(LOG10(Sort_IDAC!AK29))+2)))</f>
        <v>8.920000000000001E-16</v>
      </c>
      <c r="AL29" s="6">
        <f>IF(Sort_IDAC!$B29="","",IF(Sort_IDAC!AL29=0,0,ROUND(Sort_IDAC!AL29,-1*INT(LOG10(Sort_IDAC!AL29))+2)))</f>
        <v>7.4300000000000004E-16</v>
      </c>
      <c r="AM29" s="6">
        <f>IF(Sort_IDAC!$B29="","",IF(Sort_IDAC!AM29=0,0,ROUND(Sort_IDAC!AM29,-1*INT(LOG10(Sort_IDAC!AM29))+2)))</f>
        <v>3.3899999999999999E-15</v>
      </c>
      <c r="AN29" s="6">
        <f>IF(Sort_IDAC!$B29="","",IF(Sort_IDAC!AN29=0,0,ROUND(Sort_IDAC!AN29,-1*INT(LOG10(Sort_IDAC!AN29))+2)))</f>
        <v>7.3500000000000001E-16</v>
      </c>
      <c r="AO29" s="6">
        <f>IF(Sort_IDAC!$B29="","",IF(Sort_IDAC!AO29=0,0,ROUND(Sort_IDAC!AO29,-1*INT(LOG10(Sort_IDAC!AO29))+2)))</f>
        <v>7.3500000000000001E-16</v>
      </c>
      <c r="AP29" s="6">
        <f>IF(Sort_IDAC!$B29="","",IF(Sort_IDAC!AP29=0,0,ROUND(Sort_IDAC!AP29,-1*INT(LOG10(Sort_IDAC!AP29))+2)))</f>
        <v>7.3500000000000001E-16</v>
      </c>
      <c r="AQ29" s="6">
        <f>IF(Sort_IDAC!$B29="","",IF(Sort_IDAC!AQ29=0,0,ROUND(Sort_IDAC!AQ29,-1*INT(LOG10(Sort_IDAC!AQ29))+2)))</f>
        <v>5.6100000000000004E-16</v>
      </c>
      <c r="AR29" s="6">
        <f>IF(Sort_IDAC!$B29="","",IF(Sort_IDAC!AR29=0,0,ROUND(Sort_IDAC!AR29,-1*INT(LOG10(Sort_IDAC!AR29))+2)))</f>
        <v>5.6100000000000004E-16</v>
      </c>
      <c r="AS29" s="6">
        <f>IF(Sort_IDAC!$B29="","",IF(Sort_IDAC!AS29=0,0,ROUND(Sort_IDAC!AS29,-1*INT(LOG10(Sort_IDAC!AS29))+2)))</f>
        <v>1.18E-15</v>
      </c>
      <c r="AT29" s="6">
        <f>IF(Sort_IDAC!$B29="","",IF(Sort_IDAC!AT29=0,0,ROUND(Sort_IDAC!AT29,-1*INT(LOG10(Sort_IDAC!AT29))+2)))</f>
        <v>5.8500000000000004E-16</v>
      </c>
      <c r="AU29" s="6">
        <f>IF(Sort_IDAC!$B29="","",IF(Sort_IDAC!AU29=0,0,ROUND(Sort_IDAC!AU29,-1*INT(LOG10(Sort_IDAC!AU29))+2)))</f>
        <v>2.91E-16</v>
      </c>
      <c r="AV29" s="6">
        <f>IF(Sort_IDAC!$B29="","",IF(Sort_IDAC!AV29=0,0,ROUND(Sort_IDAC!AV29,-1*INT(LOG10(Sort_IDAC!AV29))+2)))</f>
        <v>0</v>
      </c>
      <c r="AW29" s="6">
        <f>IF(Sort_IDAC!$B29="","",IF(Sort_IDAC!AW29=0,0,ROUND(Sort_IDAC!AW29,-1*INT(LOG10(Sort_IDAC!AW29))+2)))</f>
        <v>9.7300000000000003E-16</v>
      </c>
      <c r="AX29" s="6">
        <f>IF(Sort_IDAC!$B29="","",IF(Sort_IDAC!AX29=0,0,ROUND(Sort_IDAC!AX29,-1*INT(LOG10(Sort_IDAC!AX29))+2)))</f>
        <v>1.09E-15</v>
      </c>
      <c r="AY29" s="6">
        <f>IF(Sort_IDAC!$B29="","",IF(Sort_IDAC!AY29=0,0,ROUND(Sort_IDAC!AY29,-1*INT(LOG10(Sort_IDAC!AY29))+2)))</f>
        <v>1.09E-15</v>
      </c>
      <c r="AZ29" s="6">
        <f>IF(Sort_IDAC!$B29="","",IF(Sort_IDAC!AZ29=0,0,ROUND(Sort_IDAC!AZ29,-1*INT(LOG10(Sort_IDAC!AZ29))+2)))</f>
        <v>9.6100000000000004E-16</v>
      </c>
      <c r="BA29" s="6">
        <f>IF(Sort_IDAC!$B29="","",IF(Sort_IDAC!BA29=0,0,ROUND(Sort_IDAC!BA29,-1*INT(LOG10(Sort_IDAC!BA29))+2)))</f>
        <v>7.0799999999999997E-16</v>
      </c>
      <c r="BB29" s="6">
        <f>IF(Sort_IDAC!$B29="","",IF(Sort_IDAC!BB29=0,0,ROUND(Sort_IDAC!BB29,-1*INT(LOG10(Sort_IDAC!BB29))+2)))</f>
        <v>8.6400000000000004E-16</v>
      </c>
      <c r="BC29" s="6">
        <f>IF(Sort_IDAC!$B29="","",IF(Sort_IDAC!BC29=0,0,ROUND(Sort_IDAC!BC29,-1*INT(LOG10(Sort_IDAC!BC29))+2)))</f>
        <v>9.2400000000000003E-16</v>
      </c>
      <c r="BD29" s="6">
        <f>IF(Sort_IDAC!$B29="","",IF(Sort_IDAC!BD29=0,0,ROUND(Sort_IDAC!BD29,-1*INT(LOG10(Sort_IDAC!BD29))+2)))</f>
        <v>9.2400000000000003E-16</v>
      </c>
      <c r="BE29" s="6">
        <f>IF(Sort_IDAC!$B29="","",IF(Sort_IDAC!BE29=0,0,ROUND(Sort_IDAC!BE29,-1*INT(LOG10(Sort_IDAC!BE29))+2)))</f>
        <v>5.6299999999999998E-16</v>
      </c>
      <c r="BF29" s="6">
        <f>IF(Sort_IDAC!$B29="","",IF(Sort_IDAC!BF29=0,0,ROUND(Sort_IDAC!BF29,-1*INT(LOG10(Sort_IDAC!BF29))+2)))</f>
        <v>4.8899999999999996E-16</v>
      </c>
      <c r="BG29" s="6">
        <f>IF(Sort_IDAC!$B29="","",IF(Sort_IDAC!BG29=0,0,ROUND(Sort_IDAC!BG29,-1*INT(LOG10(Sort_IDAC!BG29))+2)))</f>
        <v>7.5099999999999998E-16</v>
      </c>
      <c r="BH29" s="6">
        <f>IF(Sort_IDAC!$B29="","",IF(Sort_IDAC!BH29=0,0,ROUND(Sort_IDAC!BH29,-1*INT(LOG10(Sort_IDAC!BH29))+2)))</f>
        <v>8.2600000000000001E-16</v>
      </c>
      <c r="BI29" s="6">
        <f>IF(Sort_IDAC!$B29="","",IF(Sort_IDAC!BI29=0,0,ROUND(Sort_IDAC!BI29,-1*INT(LOG10(Sort_IDAC!BI29))+2)))</f>
        <v>8.2600000000000001E-16</v>
      </c>
      <c r="BJ29" s="6">
        <f>IF(Sort_IDAC!$B29="","",IF(Sort_IDAC!BJ29=0,0,ROUND(Sort_IDAC!BJ29,-1*INT(LOG10(Sort_IDAC!BJ29))+2)))</f>
        <v>8.2600000000000001E-16</v>
      </c>
      <c r="BK29" s="6">
        <f>IF(Sort_IDAC!$B29="","",IF(Sort_IDAC!BK29=0,0,ROUND(Sort_IDAC!BK29,-1*INT(LOG10(Sort_IDAC!BK29))+2)))</f>
        <v>6.3300000000000003E-16</v>
      </c>
      <c r="BL29" s="6">
        <f>IF(Sort_IDAC!$B29="","",IF(Sort_IDAC!BL29=0,0,ROUND(Sort_IDAC!BL29,-1*INT(LOG10(Sort_IDAC!BL29))+2)))</f>
        <v>5.0299999999999999E-16</v>
      </c>
      <c r="BM29" s="6">
        <f>IF(Sort_IDAC!$B29="","",IF(Sort_IDAC!BM29=0,0,ROUND(Sort_IDAC!BM29,-1*INT(LOG10(Sort_IDAC!BM29))+2)))</f>
        <v>5.4399999999999996E-16</v>
      </c>
      <c r="BN29" s="6">
        <f>IF(Sort_IDAC!$B29="","",IF(Sort_IDAC!BN29=0,0,ROUND(Sort_IDAC!BN29,-1*INT(LOG10(Sort_IDAC!BN29))+2)))</f>
        <v>5.4399999999999996E-16</v>
      </c>
      <c r="BO29" s="6">
        <f>IF(Sort_IDAC!$B29="","",IF(Sort_IDAC!BO29=0,0,ROUND(Sort_IDAC!BO29,-1*INT(LOG10(Sort_IDAC!BO29))+2)))</f>
        <v>3.8600000000000001E-16</v>
      </c>
      <c r="BP29" s="6">
        <f>IF(Sort_IDAC!$B29="","",IF(Sort_IDAC!BP29=0,0,ROUND(Sort_IDAC!BP29,-1*INT(LOG10(Sort_IDAC!BP29))+2)))</f>
        <v>3.8600000000000001E-16</v>
      </c>
      <c r="BQ29" s="6">
        <f>IF(Sort_IDAC!$B29="","",IF(Sort_IDAC!BQ29=0,0,ROUND(Sort_IDAC!BQ29,-1*INT(LOG10(Sort_IDAC!BQ29))+2)))</f>
        <v>0</v>
      </c>
      <c r="BR29" s="6">
        <f>IF(Sort_IDAC!$B29="","",IF(Sort_IDAC!BR29=0,0,ROUND(Sort_IDAC!BR29,-1*INT(LOG10(Sort_IDAC!BR29))+2)))</f>
        <v>6.7799999999999997E-16</v>
      </c>
      <c r="BS29" s="6">
        <f>IF(Sort_IDAC!$B29="","",IF(Sort_IDAC!BS29=0,0,ROUND(Sort_IDAC!BS29,-1*INT(LOG10(Sort_IDAC!BS29))+2)))</f>
        <v>9.1799999999999993E-16</v>
      </c>
      <c r="BT29" s="6">
        <f>IF(Sort_IDAC!$B29="","",IF(Sort_IDAC!BT29=0,0,ROUND(Sort_IDAC!BT29,-1*INT(LOG10(Sort_IDAC!BT29))+2)))</f>
        <v>5.2099999999999999E-16</v>
      </c>
      <c r="BU29" s="6">
        <f>IF(Sort_IDAC!$B29="","",IF(Sort_IDAC!BU29=0,0,ROUND(Sort_IDAC!BU29,-1*INT(LOG10(Sort_IDAC!BU29))+2)))</f>
        <v>6.8100000000000002E-16</v>
      </c>
      <c r="BV29" s="6">
        <f>IF(Sort_IDAC!$B29="","",IF(Sort_IDAC!BV29=0,0,ROUND(Sort_IDAC!BV29,-1*INT(LOG10(Sort_IDAC!BV29))+2)))</f>
        <v>8.2899999999999996E-16</v>
      </c>
      <c r="BW29" s="6">
        <f>IF(Sort_IDAC!$B29="","",IF(Sort_IDAC!BW29=0,0,ROUND(Sort_IDAC!BW29,-1*INT(LOG10(Sort_IDAC!BW29))+2)))</f>
        <v>6.9499999999999995E-16</v>
      </c>
      <c r="BX29" s="6">
        <f>IF(Sort_IDAC!$B29="","",IF(Sort_IDAC!BX29=0,0,ROUND(Sort_IDAC!BX29,-1*INT(LOG10(Sort_IDAC!BX29))+2)))</f>
        <v>6.9499999999999995E-16</v>
      </c>
      <c r="BY29" s="6">
        <f>IF(Sort_IDAC!$B29="","",IF(Sort_IDAC!BY29=0,0,ROUND(Sort_IDAC!BY29,-1*INT(LOG10(Sort_IDAC!BY29))+2)))</f>
        <v>1.0000000000000001E-15</v>
      </c>
      <c r="BZ29" s="6">
        <f>IF(Sort_IDAC!$B29="","",IF(Sort_IDAC!BZ29=0,0,ROUND(Sort_IDAC!BZ29,-1*INT(LOG10(Sort_IDAC!BZ29))+2)))</f>
        <v>8.9000000000000007E-16</v>
      </c>
      <c r="CA29" s="6">
        <f>IF(Sort_IDAC!$B29="","",IF(Sort_IDAC!CA29=0,0,ROUND(Sort_IDAC!CA29,-1*INT(LOG10(Sort_IDAC!CA29))+2)))</f>
        <v>9.649999999999999E-16</v>
      </c>
      <c r="CB29" s="6">
        <f>IF(Sort_IDAC!$B29="","",IF(Sort_IDAC!CB29=0,0,ROUND(Sort_IDAC!CB29,-1*INT(LOG10(Sort_IDAC!CB29))+2)))</f>
        <v>1.08E-15</v>
      </c>
      <c r="CC29" s="6">
        <f>IF(Sort_IDAC!$B29="","",IF(Sort_IDAC!CC29=0,0,ROUND(Sort_IDAC!CC29,-1*INT(LOG10(Sort_IDAC!CC29))+2)))</f>
        <v>7.9199999999999995E-16</v>
      </c>
      <c r="CD29" s="6"/>
      <c r="CE29" s="6"/>
      <c r="CF29" s="6"/>
      <c r="CG29" s="6"/>
    </row>
    <row r="30" spans="2:85" x14ac:dyDescent="0.15">
      <c r="B30" s="5" t="s">
        <v>20</v>
      </c>
      <c r="C30" s="6">
        <f>IF(Sort_IDAC!$B30="","",IF(Sort_IDAC!C30=0,0,ROUND(Sort_IDAC!C30,-1*INT(LOG10(Sort_IDAC!C30))+2)))</f>
        <v>5.3600000000000003E-16</v>
      </c>
      <c r="D30" s="6">
        <f>IF(Sort_IDAC!$B30="","",IF(Sort_IDAC!D30=0,0,ROUND(Sort_IDAC!D30,-1*INT(LOG10(Sort_IDAC!D30))+2)))</f>
        <v>2.2499999999999999E-15</v>
      </c>
      <c r="E30" s="6">
        <f>IF(Sort_IDAC!$B30="","",IF(Sort_IDAC!E30=0,0,ROUND(Sort_IDAC!E30,-1*INT(LOG10(Sort_IDAC!E30))+2)))</f>
        <v>5.4700000000000001E-15</v>
      </c>
      <c r="F30" s="6">
        <f>IF(Sort_IDAC!$B30="","",IF(Sort_IDAC!F30=0,0,ROUND(Sort_IDAC!F30,-1*INT(LOG10(Sort_IDAC!F30))+2)))</f>
        <v>4.2199999999999999E-15</v>
      </c>
      <c r="G30" s="6">
        <f>IF(Sort_IDAC!$B30="","",IF(Sort_IDAC!G30=0,0,ROUND(Sort_IDAC!G30,-1*INT(LOG10(Sort_IDAC!G30))+2)))</f>
        <v>3.4499999999999999E-16</v>
      </c>
      <c r="H30" s="6">
        <f>IF(Sort_IDAC!$B30="","",IF(Sort_IDAC!H30=0,0,ROUND(Sort_IDAC!H30,-1*INT(LOG10(Sort_IDAC!H30))+2)))</f>
        <v>1.65E-15</v>
      </c>
      <c r="I30" s="6">
        <f>IF(Sort_IDAC!$B30="","",IF(Sort_IDAC!I30=0,0,ROUND(Sort_IDAC!I30,-1*INT(LOG10(Sort_IDAC!I30))+2)))</f>
        <v>3.2000000000000002E-14</v>
      </c>
      <c r="J30" s="6">
        <f>IF(Sort_IDAC!$B30="","",IF(Sort_IDAC!J30=0,0,ROUND(Sort_IDAC!J30,-1*INT(LOG10(Sort_IDAC!J30))+2)))</f>
        <v>3.2000000000000002E-14</v>
      </c>
      <c r="K30" s="6">
        <f>IF(Sort_IDAC!$B30="","",IF(Sort_IDAC!K30=0,0,ROUND(Sort_IDAC!K30,-1*INT(LOG10(Sort_IDAC!K30))+2)))</f>
        <v>3.2000000000000002E-14</v>
      </c>
      <c r="L30" s="6">
        <f>IF(Sort_IDAC!$B30="","",IF(Sort_IDAC!L30=0,0,ROUND(Sort_IDAC!L30,-1*INT(LOG10(Sort_IDAC!L30))+2)))</f>
        <v>5.4700000000000001E-15</v>
      </c>
      <c r="M30" s="6">
        <f>IF(Sort_IDAC!$B30="","",IF(Sort_IDAC!M30=0,0,ROUND(Sort_IDAC!M30,-1*INT(LOG10(Sort_IDAC!M30))+2)))</f>
        <v>5.4700000000000001E-15</v>
      </c>
      <c r="N30" s="6">
        <f>IF(Sort_IDAC!$B30="","",IF(Sort_IDAC!N30=0,0,ROUND(Sort_IDAC!N30,-1*INT(LOG10(Sort_IDAC!N30))+2)))</f>
        <v>5.4700000000000001E-15</v>
      </c>
      <c r="O30" s="6">
        <f>IF(Sort_IDAC!$B30="","",IF(Sort_IDAC!O30=0,0,ROUND(Sort_IDAC!O30,-1*INT(LOG10(Sort_IDAC!O30))+2)))</f>
        <v>1.2199999999999999E-15</v>
      </c>
      <c r="P30" s="6">
        <f>IF(Sort_IDAC!$B30="","",IF(Sort_IDAC!P30=0,0,ROUND(Sort_IDAC!P30,-1*INT(LOG10(Sort_IDAC!P30))+2)))</f>
        <v>1.35E-16</v>
      </c>
      <c r="Q30" s="6">
        <f>IF(Sort_IDAC!$B30="","",IF(Sort_IDAC!Q30=0,0,ROUND(Sort_IDAC!Q30,-1*INT(LOG10(Sort_IDAC!Q30))+2)))</f>
        <v>1.3400000000000001E-15</v>
      </c>
      <c r="R30" s="6">
        <f>IF(Sort_IDAC!$B30="","",IF(Sort_IDAC!R30=0,0,ROUND(Sort_IDAC!R30,-1*INT(LOG10(Sort_IDAC!R30))+2)))</f>
        <v>1.3400000000000001E-15</v>
      </c>
      <c r="S30" s="6">
        <f>IF(Sort_IDAC!$B30="","",IF(Sort_IDAC!S30=0,0,ROUND(Sort_IDAC!S30,-1*INT(LOG10(Sort_IDAC!S30))+2)))</f>
        <v>5.8699999999999997E-16</v>
      </c>
      <c r="T30" s="6">
        <f>IF(Sort_IDAC!$B30="","",IF(Sort_IDAC!T30=0,0,ROUND(Sort_IDAC!T30,-1*INT(LOG10(Sort_IDAC!T30))+2)))</f>
        <v>6.7799999999999997E-15</v>
      </c>
      <c r="U30" s="6">
        <f>IF(Sort_IDAC!$B30="","",IF(Sort_IDAC!U30=0,0,ROUND(Sort_IDAC!U30,-1*INT(LOG10(Sort_IDAC!U30))+2)))</f>
        <v>6.7799999999999997E-15</v>
      </c>
      <c r="V30" s="6">
        <f>IF(Sort_IDAC!$B30="","",IF(Sort_IDAC!V30=0,0,ROUND(Sort_IDAC!V30,-1*INT(LOG10(Sort_IDAC!V30))+2)))</f>
        <v>6.7799999999999997E-15</v>
      </c>
      <c r="W30" s="6">
        <f>IF(Sort_IDAC!$B30="","",IF(Sort_IDAC!W30=0,0,ROUND(Sort_IDAC!W30,-1*INT(LOG10(Sort_IDAC!W30))+2)))</f>
        <v>6.7799999999999997E-15</v>
      </c>
      <c r="X30" s="6">
        <f>IF(Sort_IDAC!$B30="","",IF(Sort_IDAC!X30=0,0,ROUND(Sort_IDAC!X30,-1*INT(LOG10(Sort_IDAC!X30))+2)))</f>
        <v>6.7799999999999997E-15</v>
      </c>
      <c r="Y30" s="6">
        <f>IF(Sort_IDAC!$B30="","",IF(Sort_IDAC!Y30=0,0,ROUND(Sort_IDAC!Y30,-1*INT(LOG10(Sort_IDAC!Y30))+2)))</f>
        <v>3.9500000000000001E-16</v>
      </c>
      <c r="Z30" s="6">
        <f>IF(Sort_IDAC!$B30="","",IF(Sort_IDAC!Z30=0,0,ROUND(Sort_IDAC!Z30,-1*INT(LOG10(Sort_IDAC!Z30))+2)))</f>
        <v>1.6200000000000001E-15</v>
      </c>
      <c r="AA30" s="6">
        <f>IF(Sort_IDAC!$B30="","",IF(Sort_IDAC!AA30=0,0,ROUND(Sort_IDAC!AA30,-1*INT(LOG10(Sort_IDAC!AA30))+2)))</f>
        <v>1.59E-15</v>
      </c>
      <c r="AB30" s="6">
        <f>IF(Sort_IDAC!$B30="","",IF(Sort_IDAC!AB30=0,0,ROUND(Sort_IDAC!AB30,-1*INT(LOG10(Sort_IDAC!AB30))+2)))</f>
        <v>1.15E-14</v>
      </c>
      <c r="AC30" s="6">
        <f>IF(Sort_IDAC!$B30="","",IF(Sort_IDAC!AC30=0,0,ROUND(Sort_IDAC!AC30,-1*INT(LOG10(Sort_IDAC!AC30))+2)))</f>
        <v>8.5399999999999997E-16</v>
      </c>
      <c r="AD30" s="6">
        <f>IF(Sort_IDAC!$B30="","",IF(Sort_IDAC!AD30=0,0,ROUND(Sort_IDAC!AD30,-1*INT(LOG10(Sort_IDAC!AD30))+2)))</f>
        <v>1.3599999999999999E-16</v>
      </c>
      <c r="AE30" s="6">
        <f>IF(Sort_IDAC!$B30="","",IF(Sort_IDAC!AE30=0,0,ROUND(Sort_IDAC!AE30,-1*INT(LOG10(Sort_IDAC!AE30))+2)))</f>
        <v>1.32E-16</v>
      </c>
      <c r="AF30" s="6">
        <f>IF(Sort_IDAC!$B30="","",IF(Sort_IDAC!AF30=0,0,ROUND(Sort_IDAC!AF30,-1*INT(LOG10(Sort_IDAC!AF30))+2)))</f>
        <v>1.32E-16</v>
      </c>
      <c r="AG30" s="6">
        <f>IF(Sort_IDAC!$B30="","",IF(Sort_IDAC!AG30=0,0,ROUND(Sort_IDAC!AG30,-1*INT(LOG10(Sort_IDAC!AG30))+2)))</f>
        <v>2.4699999999999999E-15</v>
      </c>
      <c r="AH30" s="6">
        <f>IF(Sort_IDAC!$B30="","",IF(Sort_IDAC!AH30=0,0,ROUND(Sort_IDAC!AH30,-1*INT(LOG10(Sort_IDAC!AH30))+2)))</f>
        <v>6.36E-15</v>
      </c>
      <c r="AI30" s="6">
        <f>IF(Sort_IDAC!$B30="","",IF(Sort_IDAC!AI30=0,0,ROUND(Sort_IDAC!AI30,-1*INT(LOG10(Sort_IDAC!AI30))+2)))</f>
        <v>5.51E-15</v>
      </c>
      <c r="AJ30" s="6">
        <f>IF(Sort_IDAC!$B30="","",IF(Sort_IDAC!AJ30=0,0,ROUND(Sort_IDAC!AJ30,-1*INT(LOG10(Sort_IDAC!AJ30))+2)))</f>
        <v>7.1000000000000002E-15</v>
      </c>
      <c r="AK30" s="6">
        <f>IF(Sort_IDAC!$B30="","",IF(Sort_IDAC!AK30=0,0,ROUND(Sort_IDAC!AK30,-1*INT(LOG10(Sort_IDAC!AK30))+2)))</f>
        <v>4.5100000000000003E-15</v>
      </c>
      <c r="AL30" s="6">
        <f>IF(Sort_IDAC!$B30="","",IF(Sort_IDAC!AL30=0,0,ROUND(Sort_IDAC!AL30,-1*INT(LOG10(Sort_IDAC!AL30))+2)))</f>
        <v>3.1800000000000001E-14</v>
      </c>
      <c r="AM30" s="6">
        <f>IF(Sort_IDAC!$B30="","",IF(Sort_IDAC!AM30=0,0,ROUND(Sort_IDAC!AM30,-1*INT(LOG10(Sort_IDAC!AM30))+2)))</f>
        <v>7.3299999999999998E-16</v>
      </c>
      <c r="AN30" s="6">
        <f>IF(Sort_IDAC!$B30="","",IF(Sort_IDAC!AN30=0,0,ROUND(Sort_IDAC!AN30,-1*INT(LOG10(Sort_IDAC!AN30))+2)))</f>
        <v>4.4500000000000002E-13</v>
      </c>
      <c r="AO30" s="6">
        <f>IF(Sort_IDAC!$B30="","",IF(Sort_IDAC!AO30=0,0,ROUND(Sort_IDAC!AO30,-1*INT(LOG10(Sort_IDAC!AO30))+2)))</f>
        <v>3.55E-12</v>
      </c>
      <c r="AP30" s="6">
        <f>IF(Sort_IDAC!$B30="","",IF(Sort_IDAC!AP30=0,0,ROUND(Sort_IDAC!AP30,-1*INT(LOG10(Sort_IDAC!AP30))+2)))</f>
        <v>8.1499999999999996E-13</v>
      </c>
      <c r="AQ30" s="6">
        <f>IF(Sort_IDAC!$B30="","",IF(Sort_IDAC!AQ30=0,0,ROUND(Sort_IDAC!AQ30,-1*INT(LOG10(Sort_IDAC!AQ30))+2)))</f>
        <v>2.1900000000000001E-15</v>
      </c>
      <c r="AR30" s="6">
        <f>IF(Sort_IDAC!$B30="","",IF(Sort_IDAC!AR30=0,0,ROUND(Sort_IDAC!AR30,-1*INT(LOG10(Sort_IDAC!AR30))+2)))</f>
        <v>2.1900000000000001E-15</v>
      </c>
      <c r="AS30" s="6">
        <f>IF(Sort_IDAC!$B30="","",IF(Sort_IDAC!AS30=0,0,ROUND(Sort_IDAC!AS30,-1*INT(LOG10(Sort_IDAC!AS30))+2)))</f>
        <v>2.3600000000000001E-17</v>
      </c>
      <c r="AT30" s="6">
        <f>IF(Sort_IDAC!$B30="","",IF(Sort_IDAC!AT30=0,0,ROUND(Sort_IDAC!AT30,-1*INT(LOG10(Sort_IDAC!AT30))+2)))</f>
        <v>8.98E-16</v>
      </c>
      <c r="AU30" s="6">
        <f>IF(Sort_IDAC!$B30="","",IF(Sort_IDAC!AU30=0,0,ROUND(Sort_IDAC!AU30,-1*INT(LOG10(Sort_IDAC!AU30))+2)))</f>
        <v>6.6499999999999996E-16</v>
      </c>
      <c r="AV30" s="6">
        <f>IF(Sort_IDAC!$B30="","",IF(Sort_IDAC!AV30=0,0,ROUND(Sort_IDAC!AV30,-1*INT(LOG10(Sort_IDAC!AV30))+2)))</f>
        <v>0</v>
      </c>
      <c r="AW30" s="6">
        <f>IF(Sort_IDAC!$B30="","",IF(Sort_IDAC!AW30=0,0,ROUND(Sort_IDAC!AW30,-1*INT(LOG10(Sort_IDAC!AW30))+2)))</f>
        <v>3.36E-17</v>
      </c>
      <c r="AX30" s="6">
        <f>IF(Sort_IDAC!$B30="","",IF(Sort_IDAC!AX30=0,0,ROUND(Sort_IDAC!AX30,-1*INT(LOG10(Sort_IDAC!AX30))+2)))</f>
        <v>2.7399999999999999E-17</v>
      </c>
      <c r="AY30" s="6">
        <f>IF(Sort_IDAC!$B30="","",IF(Sort_IDAC!AY30=0,0,ROUND(Sort_IDAC!AY30,-1*INT(LOG10(Sort_IDAC!AY30))+2)))</f>
        <v>2.7399999999999999E-17</v>
      </c>
      <c r="AZ30" s="6">
        <f>IF(Sort_IDAC!$B30="","",IF(Sort_IDAC!AZ30=0,0,ROUND(Sort_IDAC!AZ30,-1*INT(LOG10(Sort_IDAC!AZ30))+2)))</f>
        <v>3.0200000000000002E-15</v>
      </c>
      <c r="BA30" s="6">
        <f>IF(Sort_IDAC!$B30="","",IF(Sort_IDAC!BA30=0,0,ROUND(Sort_IDAC!BA30,-1*INT(LOG10(Sort_IDAC!BA30))+2)))</f>
        <v>5.75E-15</v>
      </c>
      <c r="BB30" s="6">
        <f>IF(Sort_IDAC!$B30="","",IF(Sort_IDAC!BB30=0,0,ROUND(Sort_IDAC!BB30,-1*INT(LOG10(Sort_IDAC!BB30))+2)))</f>
        <v>1.5700000000000001E-16</v>
      </c>
      <c r="BC30" s="6">
        <f>IF(Sort_IDAC!$B30="","",IF(Sort_IDAC!BC30=0,0,ROUND(Sort_IDAC!BC30,-1*INT(LOG10(Sort_IDAC!BC30))+2)))</f>
        <v>1.6000000000000001E-16</v>
      </c>
      <c r="BD30" s="6">
        <f>IF(Sort_IDAC!$B30="","",IF(Sort_IDAC!BD30=0,0,ROUND(Sort_IDAC!BD30,-1*INT(LOG10(Sort_IDAC!BD30))+2)))</f>
        <v>1.6000000000000001E-16</v>
      </c>
      <c r="BE30" s="6">
        <f>IF(Sort_IDAC!$B30="","",IF(Sort_IDAC!BE30=0,0,ROUND(Sort_IDAC!BE30,-1*INT(LOG10(Sort_IDAC!BE30))+2)))</f>
        <v>2.11E-15</v>
      </c>
      <c r="BF30" s="6">
        <f>IF(Sort_IDAC!$B30="","",IF(Sort_IDAC!BF30=0,0,ROUND(Sort_IDAC!BF30,-1*INT(LOG10(Sort_IDAC!BF30))+2)))</f>
        <v>3.9500000000000001E-16</v>
      </c>
      <c r="BG30" s="6">
        <f>IF(Sort_IDAC!$B30="","",IF(Sort_IDAC!BG30=0,0,ROUND(Sort_IDAC!BG30,-1*INT(LOG10(Sort_IDAC!BG30))+2)))</f>
        <v>3.6200000000000002E-16</v>
      </c>
      <c r="BH30" s="6">
        <f>IF(Sort_IDAC!$B30="","",IF(Sort_IDAC!BH30=0,0,ROUND(Sort_IDAC!BH30,-1*INT(LOG10(Sort_IDAC!BH30))+2)))</f>
        <v>2.85E-16</v>
      </c>
      <c r="BI30" s="6">
        <f>IF(Sort_IDAC!$B30="","",IF(Sort_IDAC!BI30=0,0,ROUND(Sort_IDAC!BI30,-1*INT(LOG10(Sort_IDAC!BI30))+2)))</f>
        <v>2.85E-16</v>
      </c>
      <c r="BJ30" s="6">
        <f>IF(Sort_IDAC!$B30="","",IF(Sort_IDAC!BJ30=0,0,ROUND(Sort_IDAC!BJ30,-1*INT(LOG10(Sort_IDAC!BJ30))+2)))</f>
        <v>2.85E-16</v>
      </c>
      <c r="BK30" s="6">
        <f>IF(Sort_IDAC!$B30="","",IF(Sort_IDAC!BK30=0,0,ROUND(Sort_IDAC!BK30,-1*INT(LOG10(Sort_IDAC!BK30))+2)))</f>
        <v>2.2200000000000002E-15</v>
      </c>
      <c r="BL30" s="6">
        <f>IF(Sort_IDAC!$B30="","",IF(Sort_IDAC!BL30=0,0,ROUND(Sort_IDAC!BL30,-1*INT(LOG10(Sort_IDAC!BL30))+2)))</f>
        <v>2.6099999999999998E-15</v>
      </c>
      <c r="BM30" s="6">
        <f>IF(Sort_IDAC!$B30="","",IF(Sort_IDAC!BM30=0,0,ROUND(Sort_IDAC!BM30,-1*INT(LOG10(Sort_IDAC!BM30))+2)))</f>
        <v>2.43E-15</v>
      </c>
      <c r="BN30" s="6">
        <f>IF(Sort_IDAC!$B30="","",IF(Sort_IDAC!BN30=0,0,ROUND(Sort_IDAC!BN30,-1*INT(LOG10(Sort_IDAC!BN30))+2)))</f>
        <v>2.43E-15</v>
      </c>
      <c r="BO30" s="6">
        <f>IF(Sort_IDAC!$B30="","",IF(Sort_IDAC!BO30=0,0,ROUND(Sort_IDAC!BO30,-1*INT(LOG10(Sort_IDAC!BO30))+2)))</f>
        <v>1.3299999999999999E-15</v>
      </c>
      <c r="BP30" s="6">
        <f>IF(Sort_IDAC!$B30="","",IF(Sort_IDAC!BP30=0,0,ROUND(Sort_IDAC!BP30,-1*INT(LOG10(Sort_IDAC!BP30))+2)))</f>
        <v>1.3299999999999999E-15</v>
      </c>
      <c r="BQ30" s="6">
        <f>IF(Sort_IDAC!$B30="","",IF(Sort_IDAC!BQ30=0,0,ROUND(Sort_IDAC!BQ30,-1*INT(LOG10(Sort_IDAC!BQ30))+2)))</f>
        <v>0</v>
      </c>
      <c r="BR30" s="6">
        <f>IF(Sort_IDAC!$B30="","",IF(Sort_IDAC!BR30=0,0,ROUND(Sort_IDAC!BR30,-1*INT(LOG10(Sort_IDAC!BR30))+2)))</f>
        <v>1.04E-14</v>
      </c>
      <c r="BS30" s="6">
        <f>IF(Sort_IDAC!$B30="","",IF(Sort_IDAC!BS30=0,0,ROUND(Sort_IDAC!BS30,-1*INT(LOG10(Sort_IDAC!BS30))+2)))</f>
        <v>2.23E-14</v>
      </c>
      <c r="BT30" s="6">
        <f>IF(Sort_IDAC!$B30="","",IF(Sort_IDAC!BT30=0,0,ROUND(Sort_IDAC!BT30,-1*INT(LOG10(Sort_IDAC!BT30))+2)))</f>
        <v>2.4399999999999998E-15</v>
      </c>
      <c r="BU30" s="6">
        <f>IF(Sort_IDAC!$B30="","",IF(Sort_IDAC!BU30=0,0,ROUND(Sort_IDAC!BU30,-1*INT(LOG10(Sort_IDAC!BU30))+2)))</f>
        <v>1.7E-15</v>
      </c>
      <c r="BV30" s="6">
        <f>IF(Sort_IDAC!$B30="","",IF(Sort_IDAC!BV30=0,0,ROUND(Sort_IDAC!BV30,-1*INT(LOG10(Sort_IDAC!BV30))+2)))</f>
        <v>1.64E-15</v>
      </c>
      <c r="BW30" s="6">
        <f>IF(Sort_IDAC!$B30="","",IF(Sort_IDAC!BW30=0,0,ROUND(Sort_IDAC!BW30,-1*INT(LOG10(Sort_IDAC!BW30))+2)))</f>
        <v>1.09E-15</v>
      </c>
      <c r="BX30" s="6">
        <f>IF(Sort_IDAC!$B30="","",IF(Sort_IDAC!BX30=0,0,ROUND(Sort_IDAC!BX30,-1*INT(LOG10(Sort_IDAC!BX30))+2)))</f>
        <v>1.09E-15</v>
      </c>
      <c r="BY30" s="6">
        <f>IF(Sort_IDAC!$B30="","",IF(Sort_IDAC!BY30=0,0,ROUND(Sort_IDAC!BY30,-1*INT(LOG10(Sort_IDAC!BY30))+2)))</f>
        <v>2.6899999999999998E-16</v>
      </c>
      <c r="BZ30" s="6">
        <f>IF(Sort_IDAC!$B30="","",IF(Sort_IDAC!BZ30=0,0,ROUND(Sort_IDAC!BZ30,-1*INT(LOG10(Sort_IDAC!BZ30))+2)))</f>
        <v>2.7699999999999999E-17</v>
      </c>
      <c r="CA30" s="6">
        <f>IF(Sort_IDAC!$B30="","",IF(Sort_IDAC!CA30=0,0,ROUND(Sort_IDAC!CA30,-1*INT(LOG10(Sort_IDAC!CA30))+2)))</f>
        <v>2.4999999999999999E-17</v>
      </c>
      <c r="CB30" s="6">
        <f>IF(Sort_IDAC!$B30="","",IF(Sort_IDAC!CB30=0,0,ROUND(Sort_IDAC!CB30,-1*INT(LOG10(Sort_IDAC!CB30))+2)))</f>
        <v>2.3600000000000001E-17</v>
      </c>
      <c r="CC30" s="6">
        <f>IF(Sort_IDAC!$B30="","",IF(Sort_IDAC!CC30=0,0,ROUND(Sort_IDAC!CC30,-1*INT(LOG10(Sort_IDAC!CC30))+2)))</f>
        <v>7.3000000000000003E-16</v>
      </c>
      <c r="CD30" s="6"/>
      <c r="CE30" s="6"/>
      <c r="CF30" s="6"/>
      <c r="CG30" s="6"/>
    </row>
    <row r="31" spans="2:85" x14ac:dyDescent="0.15">
      <c r="B31" s="5" t="s">
        <v>21</v>
      </c>
      <c r="C31" s="6">
        <f>IF(Sort_IDAC!$B31="","",IF(Sort_IDAC!C31=0,0,ROUND(Sort_IDAC!C31,-1*INT(LOG10(Sort_IDAC!C31))+2)))</f>
        <v>5.0299999999999999E-16</v>
      </c>
      <c r="D31" s="6">
        <f>IF(Sort_IDAC!$B31="","",IF(Sort_IDAC!D31=0,0,ROUND(Sort_IDAC!D31,-1*INT(LOG10(Sort_IDAC!D31))+2)))</f>
        <v>1.0200000000000001E-16</v>
      </c>
      <c r="E31" s="6">
        <f>IF(Sort_IDAC!$B31="","",IF(Sort_IDAC!E31=0,0,ROUND(Sort_IDAC!E31,-1*INT(LOG10(Sort_IDAC!E31))+2)))</f>
        <v>5.9799999999999995E-16</v>
      </c>
      <c r="F31" s="6">
        <f>IF(Sort_IDAC!$B31="","",IF(Sort_IDAC!F31=0,0,ROUND(Sort_IDAC!F31,-1*INT(LOG10(Sort_IDAC!F31))+2)))</f>
        <v>9.6999999999999998E-16</v>
      </c>
      <c r="G31" s="6">
        <f>IF(Sort_IDAC!$B31="","",IF(Sort_IDAC!G31=0,0,ROUND(Sort_IDAC!G31,-1*INT(LOG10(Sort_IDAC!G31))+2)))</f>
        <v>2.6800000000000002E-15</v>
      </c>
      <c r="H31" s="6">
        <f>IF(Sort_IDAC!$B31="","",IF(Sort_IDAC!H31=0,0,ROUND(Sort_IDAC!H31,-1*INT(LOG10(Sort_IDAC!H31))+2)))</f>
        <v>7.4499999999999998E-16</v>
      </c>
      <c r="I31" s="6">
        <f>IF(Sort_IDAC!$B31="","",IF(Sort_IDAC!I31=0,0,ROUND(Sort_IDAC!I31,-1*INT(LOG10(Sort_IDAC!I31))+2)))</f>
        <v>2.1400000000000001E-15</v>
      </c>
      <c r="J31" s="6">
        <f>IF(Sort_IDAC!$B31="","",IF(Sort_IDAC!J31=0,0,ROUND(Sort_IDAC!J31,-1*INT(LOG10(Sort_IDAC!J31))+2)))</f>
        <v>2.1400000000000001E-15</v>
      </c>
      <c r="K31" s="6">
        <f>IF(Sort_IDAC!$B31="","",IF(Sort_IDAC!K31=0,0,ROUND(Sort_IDAC!K31,-1*INT(LOG10(Sort_IDAC!K31))+2)))</f>
        <v>2.1400000000000001E-15</v>
      </c>
      <c r="L31" s="6">
        <f>IF(Sort_IDAC!$B31="","",IF(Sort_IDAC!L31=0,0,ROUND(Sort_IDAC!L31,-1*INT(LOG10(Sort_IDAC!L31))+2)))</f>
        <v>5.9799999999999995E-16</v>
      </c>
      <c r="M31" s="6">
        <f>IF(Sort_IDAC!$B31="","",IF(Sort_IDAC!M31=0,0,ROUND(Sort_IDAC!M31,-1*INT(LOG10(Sort_IDAC!M31))+2)))</f>
        <v>5.9799999999999995E-16</v>
      </c>
      <c r="N31" s="6">
        <f>IF(Sort_IDAC!$B31="","",IF(Sort_IDAC!N31=0,0,ROUND(Sort_IDAC!N31,-1*INT(LOG10(Sort_IDAC!N31))+2)))</f>
        <v>5.9799999999999995E-16</v>
      </c>
      <c r="O31" s="6">
        <f>IF(Sort_IDAC!$B31="","",IF(Sort_IDAC!O31=0,0,ROUND(Sort_IDAC!O31,-1*INT(LOG10(Sort_IDAC!O31))+2)))</f>
        <v>1.43E-15</v>
      </c>
      <c r="P31" s="6">
        <f>IF(Sort_IDAC!$B31="","",IF(Sort_IDAC!P31=0,0,ROUND(Sort_IDAC!P31,-1*INT(LOG10(Sort_IDAC!P31))+2)))</f>
        <v>3.6200000000000002E-17</v>
      </c>
      <c r="Q31" s="6">
        <f>IF(Sort_IDAC!$B31="","",IF(Sort_IDAC!Q31=0,0,ROUND(Sort_IDAC!Q31,-1*INT(LOG10(Sort_IDAC!Q31))+2)))</f>
        <v>1.99E-15</v>
      </c>
      <c r="R31" s="6">
        <f>IF(Sort_IDAC!$B31="","",IF(Sort_IDAC!R31=0,0,ROUND(Sort_IDAC!R31,-1*INT(LOG10(Sort_IDAC!R31))+2)))</f>
        <v>1.99E-15</v>
      </c>
      <c r="S31" s="6">
        <f>IF(Sort_IDAC!$B31="","",IF(Sort_IDAC!S31=0,0,ROUND(Sort_IDAC!S31,-1*INT(LOG10(Sort_IDAC!S31))+2)))</f>
        <v>1.66E-14</v>
      </c>
      <c r="T31" s="6">
        <f>IF(Sort_IDAC!$B31="","",IF(Sort_IDAC!T31=0,0,ROUND(Sort_IDAC!T31,-1*INT(LOG10(Sort_IDAC!T31))+2)))</f>
        <v>3.6899999999999999E-14</v>
      </c>
      <c r="U31" s="6">
        <f>IF(Sort_IDAC!$B31="","",IF(Sort_IDAC!U31=0,0,ROUND(Sort_IDAC!U31,-1*INT(LOG10(Sort_IDAC!U31))+2)))</f>
        <v>3.6899999999999999E-14</v>
      </c>
      <c r="V31" s="6">
        <f>IF(Sort_IDAC!$B31="","",IF(Sort_IDAC!V31=0,0,ROUND(Sort_IDAC!V31,-1*INT(LOG10(Sort_IDAC!V31))+2)))</f>
        <v>3.6899999999999999E-14</v>
      </c>
      <c r="W31" s="6">
        <f>IF(Sort_IDAC!$B31="","",IF(Sort_IDAC!W31=0,0,ROUND(Sort_IDAC!W31,-1*INT(LOG10(Sort_IDAC!W31))+2)))</f>
        <v>3.6899999999999999E-14</v>
      </c>
      <c r="X31" s="6">
        <f>IF(Sort_IDAC!$B31="","",IF(Sort_IDAC!X31=0,0,ROUND(Sort_IDAC!X31,-1*INT(LOG10(Sort_IDAC!X31))+2)))</f>
        <v>3.6899999999999999E-14</v>
      </c>
      <c r="Y31" s="6">
        <f>IF(Sort_IDAC!$B31="","",IF(Sort_IDAC!Y31=0,0,ROUND(Sort_IDAC!Y31,-1*INT(LOG10(Sort_IDAC!Y31))+2)))</f>
        <v>6.4999999999999999E-15</v>
      </c>
      <c r="Z31" s="6">
        <f>IF(Sort_IDAC!$B31="","",IF(Sort_IDAC!Z31=0,0,ROUND(Sort_IDAC!Z31,-1*INT(LOG10(Sort_IDAC!Z31))+2)))</f>
        <v>1.1300000000000001E-16</v>
      </c>
      <c r="AA31" s="6">
        <f>IF(Sort_IDAC!$B31="","",IF(Sort_IDAC!AA31=0,0,ROUND(Sort_IDAC!AA31,-1*INT(LOG10(Sort_IDAC!AA31))+2)))</f>
        <v>1.17E-16</v>
      </c>
      <c r="AB31" s="6">
        <f>IF(Sort_IDAC!$B31="","",IF(Sort_IDAC!AB31=0,0,ROUND(Sort_IDAC!AB31,-1*INT(LOG10(Sort_IDAC!AB31))+2)))</f>
        <v>4.8899999999999996E-16</v>
      </c>
      <c r="AC31" s="6">
        <f>IF(Sort_IDAC!$B31="","",IF(Sort_IDAC!AC31=0,0,ROUND(Sort_IDAC!AC31,-1*INT(LOG10(Sort_IDAC!AC31))+2)))</f>
        <v>6.2400000000000001E-17</v>
      </c>
      <c r="AD31" s="6">
        <f>IF(Sort_IDAC!$B31="","",IF(Sort_IDAC!AD31=0,0,ROUND(Sort_IDAC!AD31,-1*INT(LOG10(Sort_IDAC!AD31))+2)))</f>
        <v>1.77E-17</v>
      </c>
      <c r="AE31" s="6">
        <f>IF(Sort_IDAC!$B31="","",IF(Sort_IDAC!AE31=0,0,ROUND(Sort_IDAC!AE31,-1*INT(LOG10(Sort_IDAC!AE31))+2)))</f>
        <v>1.59E-17</v>
      </c>
      <c r="AF31" s="6">
        <f>IF(Sort_IDAC!$B31="","",IF(Sort_IDAC!AF31=0,0,ROUND(Sort_IDAC!AF31,-1*INT(LOG10(Sort_IDAC!AF31))+2)))</f>
        <v>1.59E-17</v>
      </c>
      <c r="AG31" s="6">
        <f>IF(Sort_IDAC!$B31="","",IF(Sort_IDAC!AG31=0,0,ROUND(Sort_IDAC!AG31,-1*INT(LOG10(Sort_IDAC!AG31))+2)))</f>
        <v>1.6600000000000001E-16</v>
      </c>
      <c r="AH31" s="6">
        <f>IF(Sort_IDAC!$B31="","",IF(Sort_IDAC!AH31=0,0,ROUND(Sort_IDAC!AH31,-1*INT(LOG10(Sort_IDAC!AH31))+2)))</f>
        <v>6.4899999999999999E-16</v>
      </c>
      <c r="AI31" s="6">
        <f>IF(Sort_IDAC!$B31="","",IF(Sort_IDAC!AI31=0,0,ROUND(Sort_IDAC!AI31,-1*INT(LOG10(Sort_IDAC!AI31))+2)))</f>
        <v>5.9000000000000002E-16</v>
      </c>
      <c r="AJ31" s="6">
        <f>IF(Sort_IDAC!$B31="","",IF(Sort_IDAC!AJ31=0,0,ROUND(Sort_IDAC!AJ31,-1*INT(LOG10(Sort_IDAC!AJ31))+2)))</f>
        <v>5.8199999999999994E-14</v>
      </c>
      <c r="AK31" s="6">
        <f>IF(Sort_IDAC!$B31="","",IF(Sort_IDAC!AK31=0,0,ROUND(Sort_IDAC!AK31,-1*INT(LOG10(Sort_IDAC!AK31))+2)))</f>
        <v>6.0399999999999995E-16</v>
      </c>
      <c r="AL31" s="6">
        <f>IF(Sort_IDAC!$B31="","",IF(Sort_IDAC!AL31=0,0,ROUND(Sort_IDAC!AL31,-1*INT(LOG10(Sort_IDAC!AL31))+2)))</f>
        <v>2.4399999999999998E-15</v>
      </c>
      <c r="AM31" s="6">
        <f>IF(Sort_IDAC!$B31="","",IF(Sort_IDAC!AM31=0,0,ROUND(Sort_IDAC!AM31,-1*INT(LOG10(Sort_IDAC!AM31))+2)))</f>
        <v>5.6799999999999996E-16</v>
      </c>
      <c r="AN31" s="6">
        <f>IF(Sort_IDAC!$B31="","",IF(Sort_IDAC!AN31=0,0,ROUND(Sort_IDAC!AN31,-1*INT(LOG10(Sort_IDAC!AN31))+2)))</f>
        <v>2.1700000000000002E-15</v>
      </c>
      <c r="AO31" s="6">
        <f>IF(Sort_IDAC!$B31="","",IF(Sort_IDAC!AO31=0,0,ROUND(Sort_IDAC!AO31,-1*INT(LOG10(Sort_IDAC!AO31))+2)))</f>
        <v>2.1700000000000002E-15</v>
      </c>
      <c r="AP31" s="6">
        <f>IF(Sort_IDAC!$B31="","",IF(Sort_IDAC!AP31=0,0,ROUND(Sort_IDAC!AP31,-1*INT(LOG10(Sort_IDAC!AP31))+2)))</f>
        <v>2.1700000000000002E-15</v>
      </c>
      <c r="AQ31" s="6">
        <f>IF(Sort_IDAC!$B31="","",IF(Sort_IDAC!AQ31=0,0,ROUND(Sort_IDAC!AQ31,-1*INT(LOG10(Sort_IDAC!AQ31))+2)))</f>
        <v>2.6399999999999999E-13</v>
      </c>
      <c r="AR31" s="6">
        <f>IF(Sort_IDAC!$B31="","",IF(Sort_IDAC!AR31=0,0,ROUND(Sort_IDAC!AR31,-1*INT(LOG10(Sort_IDAC!AR31))+2)))</f>
        <v>1.6400000000000001E-12</v>
      </c>
      <c r="AS31" s="6">
        <f>IF(Sort_IDAC!$B31="","",IF(Sort_IDAC!AS31=0,0,ROUND(Sort_IDAC!AS31,-1*INT(LOG10(Sort_IDAC!AS31))+2)))</f>
        <v>4.34E-18</v>
      </c>
      <c r="AT31" s="6">
        <f>IF(Sort_IDAC!$B31="","",IF(Sort_IDAC!AT31=0,0,ROUND(Sort_IDAC!AT31,-1*INT(LOG10(Sort_IDAC!AT31))+2)))</f>
        <v>7.9100000000000006E-17</v>
      </c>
      <c r="AU31" s="6">
        <f>IF(Sort_IDAC!$B31="","",IF(Sort_IDAC!AU31=0,0,ROUND(Sort_IDAC!AU31,-1*INT(LOG10(Sort_IDAC!AU31))+2)))</f>
        <v>8.2100000000000005E-15</v>
      </c>
      <c r="AV31" s="6">
        <f>IF(Sort_IDAC!$B31="","",IF(Sort_IDAC!AV31=0,0,ROUND(Sort_IDAC!AV31,-1*INT(LOG10(Sort_IDAC!AV31))+2)))</f>
        <v>0</v>
      </c>
      <c r="AW31" s="6">
        <f>IF(Sort_IDAC!$B31="","",IF(Sort_IDAC!AW31=0,0,ROUND(Sort_IDAC!AW31,-1*INT(LOG10(Sort_IDAC!AW31))+2)))</f>
        <v>4.49E-18</v>
      </c>
      <c r="AX31" s="6">
        <f>IF(Sort_IDAC!$B31="","",IF(Sort_IDAC!AX31=0,0,ROUND(Sort_IDAC!AX31,-1*INT(LOG10(Sort_IDAC!AX31))+2)))</f>
        <v>3.8800000000000002E-18</v>
      </c>
      <c r="AY31" s="6">
        <f>IF(Sort_IDAC!$B31="","",IF(Sort_IDAC!AY31=0,0,ROUND(Sort_IDAC!AY31,-1*INT(LOG10(Sort_IDAC!AY31))+2)))</f>
        <v>3.8800000000000002E-18</v>
      </c>
      <c r="AZ31" s="6">
        <f>IF(Sort_IDAC!$B31="","",IF(Sort_IDAC!AZ31=0,0,ROUND(Sort_IDAC!AZ31,-1*INT(LOG10(Sort_IDAC!AZ31))+2)))</f>
        <v>1.3E-15</v>
      </c>
      <c r="BA31" s="6">
        <f>IF(Sort_IDAC!$B31="","",IF(Sort_IDAC!BA31=0,0,ROUND(Sort_IDAC!BA31,-1*INT(LOG10(Sort_IDAC!BA31))+2)))</f>
        <v>9.3099999999999994E-16</v>
      </c>
      <c r="BB31" s="6">
        <f>IF(Sort_IDAC!$B31="","",IF(Sort_IDAC!BB31=0,0,ROUND(Sort_IDAC!BB31,-1*INT(LOG10(Sort_IDAC!BB31))+2)))</f>
        <v>2.4599999999999999E-17</v>
      </c>
      <c r="BC31" s="6">
        <f>IF(Sort_IDAC!$B31="","",IF(Sort_IDAC!BC31=0,0,ROUND(Sort_IDAC!BC31,-1*INT(LOG10(Sort_IDAC!BC31))+2)))</f>
        <v>2.3699999999999999E-17</v>
      </c>
      <c r="BD31" s="6">
        <f>IF(Sort_IDAC!$B31="","",IF(Sort_IDAC!BD31=0,0,ROUND(Sort_IDAC!BD31,-1*INT(LOG10(Sort_IDAC!BD31))+2)))</f>
        <v>2.3699999999999999E-17</v>
      </c>
      <c r="BE31" s="6">
        <f>IF(Sort_IDAC!$B31="","",IF(Sort_IDAC!BE31=0,0,ROUND(Sort_IDAC!BE31,-1*INT(LOG10(Sort_IDAC!BE31))+2)))</f>
        <v>1.7500000000000001E-14</v>
      </c>
      <c r="BF31" s="6">
        <f>IF(Sort_IDAC!$B31="","",IF(Sort_IDAC!BF31=0,0,ROUND(Sort_IDAC!BF31,-1*INT(LOG10(Sort_IDAC!BF31))+2)))</f>
        <v>4.34E-16</v>
      </c>
      <c r="BG31" s="6">
        <f>IF(Sort_IDAC!$B31="","",IF(Sort_IDAC!BG31=0,0,ROUND(Sort_IDAC!BG31,-1*INT(LOG10(Sort_IDAC!BG31))+2)))</f>
        <v>3.45E-17</v>
      </c>
      <c r="BH31" s="6">
        <f>IF(Sort_IDAC!$B31="","",IF(Sort_IDAC!BH31=0,0,ROUND(Sort_IDAC!BH31,-1*INT(LOG10(Sort_IDAC!BH31))+2)))</f>
        <v>2.9400000000000001E-17</v>
      </c>
      <c r="BI31" s="6">
        <f>IF(Sort_IDAC!$B31="","",IF(Sort_IDAC!BI31=0,0,ROUND(Sort_IDAC!BI31,-1*INT(LOG10(Sort_IDAC!BI31))+2)))</f>
        <v>2.9400000000000001E-17</v>
      </c>
      <c r="BJ31" s="6">
        <f>IF(Sort_IDAC!$B31="","",IF(Sort_IDAC!BJ31=0,0,ROUND(Sort_IDAC!BJ31,-1*INT(LOG10(Sort_IDAC!BJ31))+2)))</f>
        <v>2.9400000000000001E-17</v>
      </c>
      <c r="BK31" s="6">
        <f>IF(Sort_IDAC!$B31="","",IF(Sort_IDAC!BK31=0,0,ROUND(Sort_IDAC!BK31,-1*INT(LOG10(Sort_IDAC!BK31))+2)))</f>
        <v>1.29E-16</v>
      </c>
      <c r="BL31" s="6">
        <f>IF(Sort_IDAC!$B31="","",IF(Sort_IDAC!BL31=0,0,ROUND(Sort_IDAC!BL31,-1*INT(LOG10(Sort_IDAC!BL31))+2)))</f>
        <v>1.23E-16</v>
      </c>
      <c r="BM31" s="6">
        <f>IF(Sort_IDAC!$B31="","",IF(Sort_IDAC!BM31=0,0,ROUND(Sort_IDAC!BM31,-1*INT(LOG10(Sort_IDAC!BM31))+2)))</f>
        <v>1.1300000000000001E-16</v>
      </c>
      <c r="BN31" s="6">
        <f>IF(Sort_IDAC!$B31="","",IF(Sort_IDAC!BN31=0,0,ROUND(Sort_IDAC!BN31,-1*INT(LOG10(Sort_IDAC!BN31))+2)))</f>
        <v>1.1300000000000001E-16</v>
      </c>
      <c r="BO31" s="6">
        <f>IF(Sort_IDAC!$B31="","",IF(Sort_IDAC!BO31=0,0,ROUND(Sort_IDAC!BO31,-1*INT(LOG10(Sort_IDAC!BO31))+2)))</f>
        <v>1.1200000000000001E-12</v>
      </c>
      <c r="BP31" s="6">
        <f>IF(Sort_IDAC!$B31="","",IF(Sort_IDAC!BP31=0,0,ROUND(Sort_IDAC!BP31,-1*INT(LOG10(Sort_IDAC!BP31))+2)))</f>
        <v>7.0700000000000004E-14</v>
      </c>
      <c r="BQ31" s="6">
        <f>IF(Sort_IDAC!$B31="","",IF(Sort_IDAC!BQ31=0,0,ROUND(Sort_IDAC!BQ31,-1*INT(LOG10(Sort_IDAC!BQ31))+2)))</f>
        <v>0</v>
      </c>
      <c r="BR31" s="6">
        <f>IF(Sort_IDAC!$B31="","",IF(Sort_IDAC!BR31=0,0,ROUND(Sort_IDAC!BR31,-1*INT(LOG10(Sort_IDAC!BR31))+2)))</f>
        <v>1.6800000000000001E-15</v>
      </c>
      <c r="BS31" s="6">
        <f>IF(Sort_IDAC!$B31="","",IF(Sort_IDAC!BS31=0,0,ROUND(Sort_IDAC!BS31,-1*INT(LOG10(Sort_IDAC!BS31))+2)))</f>
        <v>4.4400000000000004E-15</v>
      </c>
      <c r="BT31" s="6">
        <f>IF(Sort_IDAC!$B31="","",IF(Sort_IDAC!BT31=0,0,ROUND(Sort_IDAC!BT31,-1*INT(LOG10(Sort_IDAC!BT31))+2)))</f>
        <v>6.0600000000000004E-13</v>
      </c>
      <c r="BU31" s="6">
        <f>IF(Sort_IDAC!$B31="","",IF(Sort_IDAC!BU31=0,0,ROUND(Sort_IDAC!BU31,-1*INT(LOG10(Sort_IDAC!BU31))+2)))</f>
        <v>7.4400000000000004E-14</v>
      </c>
      <c r="BV31" s="6">
        <f>IF(Sort_IDAC!$B31="","",IF(Sort_IDAC!BV31=0,0,ROUND(Sort_IDAC!BV31,-1*INT(LOG10(Sort_IDAC!BV31))+2)))</f>
        <v>9.8099999999999997E-16</v>
      </c>
      <c r="BW31" s="6">
        <f>IF(Sort_IDAC!$B31="","",IF(Sort_IDAC!BW31=0,0,ROUND(Sort_IDAC!BW31,-1*INT(LOG10(Sort_IDAC!BW31))+2)))</f>
        <v>1.8000000000000001E-15</v>
      </c>
      <c r="BX31" s="6">
        <f>IF(Sort_IDAC!$B31="","",IF(Sort_IDAC!BX31=0,0,ROUND(Sort_IDAC!BX31,-1*INT(LOG10(Sort_IDAC!BX31))+2)))</f>
        <v>1.8000000000000001E-15</v>
      </c>
      <c r="BY31" s="6">
        <f>IF(Sort_IDAC!$B31="","",IF(Sort_IDAC!BY31=0,0,ROUND(Sort_IDAC!BY31,-1*INT(LOG10(Sort_IDAC!BY31))+2)))</f>
        <v>2.5800000000000001E-17</v>
      </c>
      <c r="BZ31" s="6">
        <f>IF(Sort_IDAC!$B31="","",IF(Sort_IDAC!BZ31=0,0,ROUND(Sort_IDAC!BZ31,-1*INT(LOG10(Sort_IDAC!BZ31))+2)))</f>
        <v>4.7600000000000001E-18</v>
      </c>
      <c r="CA31" s="6">
        <f>IF(Sort_IDAC!$B31="","",IF(Sort_IDAC!CA31=0,0,ROUND(Sort_IDAC!CA31,-1*INT(LOG10(Sort_IDAC!CA31))+2)))</f>
        <v>5.2000000000000001E-18</v>
      </c>
      <c r="CB31" s="6">
        <f>IF(Sort_IDAC!$B31="","",IF(Sort_IDAC!CB31=0,0,ROUND(Sort_IDAC!CB31,-1*INT(LOG10(Sort_IDAC!CB31))+2)))</f>
        <v>3.41E-18</v>
      </c>
      <c r="CC31" s="6">
        <f>IF(Sort_IDAC!$B31="","",IF(Sort_IDAC!CC31=0,0,ROUND(Sort_IDAC!CC31,-1*INT(LOG10(Sort_IDAC!CC31))+2)))</f>
        <v>6.8899999999999995E-16</v>
      </c>
      <c r="CD31" s="6"/>
      <c r="CE31" s="6"/>
      <c r="CF31" s="6"/>
      <c r="CG31" s="6"/>
    </row>
    <row r="32" spans="2:85" x14ac:dyDescent="0.15">
      <c r="B32" s="5" t="s">
        <v>22</v>
      </c>
      <c r="C32" s="6">
        <f>IF(Sort_IDAC!$B32="","",IF(Sort_IDAC!C32=0,0,ROUND(Sort_IDAC!C32,-1*INT(LOG10(Sort_IDAC!C32))+2)))</f>
        <v>1.19E-15</v>
      </c>
      <c r="D32" s="6">
        <f>IF(Sort_IDAC!$B32="","",IF(Sort_IDAC!D32=0,0,ROUND(Sort_IDAC!D32,-1*INT(LOG10(Sort_IDAC!D32))+2)))</f>
        <v>1.4300000000000001E-16</v>
      </c>
      <c r="E32" s="6">
        <f>IF(Sort_IDAC!$B32="","",IF(Sort_IDAC!E32=0,0,ROUND(Sort_IDAC!E32,-1*INT(LOG10(Sort_IDAC!E32))+2)))</f>
        <v>2.9600000000000003E-17</v>
      </c>
      <c r="F32" s="6">
        <f>IF(Sort_IDAC!$B32="","",IF(Sort_IDAC!F32=0,0,ROUND(Sort_IDAC!F32,-1*INT(LOG10(Sort_IDAC!F32))+2)))</f>
        <v>2.8000000000000001E-15</v>
      </c>
      <c r="G32" s="6">
        <f>IF(Sort_IDAC!$B32="","",IF(Sort_IDAC!G32=0,0,ROUND(Sort_IDAC!G32,-1*INT(LOG10(Sort_IDAC!G32))+2)))</f>
        <v>5.3299999999999998E-19</v>
      </c>
      <c r="H32" s="6">
        <f>IF(Sort_IDAC!$B32="","",IF(Sort_IDAC!H32=0,0,ROUND(Sort_IDAC!H32,-1*INT(LOG10(Sort_IDAC!H32))+2)))</f>
        <v>2.4500000000000001E-17</v>
      </c>
      <c r="I32" s="6">
        <f>IF(Sort_IDAC!$B32="","",IF(Sort_IDAC!I32=0,0,ROUND(Sort_IDAC!I32,-1*INT(LOG10(Sort_IDAC!I32))+2)))</f>
        <v>1.71E-17</v>
      </c>
      <c r="J32" s="6">
        <f>IF(Sort_IDAC!$B32="","",IF(Sort_IDAC!J32=0,0,ROUND(Sort_IDAC!J32,-1*INT(LOG10(Sort_IDAC!J32))+2)))</f>
        <v>1.71E-17</v>
      </c>
      <c r="K32" s="6">
        <f>IF(Sort_IDAC!$B32="","",IF(Sort_IDAC!K32=0,0,ROUND(Sort_IDAC!K32,-1*INT(LOG10(Sort_IDAC!K32))+2)))</f>
        <v>1.71E-17</v>
      </c>
      <c r="L32" s="6">
        <f>IF(Sort_IDAC!$B32="","",IF(Sort_IDAC!L32=0,0,ROUND(Sort_IDAC!L32,-1*INT(LOG10(Sort_IDAC!L32))+2)))</f>
        <v>2.9600000000000003E-17</v>
      </c>
      <c r="M32" s="6">
        <f>IF(Sort_IDAC!$B32="","",IF(Sort_IDAC!M32=0,0,ROUND(Sort_IDAC!M32,-1*INT(LOG10(Sort_IDAC!M32))+2)))</f>
        <v>2.9600000000000003E-17</v>
      </c>
      <c r="N32" s="6">
        <f>IF(Sort_IDAC!$B32="","",IF(Sort_IDAC!N32=0,0,ROUND(Sort_IDAC!N32,-1*INT(LOG10(Sort_IDAC!N32))+2)))</f>
        <v>2.9600000000000003E-17</v>
      </c>
      <c r="O32" s="6">
        <f>IF(Sort_IDAC!$B32="","",IF(Sort_IDAC!O32=0,0,ROUND(Sort_IDAC!O32,-1*INT(LOG10(Sort_IDAC!O32))+2)))</f>
        <v>1.0499999999999999E-15</v>
      </c>
      <c r="P32" s="6">
        <f>IF(Sort_IDAC!$B32="","",IF(Sort_IDAC!P32=0,0,ROUND(Sort_IDAC!P32,-1*INT(LOG10(Sort_IDAC!P32))+2)))</f>
        <v>2.7799999999999998E-16</v>
      </c>
      <c r="Q32" s="6">
        <f>IF(Sort_IDAC!$B32="","",IF(Sort_IDAC!Q32=0,0,ROUND(Sort_IDAC!Q32,-1*INT(LOG10(Sort_IDAC!Q32))+2)))</f>
        <v>7.89E-16</v>
      </c>
      <c r="R32" s="6">
        <f>IF(Sort_IDAC!$B32="","",IF(Sort_IDAC!R32=0,0,ROUND(Sort_IDAC!R32,-1*INT(LOG10(Sort_IDAC!R32))+2)))</f>
        <v>7.89E-16</v>
      </c>
      <c r="S32" s="6">
        <f>IF(Sort_IDAC!$B32="","",IF(Sort_IDAC!S32=0,0,ROUND(Sort_IDAC!S32,-1*INT(LOG10(Sort_IDAC!S32))+2)))</f>
        <v>5.0999999999999998E-18</v>
      </c>
      <c r="T32" s="6">
        <f>IF(Sort_IDAC!$B32="","",IF(Sort_IDAC!T32=0,0,ROUND(Sort_IDAC!T32,-1*INT(LOG10(Sort_IDAC!T32))+2)))</f>
        <v>2.9799999999999999E-18</v>
      </c>
      <c r="U32" s="6">
        <f>IF(Sort_IDAC!$B32="","",IF(Sort_IDAC!U32=0,0,ROUND(Sort_IDAC!U32,-1*INT(LOG10(Sort_IDAC!U32))+2)))</f>
        <v>2.9799999999999999E-18</v>
      </c>
      <c r="V32" s="6">
        <f>IF(Sort_IDAC!$B32="","",IF(Sort_IDAC!V32=0,0,ROUND(Sort_IDAC!V32,-1*INT(LOG10(Sort_IDAC!V32))+2)))</f>
        <v>2.9799999999999999E-18</v>
      </c>
      <c r="W32" s="6">
        <f>IF(Sort_IDAC!$B32="","",IF(Sort_IDAC!W32=0,0,ROUND(Sort_IDAC!W32,-1*INT(LOG10(Sort_IDAC!W32))+2)))</f>
        <v>2.9799999999999999E-18</v>
      </c>
      <c r="X32" s="6">
        <f>IF(Sort_IDAC!$B32="","",IF(Sort_IDAC!X32=0,0,ROUND(Sort_IDAC!X32,-1*INT(LOG10(Sort_IDAC!X32))+2)))</f>
        <v>2.9799999999999999E-18</v>
      </c>
      <c r="Y32" s="6">
        <f>IF(Sort_IDAC!$B32="","",IF(Sort_IDAC!Y32=0,0,ROUND(Sort_IDAC!Y32,-1*INT(LOG10(Sort_IDAC!Y32))+2)))</f>
        <v>3.7400000000000001E-18</v>
      </c>
      <c r="Z32" s="6">
        <f>IF(Sort_IDAC!$B32="","",IF(Sort_IDAC!Z32=0,0,ROUND(Sort_IDAC!Z32,-1*INT(LOG10(Sort_IDAC!Z32))+2)))</f>
        <v>1.6600000000000001E-16</v>
      </c>
      <c r="AA32" s="6">
        <f>IF(Sort_IDAC!$B32="","",IF(Sort_IDAC!AA32=0,0,ROUND(Sort_IDAC!AA32,-1*INT(LOG10(Sort_IDAC!AA32))+2)))</f>
        <v>1.61E-16</v>
      </c>
      <c r="AB32" s="6">
        <f>IF(Sort_IDAC!$B32="","",IF(Sort_IDAC!AB32=0,0,ROUND(Sort_IDAC!AB32,-1*INT(LOG10(Sort_IDAC!AB32))+2)))</f>
        <v>3.1100000000000002E-17</v>
      </c>
      <c r="AC32" s="6">
        <f>IF(Sort_IDAC!$B32="","",IF(Sort_IDAC!AC32=0,0,ROUND(Sort_IDAC!AC32,-1*INT(LOG10(Sort_IDAC!AC32))+2)))</f>
        <v>2.7E-16</v>
      </c>
      <c r="AD32" s="6">
        <f>IF(Sort_IDAC!$B32="","",IF(Sort_IDAC!AD32=0,0,ROUND(Sort_IDAC!AD32,-1*INT(LOG10(Sort_IDAC!AD32))+2)))</f>
        <v>1.2199999999999999E-15</v>
      </c>
      <c r="AE32" s="6">
        <f>IF(Sort_IDAC!$B32="","",IF(Sort_IDAC!AE32=0,0,ROUND(Sort_IDAC!AE32,-1*INT(LOG10(Sort_IDAC!AE32))+2)))</f>
        <v>1.32E-15</v>
      </c>
      <c r="AF32" s="6">
        <f>IF(Sort_IDAC!$B32="","",IF(Sort_IDAC!AF32=0,0,ROUND(Sort_IDAC!AF32,-1*INT(LOG10(Sort_IDAC!AF32))+2)))</f>
        <v>1.32E-15</v>
      </c>
      <c r="AG32" s="6">
        <f>IF(Sort_IDAC!$B32="","",IF(Sort_IDAC!AG32=0,0,ROUND(Sort_IDAC!AG32,-1*INT(LOG10(Sort_IDAC!AG32))+2)))</f>
        <v>1.14E-16</v>
      </c>
      <c r="AH32" s="6">
        <f>IF(Sort_IDAC!$B32="","",IF(Sort_IDAC!AH32=0,0,ROUND(Sort_IDAC!AH32,-1*INT(LOG10(Sort_IDAC!AH32))+2)))</f>
        <v>2.9199999999999999E-17</v>
      </c>
      <c r="AI32" s="6">
        <f>IF(Sort_IDAC!$B32="","",IF(Sort_IDAC!AI32=0,0,ROUND(Sort_IDAC!AI32,-1*INT(LOG10(Sort_IDAC!AI32))+2)))</f>
        <v>3.0000000000000001E-17</v>
      </c>
      <c r="AJ32" s="6">
        <f>IF(Sort_IDAC!$B32="","",IF(Sort_IDAC!AJ32=0,0,ROUND(Sort_IDAC!AJ32,-1*INT(LOG10(Sort_IDAC!AJ32))+2)))</f>
        <v>4.4200000000000004E-18</v>
      </c>
      <c r="AK32" s="6">
        <f>IF(Sort_IDAC!$B32="","",IF(Sort_IDAC!AK32=0,0,ROUND(Sort_IDAC!AK32,-1*INT(LOG10(Sort_IDAC!AK32))+2)))</f>
        <v>3.2100000000000001E-15</v>
      </c>
      <c r="AL32" s="6">
        <f>IF(Sort_IDAC!$B32="","",IF(Sort_IDAC!AL32=0,0,ROUND(Sort_IDAC!AL32,-1*INT(LOG10(Sort_IDAC!AL32))+2)))</f>
        <v>1.71E-17</v>
      </c>
      <c r="AM32" s="6">
        <f>IF(Sort_IDAC!$B32="","",IF(Sort_IDAC!AM32=0,0,ROUND(Sort_IDAC!AM32,-1*INT(LOG10(Sort_IDAC!AM32))+2)))</f>
        <v>1.19E-15</v>
      </c>
      <c r="AN32" s="6">
        <f>IF(Sort_IDAC!$B32="","",IF(Sort_IDAC!AN32=0,0,ROUND(Sort_IDAC!AN32,-1*INT(LOG10(Sort_IDAC!AN32))+2)))</f>
        <v>2.6199999999999999E-17</v>
      </c>
      <c r="AO32" s="6">
        <f>IF(Sort_IDAC!$B32="","",IF(Sort_IDAC!AO32=0,0,ROUND(Sort_IDAC!AO32,-1*INT(LOG10(Sort_IDAC!AO32))+2)))</f>
        <v>2.6199999999999999E-17</v>
      </c>
      <c r="AP32" s="6">
        <f>IF(Sort_IDAC!$B32="","",IF(Sort_IDAC!AP32=0,0,ROUND(Sort_IDAC!AP32,-1*INT(LOG10(Sort_IDAC!AP32))+2)))</f>
        <v>2.6199999999999999E-17</v>
      </c>
      <c r="AQ32" s="6">
        <f>IF(Sort_IDAC!$B32="","",IF(Sort_IDAC!AQ32=0,0,ROUND(Sort_IDAC!AQ32,-1*INT(LOG10(Sort_IDAC!AQ32))+2)))</f>
        <v>2.9500000000000001E-18</v>
      </c>
      <c r="AR32" s="6">
        <f>IF(Sort_IDAC!$B32="","",IF(Sort_IDAC!AR32=0,0,ROUND(Sort_IDAC!AR32,-1*INT(LOG10(Sort_IDAC!AR32))+2)))</f>
        <v>4.34E-18</v>
      </c>
      <c r="AS32" s="6">
        <f>IF(Sort_IDAC!$B32="","",IF(Sort_IDAC!AS32=0,0,ROUND(Sort_IDAC!AS32,-1*INT(LOG10(Sort_IDAC!AS32))+2)))</f>
        <v>3.4300000000000001E-12</v>
      </c>
      <c r="AT32" s="6">
        <f>IF(Sort_IDAC!$B32="","",IF(Sort_IDAC!AT32=0,0,ROUND(Sort_IDAC!AT32,-1*INT(LOG10(Sort_IDAC!AT32))+2)))</f>
        <v>2.5300000000000002E-16</v>
      </c>
      <c r="AU32" s="6">
        <f>IF(Sort_IDAC!$B32="","",IF(Sort_IDAC!AU32=0,0,ROUND(Sort_IDAC!AU32,-1*INT(LOG10(Sort_IDAC!AU32))+2)))</f>
        <v>1.4700000000000001E-18</v>
      </c>
      <c r="AV32" s="6">
        <f>IF(Sort_IDAC!$B32="","",IF(Sort_IDAC!AV32=0,0,ROUND(Sort_IDAC!AV32,-1*INT(LOG10(Sort_IDAC!AV32))+2)))</f>
        <v>0</v>
      </c>
      <c r="AW32" s="6">
        <f>IF(Sort_IDAC!$B32="","",IF(Sort_IDAC!AW32=0,0,ROUND(Sort_IDAC!AW32,-1*INT(LOG10(Sort_IDAC!AW32))+2)))</f>
        <v>1.5600000000000001E-14</v>
      </c>
      <c r="AX32" s="6">
        <f>IF(Sort_IDAC!$B32="","",IF(Sort_IDAC!AX32=0,0,ROUND(Sort_IDAC!AX32,-1*INT(LOG10(Sort_IDAC!AX32))+2)))</f>
        <v>2.49E-14</v>
      </c>
      <c r="AY32" s="6">
        <f>IF(Sort_IDAC!$B32="","",IF(Sort_IDAC!AY32=0,0,ROUND(Sort_IDAC!AY32,-1*INT(LOG10(Sort_IDAC!AY32))+2)))</f>
        <v>2.49E-14</v>
      </c>
      <c r="AZ32" s="6">
        <f>IF(Sort_IDAC!$B32="","",IF(Sort_IDAC!AZ32=0,0,ROUND(Sort_IDAC!AZ32,-1*INT(LOG10(Sort_IDAC!AZ32))+2)))</f>
        <v>1.8399999999999999E-15</v>
      </c>
      <c r="BA32" s="6">
        <f>IF(Sort_IDAC!$B32="","",IF(Sort_IDAC!BA32=0,0,ROUND(Sort_IDAC!BA32,-1*INT(LOG10(Sort_IDAC!BA32))+2)))</f>
        <v>2.9199999999999999E-17</v>
      </c>
      <c r="BB32" s="6">
        <f>IF(Sort_IDAC!$B32="","",IF(Sort_IDAC!BB32=0,0,ROUND(Sort_IDAC!BB32,-1*INT(LOG10(Sort_IDAC!BB32))+2)))</f>
        <v>1.18E-15</v>
      </c>
      <c r="BC32" s="6">
        <f>IF(Sort_IDAC!$B32="","",IF(Sort_IDAC!BC32=0,0,ROUND(Sort_IDAC!BC32,-1*INT(LOG10(Sort_IDAC!BC32))+2)))</f>
        <v>1.2199999999999999E-15</v>
      </c>
      <c r="BD32" s="6">
        <f>IF(Sort_IDAC!$B32="","",IF(Sort_IDAC!BD32=0,0,ROUND(Sort_IDAC!BD32,-1*INT(LOG10(Sort_IDAC!BD32))+2)))</f>
        <v>1.2199999999999999E-15</v>
      </c>
      <c r="BE32" s="6">
        <f>IF(Sort_IDAC!$B32="","",IF(Sort_IDAC!BE32=0,0,ROUND(Sort_IDAC!BE32,-1*INT(LOG10(Sort_IDAC!BE32))+2)))</f>
        <v>3.5299999999999997E-18</v>
      </c>
      <c r="BF32" s="6">
        <f>IF(Sort_IDAC!$B32="","",IF(Sort_IDAC!BF32=0,0,ROUND(Sort_IDAC!BF32,-1*INT(LOG10(Sort_IDAC!BF32))+2)))</f>
        <v>3.6599999999999998E-16</v>
      </c>
      <c r="BG32" s="6">
        <f>IF(Sort_IDAC!$B32="","",IF(Sort_IDAC!BG32=0,0,ROUND(Sort_IDAC!BG32,-1*INT(LOG10(Sort_IDAC!BG32))+2)))</f>
        <v>4.5999999999999998E-15</v>
      </c>
      <c r="BH32" s="6">
        <f>IF(Sort_IDAC!$B32="","",IF(Sort_IDAC!BH32=0,0,ROUND(Sort_IDAC!BH32,-1*INT(LOG10(Sort_IDAC!BH32))+2)))</f>
        <v>4.5200000000000001E-15</v>
      </c>
      <c r="BI32" s="6">
        <f>IF(Sort_IDAC!$B32="","",IF(Sort_IDAC!BI32=0,0,ROUND(Sort_IDAC!BI32,-1*INT(LOG10(Sort_IDAC!BI32))+2)))</f>
        <v>4.5200000000000001E-15</v>
      </c>
      <c r="BJ32" s="6">
        <f>IF(Sort_IDAC!$B32="","",IF(Sort_IDAC!BJ32=0,0,ROUND(Sort_IDAC!BJ32,-1*INT(LOG10(Sort_IDAC!BJ32))+2)))</f>
        <v>4.5200000000000001E-15</v>
      </c>
      <c r="BK32" s="6">
        <f>IF(Sort_IDAC!$B32="","",IF(Sort_IDAC!BK32=0,0,ROUND(Sort_IDAC!BK32,-1*INT(LOG10(Sort_IDAC!BK32))+2)))</f>
        <v>9.2799999999999999E-17</v>
      </c>
      <c r="BL32" s="6">
        <f>IF(Sort_IDAC!$B32="","",IF(Sort_IDAC!BL32=0,0,ROUND(Sort_IDAC!BL32,-1*INT(LOG10(Sort_IDAC!BL32))+2)))</f>
        <v>1.2399999999999999E-16</v>
      </c>
      <c r="BM32" s="6">
        <f>IF(Sort_IDAC!$B32="","",IF(Sort_IDAC!BM32=0,0,ROUND(Sort_IDAC!BM32,-1*INT(LOG10(Sort_IDAC!BM32))+2)))</f>
        <v>1.47E-16</v>
      </c>
      <c r="BN32" s="6">
        <f>IF(Sort_IDAC!$B32="","",IF(Sort_IDAC!BN32=0,0,ROUND(Sort_IDAC!BN32,-1*INT(LOG10(Sort_IDAC!BN32))+2)))</f>
        <v>1.47E-16</v>
      </c>
      <c r="BO32" s="6">
        <f>IF(Sort_IDAC!$B32="","",IF(Sort_IDAC!BO32=0,0,ROUND(Sort_IDAC!BO32,-1*INT(LOG10(Sort_IDAC!BO32))+2)))</f>
        <v>4.6699999999999998E-18</v>
      </c>
      <c r="BP32" s="6">
        <f>IF(Sort_IDAC!$B32="","",IF(Sort_IDAC!BP32=0,0,ROUND(Sort_IDAC!BP32,-1*INT(LOG10(Sort_IDAC!BP32))+2)))</f>
        <v>4.6699999999999998E-18</v>
      </c>
      <c r="BQ32" s="6">
        <f>IF(Sort_IDAC!$B32="","",IF(Sort_IDAC!BQ32=0,0,ROUND(Sort_IDAC!BQ32,-1*INT(LOG10(Sort_IDAC!BQ32))+2)))</f>
        <v>0</v>
      </c>
      <c r="BR32" s="6">
        <f>IF(Sort_IDAC!$B32="","",IF(Sort_IDAC!BR32=0,0,ROUND(Sort_IDAC!BR32,-1*INT(LOG10(Sort_IDAC!BR32))+2)))</f>
        <v>1.31E-17</v>
      </c>
      <c r="BS32" s="6">
        <f>IF(Sort_IDAC!$B32="","",IF(Sort_IDAC!BS32=0,0,ROUND(Sort_IDAC!BS32,-1*INT(LOG10(Sort_IDAC!BS32))+2)))</f>
        <v>7.1899999999999995E-18</v>
      </c>
      <c r="BT32" s="6">
        <f>IF(Sort_IDAC!$B32="","",IF(Sort_IDAC!BT32=0,0,ROUND(Sort_IDAC!BT32,-1*INT(LOG10(Sort_IDAC!BT32))+2)))</f>
        <v>5.5499999999999997E-18</v>
      </c>
      <c r="BU32" s="6">
        <f>IF(Sort_IDAC!$B32="","",IF(Sort_IDAC!BU32=0,0,ROUND(Sort_IDAC!BU32,-1*INT(LOG10(Sort_IDAC!BU32))+2)))</f>
        <v>3.7899999999999999E-18</v>
      </c>
      <c r="BV32" s="6">
        <f>IF(Sort_IDAC!$B32="","",IF(Sort_IDAC!BV32=0,0,ROUND(Sort_IDAC!BV32,-1*INT(LOG10(Sort_IDAC!BV32))+2)))</f>
        <v>1.41E-15</v>
      </c>
      <c r="BW32" s="6">
        <f>IF(Sort_IDAC!$B32="","",IF(Sort_IDAC!BW32=0,0,ROUND(Sort_IDAC!BW32,-1*INT(LOG10(Sort_IDAC!BW32))+2)))</f>
        <v>9.1500000000000008E-16</v>
      </c>
      <c r="BX32" s="6">
        <f>IF(Sort_IDAC!$B32="","",IF(Sort_IDAC!BX32=0,0,ROUND(Sort_IDAC!BX32,-1*INT(LOG10(Sort_IDAC!BX32))+2)))</f>
        <v>9.1500000000000008E-16</v>
      </c>
      <c r="BY32" s="6">
        <f>IF(Sort_IDAC!$B32="","",IF(Sort_IDAC!BY32=0,0,ROUND(Sort_IDAC!BY32,-1*INT(LOG10(Sort_IDAC!BY32))+2)))</f>
        <v>3.6600000000000003E-15</v>
      </c>
      <c r="BZ32" s="6">
        <f>IF(Sort_IDAC!$B32="","",IF(Sort_IDAC!BZ32=0,0,ROUND(Sort_IDAC!BZ32,-1*INT(LOG10(Sort_IDAC!BZ32))+2)))</f>
        <v>1E-14</v>
      </c>
      <c r="CA32" s="6">
        <f>IF(Sort_IDAC!$B32="","",IF(Sort_IDAC!CA32=0,0,ROUND(Sort_IDAC!CA32,-1*INT(LOG10(Sort_IDAC!CA32))+2)))</f>
        <v>1.21E-14</v>
      </c>
      <c r="CB32" s="6">
        <f>IF(Sort_IDAC!$B32="","",IF(Sort_IDAC!CB32=0,0,ROUND(Sort_IDAC!CB32,-1*INT(LOG10(Sort_IDAC!CB32))+2)))</f>
        <v>4.08E-14</v>
      </c>
      <c r="CC32" s="6">
        <f>IF(Sort_IDAC!$B32="","",IF(Sort_IDAC!CC32=0,0,ROUND(Sort_IDAC!CC32,-1*INT(LOG10(Sort_IDAC!CC32))+2)))</f>
        <v>1.0600000000000001E-15</v>
      </c>
      <c r="CD32" s="6"/>
      <c r="CE32" s="6"/>
      <c r="CF32" s="6"/>
      <c r="CG32" s="6"/>
    </row>
    <row r="33" spans="2:85" x14ac:dyDescent="0.15">
      <c r="B33" s="5" t="s">
        <v>23</v>
      </c>
      <c r="C33" s="6">
        <f>IF(Sort_IDAC!$B33="","",IF(Sort_IDAC!C33=0,0,ROUND(Sort_IDAC!C33,-1*INT(LOG10(Sort_IDAC!C33))+2)))</f>
        <v>6.6400000000000004E-16</v>
      </c>
      <c r="D33" s="6">
        <f>IF(Sort_IDAC!$B33="","",IF(Sort_IDAC!D33=0,0,ROUND(Sort_IDAC!D33,-1*INT(LOG10(Sort_IDAC!D33))+2)))</f>
        <v>7.8299999999999998E-15</v>
      </c>
      <c r="E33" s="6">
        <f>IF(Sort_IDAC!$B33="","",IF(Sort_IDAC!E33=0,0,ROUND(Sort_IDAC!E33,-1*INT(LOG10(Sort_IDAC!E33))+2)))</f>
        <v>7.7399999999999996E-16</v>
      </c>
      <c r="F33" s="6">
        <f>IF(Sort_IDAC!$B33="","",IF(Sort_IDAC!F33=0,0,ROUND(Sort_IDAC!F33,-1*INT(LOG10(Sort_IDAC!F33))+2)))</f>
        <v>3.6000000000000001E-15</v>
      </c>
      <c r="G33" s="6">
        <f>IF(Sort_IDAC!$B33="","",IF(Sort_IDAC!G33=0,0,ROUND(Sort_IDAC!G33,-1*INT(LOG10(Sort_IDAC!G33))+2)))</f>
        <v>2.11E-17</v>
      </c>
      <c r="H33" s="6">
        <f>IF(Sort_IDAC!$B33="","",IF(Sort_IDAC!H33=0,0,ROUND(Sort_IDAC!H33,-1*INT(LOG10(Sort_IDAC!H33))+2)))</f>
        <v>6.3599999999999998E-16</v>
      </c>
      <c r="I33" s="6">
        <f>IF(Sort_IDAC!$B33="","",IF(Sort_IDAC!I33=0,0,ROUND(Sort_IDAC!I33,-1*INT(LOG10(Sort_IDAC!I33))+2)))</f>
        <v>4.1100000000000002E-16</v>
      </c>
      <c r="J33" s="6">
        <f>IF(Sort_IDAC!$B33="","",IF(Sort_IDAC!J33=0,0,ROUND(Sort_IDAC!J33,-1*INT(LOG10(Sort_IDAC!J33))+2)))</f>
        <v>4.1100000000000002E-16</v>
      </c>
      <c r="K33" s="6">
        <f>IF(Sort_IDAC!$B33="","",IF(Sort_IDAC!K33=0,0,ROUND(Sort_IDAC!K33,-1*INT(LOG10(Sort_IDAC!K33))+2)))</f>
        <v>4.1100000000000002E-16</v>
      </c>
      <c r="L33" s="6">
        <f>IF(Sort_IDAC!$B33="","",IF(Sort_IDAC!L33=0,0,ROUND(Sort_IDAC!L33,-1*INT(LOG10(Sort_IDAC!L33))+2)))</f>
        <v>7.7399999999999996E-16</v>
      </c>
      <c r="M33" s="6">
        <f>IF(Sort_IDAC!$B33="","",IF(Sort_IDAC!M33=0,0,ROUND(Sort_IDAC!M33,-1*INT(LOG10(Sort_IDAC!M33))+2)))</f>
        <v>7.7399999999999996E-16</v>
      </c>
      <c r="N33" s="6">
        <f>IF(Sort_IDAC!$B33="","",IF(Sort_IDAC!N33=0,0,ROUND(Sort_IDAC!N33,-1*INT(LOG10(Sort_IDAC!N33))+2)))</f>
        <v>7.7399999999999996E-16</v>
      </c>
      <c r="O33" s="6">
        <f>IF(Sort_IDAC!$B33="","",IF(Sort_IDAC!O33=0,0,ROUND(Sort_IDAC!O33,-1*INT(LOG10(Sort_IDAC!O33))+2)))</f>
        <v>1.08E-15</v>
      </c>
      <c r="P33" s="6">
        <f>IF(Sort_IDAC!$B33="","",IF(Sort_IDAC!P33=0,0,ROUND(Sort_IDAC!P33,-1*INT(LOG10(Sort_IDAC!P33))+2)))</f>
        <v>1.0500000000000001E-16</v>
      </c>
      <c r="Q33" s="6">
        <f>IF(Sort_IDAC!$B33="","",IF(Sort_IDAC!Q33=0,0,ROUND(Sort_IDAC!Q33,-1*INT(LOG10(Sort_IDAC!Q33))+2)))</f>
        <v>5.5699999999999998E-16</v>
      </c>
      <c r="R33" s="6">
        <f>IF(Sort_IDAC!$B33="","",IF(Sort_IDAC!R33=0,0,ROUND(Sort_IDAC!R33,-1*INT(LOG10(Sort_IDAC!R33))+2)))</f>
        <v>5.5699999999999998E-16</v>
      </c>
      <c r="S33" s="6">
        <f>IF(Sort_IDAC!$B33="","",IF(Sort_IDAC!S33=0,0,ROUND(Sort_IDAC!S33,-1*INT(LOG10(Sort_IDAC!S33))+2)))</f>
        <v>7.0300000000000003E-17</v>
      </c>
      <c r="T33" s="6">
        <f>IF(Sort_IDAC!$B33="","",IF(Sort_IDAC!T33=0,0,ROUND(Sort_IDAC!T33,-1*INT(LOG10(Sort_IDAC!T33))+2)))</f>
        <v>6.2599999999999997E-17</v>
      </c>
      <c r="U33" s="6">
        <f>IF(Sort_IDAC!$B33="","",IF(Sort_IDAC!U33=0,0,ROUND(Sort_IDAC!U33,-1*INT(LOG10(Sort_IDAC!U33))+2)))</f>
        <v>6.2599999999999997E-17</v>
      </c>
      <c r="V33" s="6">
        <f>IF(Sort_IDAC!$B33="","",IF(Sort_IDAC!V33=0,0,ROUND(Sort_IDAC!V33,-1*INT(LOG10(Sort_IDAC!V33))+2)))</f>
        <v>6.2599999999999997E-17</v>
      </c>
      <c r="W33" s="6">
        <f>IF(Sort_IDAC!$B33="","",IF(Sort_IDAC!W33=0,0,ROUND(Sort_IDAC!W33,-1*INT(LOG10(Sort_IDAC!W33))+2)))</f>
        <v>6.2599999999999997E-17</v>
      </c>
      <c r="X33" s="6">
        <f>IF(Sort_IDAC!$B33="","",IF(Sort_IDAC!X33=0,0,ROUND(Sort_IDAC!X33,-1*INT(LOG10(Sort_IDAC!X33))+2)))</f>
        <v>6.2599999999999997E-17</v>
      </c>
      <c r="Y33" s="6">
        <f>IF(Sort_IDAC!$B33="","",IF(Sort_IDAC!Y33=0,0,ROUND(Sort_IDAC!Y33,-1*INT(LOG10(Sort_IDAC!Y33))+2)))</f>
        <v>6.0300000000000001E-17</v>
      </c>
      <c r="Z33" s="6">
        <f>IF(Sort_IDAC!$B33="","",IF(Sort_IDAC!Z33=0,0,ROUND(Sort_IDAC!Z33,-1*INT(LOG10(Sort_IDAC!Z33))+2)))</f>
        <v>1.96E-14</v>
      </c>
      <c r="AA33" s="6">
        <f>IF(Sort_IDAC!$B33="","",IF(Sort_IDAC!AA33=0,0,ROUND(Sort_IDAC!AA33,-1*INT(LOG10(Sort_IDAC!AA33))+2)))</f>
        <v>1.8600000000000001E-14</v>
      </c>
      <c r="AB33" s="6">
        <f>IF(Sort_IDAC!$B33="","",IF(Sort_IDAC!AB33=0,0,ROUND(Sort_IDAC!AB33,-1*INT(LOG10(Sort_IDAC!AB33))+2)))</f>
        <v>1.2E-15</v>
      </c>
      <c r="AC33" s="6">
        <f>IF(Sort_IDAC!$B33="","",IF(Sort_IDAC!AC33=0,0,ROUND(Sort_IDAC!AC33,-1*INT(LOG10(Sort_IDAC!AC33))+2)))</f>
        <v>1E-14</v>
      </c>
      <c r="AD33" s="6">
        <f>IF(Sort_IDAC!$B33="","",IF(Sort_IDAC!AD33=0,0,ROUND(Sort_IDAC!AD33,-1*INT(LOG10(Sort_IDAC!AD33))+2)))</f>
        <v>1.7899999999999999E-15</v>
      </c>
      <c r="AE33" s="6">
        <f>IF(Sort_IDAC!$B33="","",IF(Sort_IDAC!AE33=0,0,ROUND(Sort_IDAC!AE33,-1*INT(LOG10(Sort_IDAC!AE33))+2)))</f>
        <v>1.7299999999999999E-15</v>
      </c>
      <c r="AF33" s="6">
        <f>IF(Sort_IDAC!$B33="","",IF(Sort_IDAC!AF33=0,0,ROUND(Sort_IDAC!AF33,-1*INT(LOG10(Sort_IDAC!AF33))+2)))</f>
        <v>1.7299999999999999E-15</v>
      </c>
      <c r="AG33" s="6">
        <f>IF(Sort_IDAC!$B33="","",IF(Sort_IDAC!AG33=0,0,ROUND(Sort_IDAC!AG33,-1*INT(LOG10(Sort_IDAC!AG33))+2)))</f>
        <v>5.4600000000000004E-15</v>
      </c>
      <c r="AH33" s="6">
        <f>IF(Sort_IDAC!$B33="","",IF(Sort_IDAC!AH33=0,0,ROUND(Sort_IDAC!AH33,-1*INT(LOG10(Sort_IDAC!AH33))+2)))</f>
        <v>7.6199999999999996E-16</v>
      </c>
      <c r="AI33" s="6">
        <f>IF(Sort_IDAC!$B33="","",IF(Sort_IDAC!AI33=0,0,ROUND(Sort_IDAC!AI33,-1*INT(LOG10(Sort_IDAC!AI33))+2)))</f>
        <v>7.7800000000000002E-16</v>
      </c>
      <c r="AJ33" s="6">
        <f>IF(Sort_IDAC!$B33="","",IF(Sort_IDAC!AJ33=0,0,ROUND(Sort_IDAC!AJ33,-1*INT(LOG10(Sort_IDAC!AJ33))+2)))</f>
        <v>8.5499999999999996E-17</v>
      </c>
      <c r="AK33" s="6">
        <f>IF(Sort_IDAC!$B33="","",IF(Sort_IDAC!AK33=0,0,ROUND(Sort_IDAC!AK33,-1*INT(LOG10(Sort_IDAC!AK33))+2)))</f>
        <v>4.6399999999999997E-15</v>
      </c>
      <c r="AL33" s="6">
        <f>IF(Sort_IDAC!$B33="","",IF(Sort_IDAC!AL33=0,0,ROUND(Sort_IDAC!AL33,-1*INT(LOG10(Sort_IDAC!AL33))+2)))</f>
        <v>3.58E-16</v>
      </c>
      <c r="AM33" s="6">
        <f>IF(Sort_IDAC!$B33="","",IF(Sort_IDAC!AM33=0,0,ROUND(Sort_IDAC!AM33,-1*INT(LOG10(Sort_IDAC!AM33))+2)))</f>
        <v>5.8799999999999999E-16</v>
      </c>
      <c r="AN33" s="6">
        <f>IF(Sort_IDAC!$B33="","",IF(Sort_IDAC!AN33=0,0,ROUND(Sort_IDAC!AN33,-1*INT(LOG10(Sort_IDAC!AN33))+2)))</f>
        <v>9.0000000000000003E-16</v>
      </c>
      <c r="AO33" s="6">
        <f>IF(Sort_IDAC!$B33="","",IF(Sort_IDAC!AO33=0,0,ROUND(Sort_IDAC!AO33,-1*INT(LOG10(Sort_IDAC!AO33))+2)))</f>
        <v>9.0000000000000003E-16</v>
      </c>
      <c r="AP33" s="6">
        <f>IF(Sort_IDAC!$B33="","",IF(Sort_IDAC!AP33=0,0,ROUND(Sort_IDAC!AP33,-1*INT(LOG10(Sort_IDAC!AP33))+2)))</f>
        <v>9.0000000000000003E-16</v>
      </c>
      <c r="AQ33" s="6">
        <f>IF(Sort_IDAC!$B33="","",IF(Sort_IDAC!AQ33=0,0,ROUND(Sort_IDAC!AQ33,-1*INT(LOG10(Sort_IDAC!AQ33))+2)))</f>
        <v>7.9799999999999998E-17</v>
      </c>
      <c r="AR33" s="6">
        <f>IF(Sort_IDAC!$B33="","",IF(Sort_IDAC!AR33=0,0,ROUND(Sort_IDAC!AR33,-1*INT(LOG10(Sort_IDAC!AR33))+2)))</f>
        <v>7.9799999999999998E-17</v>
      </c>
      <c r="AS33" s="6">
        <f>IF(Sort_IDAC!$B33="","",IF(Sort_IDAC!AS33=0,0,ROUND(Sort_IDAC!AS33,-1*INT(LOG10(Sort_IDAC!AS33))+2)))</f>
        <v>2.5000000000000002E-16</v>
      </c>
      <c r="AT33" s="6">
        <f>IF(Sort_IDAC!$B33="","",IF(Sort_IDAC!AT33=0,0,ROUND(Sort_IDAC!AT33,-1*INT(LOG10(Sort_IDAC!AT33))+2)))</f>
        <v>3.2600000000000002E-13</v>
      </c>
      <c r="AU33" s="6">
        <f>IF(Sort_IDAC!$B33="","",IF(Sort_IDAC!AU33=0,0,ROUND(Sort_IDAC!AU33,-1*INT(LOG10(Sort_IDAC!AU33))+2)))</f>
        <v>3.2799999999999998E-17</v>
      </c>
      <c r="AV33" s="6">
        <f>IF(Sort_IDAC!$B33="","",IF(Sort_IDAC!AV33=0,0,ROUND(Sort_IDAC!AV33,-1*INT(LOG10(Sort_IDAC!AV33))+2)))</f>
        <v>0</v>
      </c>
      <c r="AW33" s="6">
        <f>IF(Sort_IDAC!$B33="","",IF(Sort_IDAC!AW33=0,0,ROUND(Sort_IDAC!AW33,-1*INT(LOG10(Sort_IDAC!AW33))+2)))</f>
        <v>3.2399999999999999E-16</v>
      </c>
      <c r="AX33" s="6">
        <f>IF(Sort_IDAC!$B33="","",IF(Sort_IDAC!AX33=0,0,ROUND(Sort_IDAC!AX33,-1*INT(LOG10(Sort_IDAC!AX33))+2)))</f>
        <v>2.73E-16</v>
      </c>
      <c r="AY33" s="6">
        <f>IF(Sort_IDAC!$B33="","",IF(Sort_IDAC!AY33=0,0,ROUND(Sort_IDAC!AY33,-1*INT(LOG10(Sort_IDAC!AY33))+2)))</f>
        <v>2.73E-16</v>
      </c>
      <c r="AZ33" s="6">
        <f>IF(Sort_IDAC!$B33="","",IF(Sort_IDAC!AZ33=0,0,ROUND(Sort_IDAC!AZ33,-1*INT(LOG10(Sort_IDAC!AZ33))+2)))</f>
        <v>1.6099999999999999E-15</v>
      </c>
      <c r="BA33" s="6">
        <f>IF(Sort_IDAC!$B33="","",IF(Sort_IDAC!BA33=0,0,ROUND(Sort_IDAC!BA33,-1*INT(LOG10(Sort_IDAC!BA33))+2)))</f>
        <v>7.6399999999999999E-16</v>
      </c>
      <c r="BB33" s="6">
        <f>IF(Sort_IDAC!$B33="","",IF(Sort_IDAC!BB33=0,0,ROUND(Sort_IDAC!BB33,-1*INT(LOG10(Sort_IDAC!BB33))+2)))</f>
        <v>3.0999999999999999E-15</v>
      </c>
      <c r="BC33" s="6">
        <f>IF(Sort_IDAC!$B33="","",IF(Sort_IDAC!BC33=0,0,ROUND(Sort_IDAC!BC33,-1*INT(LOG10(Sort_IDAC!BC33))+2)))</f>
        <v>3.3E-15</v>
      </c>
      <c r="BD33" s="6">
        <f>IF(Sort_IDAC!$B33="","",IF(Sort_IDAC!BD33=0,0,ROUND(Sort_IDAC!BD33,-1*INT(LOG10(Sort_IDAC!BD33))+2)))</f>
        <v>3.3E-15</v>
      </c>
      <c r="BE33" s="6">
        <f>IF(Sort_IDAC!$B33="","",IF(Sort_IDAC!BE33=0,0,ROUND(Sort_IDAC!BE33,-1*INT(LOG10(Sort_IDAC!BE33))+2)))</f>
        <v>6.0700000000000005E-17</v>
      </c>
      <c r="BF33" s="6">
        <f>IF(Sort_IDAC!$B33="","",IF(Sort_IDAC!BF33=0,0,ROUND(Sort_IDAC!BF33,-1*INT(LOG10(Sort_IDAC!BF33))+2)))</f>
        <v>3.5399999999999998E-16</v>
      </c>
      <c r="BG33" s="6">
        <f>IF(Sort_IDAC!$B33="","",IF(Sort_IDAC!BG33=0,0,ROUND(Sort_IDAC!BG33,-1*INT(LOG10(Sort_IDAC!BG33))+2)))</f>
        <v>1.0099999999999999E-14</v>
      </c>
      <c r="BH33" s="6">
        <f>IF(Sort_IDAC!$B33="","",IF(Sort_IDAC!BH33=0,0,ROUND(Sort_IDAC!BH33,-1*INT(LOG10(Sort_IDAC!BH33))+2)))</f>
        <v>7.5400000000000002E-15</v>
      </c>
      <c r="BI33" s="6">
        <f>IF(Sort_IDAC!$B33="","",IF(Sort_IDAC!BI33=0,0,ROUND(Sort_IDAC!BI33,-1*INT(LOG10(Sort_IDAC!BI33))+2)))</f>
        <v>7.5400000000000002E-15</v>
      </c>
      <c r="BJ33" s="6">
        <f>IF(Sort_IDAC!$B33="","",IF(Sort_IDAC!BJ33=0,0,ROUND(Sort_IDAC!BJ33,-1*INT(LOG10(Sort_IDAC!BJ33))+2)))</f>
        <v>7.5400000000000002E-15</v>
      </c>
      <c r="BK33" s="6">
        <f>IF(Sort_IDAC!$B33="","",IF(Sort_IDAC!BK33=0,0,ROUND(Sort_IDAC!BK33,-1*INT(LOG10(Sort_IDAC!BK33))+2)))</f>
        <v>3.0999999999999999E-15</v>
      </c>
      <c r="BL33" s="6">
        <f>IF(Sort_IDAC!$B33="","",IF(Sort_IDAC!BL33=0,0,ROUND(Sort_IDAC!BL33,-1*INT(LOG10(Sort_IDAC!BL33))+2)))</f>
        <v>9.6400000000000004E-15</v>
      </c>
      <c r="BM33" s="6">
        <f>IF(Sort_IDAC!$B33="","",IF(Sort_IDAC!BM33=0,0,ROUND(Sort_IDAC!BM33,-1*INT(LOG10(Sort_IDAC!BM33))+2)))</f>
        <v>1.4999999999999999E-14</v>
      </c>
      <c r="BN33" s="6">
        <f>IF(Sort_IDAC!$B33="","",IF(Sort_IDAC!BN33=0,0,ROUND(Sort_IDAC!BN33,-1*INT(LOG10(Sort_IDAC!BN33))+2)))</f>
        <v>1.4999999999999999E-14</v>
      </c>
      <c r="BO33" s="6">
        <f>IF(Sort_IDAC!$B33="","",IF(Sort_IDAC!BO33=0,0,ROUND(Sort_IDAC!BO33,-1*INT(LOG10(Sort_IDAC!BO33))+2)))</f>
        <v>7.9499999999999998E-17</v>
      </c>
      <c r="BP33" s="6">
        <f>IF(Sort_IDAC!$B33="","",IF(Sort_IDAC!BP33=0,0,ROUND(Sort_IDAC!BP33,-1*INT(LOG10(Sort_IDAC!BP33))+2)))</f>
        <v>7.9499999999999998E-17</v>
      </c>
      <c r="BQ33" s="6">
        <f>IF(Sort_IDAC!$B33="","",IF(Sort_IDAC!BQ33=0,0,ROUND(Sort_IDAC!BQ33,-1*INT(LOG10(Sort_IDAC!BQ33))+2)))</f>
        <v>0</v>
      </c>
      <c r="BR33" s="6">
        <f>IF(Sort_IDAC!$B33="","",IF(Sort_IDAC!BR33=0,0,ROUND(Sort_IDAC!BR33,-1*INT(LOG10(Sort_IDAC!BR33))+2)))</f>
        <v>2.9699999999999999E-16</v>
      </c>
      <c r="BS33" s="6">
        <f>IF(Sort_IDAC!$B33="","",IF(Sort_IDAC!BS33=0,0,ROUND(Sort_IDAC!BS33,-1*INT(LOG10(Sort_IDAC!BS33))+2)))</f>
        <v>1.4900000000000001E-16</v>
      </c>
      <c r="BT33" s="6">
        <f>IF(Sort_IDAC!$B33="","",IF(Sort_IDAC!BT33=0,0,ROUND(Sort_IDAC!BT33,-1*INT(LOG10(Sort_IDAC!BT33))+2)))</f>
        <v>8.0800000000000001E-17</v>
      </c>
      <c r="BU33" s="6">
        <f>IF(Sort_IDAC!$B33="","",IF(Sort_IDAC!BU33=0,0,ROUND(Sort_IDAC!BU33,-1*INT(LOG10(Sort_IDAC!BU33))+2)))</f>
        <v>6.1900000000000005E-17</v>
      </c>
      <c r="BV33" s="6">
        <f>IF(Sort_IDAC!$B33="","",IF(Sort_IDAC!BV33=0,0,ROUND(Sort_IDAC!BV33,-1*INT(LOG10(Sort_IDAC!BV33))+2)))</f>
        <v>8.8800000000000003E-16</v>
      </c>
      <c r="BW33" s="6">
        <f>IF(Sort_IDAC!$B33="","",IF(Sort_IDAC!BW33=0,0,ROUND(Sort_IDAC!BW33,-1*INT(LOG10(Sort_IDAC!BW33))+2)))</f>
        <v>8.7799999999999997E-16</v>
      </c>
      <c r="BX33" s="6">
        <f>IF(Sort_IDAC!$B33="","",IF(Sort_IDAC!BX33=0,0,ROUND(Sort_IDAC!BX33,-1*INT(LOG10(Sort_IDAC!BX33))+2)))</f>
        <v>8.7799999999999997E-16</v>
      </c>
      <c r="BY33" s="6">
        <f>IF(Sort_IDAC!$B33="","",IF(Sort_IDAC!BY33=0,0,ROUND(Sort_IDAC!BY33,-1*INT(LOG10(Sort_IDAC!BY33))+2)))</f>
        <v>7.5400000000000002E-15</v>
      </c>
      <c r="BZ33" s="6">
        <f>IF(Sort_IDAC!$B33="","",IF(Sort_IDAC!BZ33=0,0,ROUND(Sort_IDAC!BZ33,-1*INT(LOG10(Sort_IDAC!BZ33))+2)))</f>
        <v>2.9500000000000001E-16</v>
      </c>
      <c r="CA33" s="6">
        <f>IF(Sort_IDAC!$B33="","",IF(Sort_IDAC!CA33=0,0,ROUND(Sort_IDAC!CA33,-1*INT(LOG10(Sort_IDAC!CA33))+2)))</f>
        <v>2.7E-16</v>
      </c>
      <c r="CB33" s="6">
        <f>IF(Sort_IDAC!$B33="","",IF(Sort_IDAC!CB33=0,0,ROUND(Sort_IDAC!CB33,-1*INT(LOG10(Sort_IDAC!CB33))+2)))</f>
        <v>2.61E-16</v>
      </c>
      <c r="CC33" s="6">
        <f>IF(Sort_IDAC!$B33="","",IF(Sort_IDAC!CC33=0,0,ROUND(Sort_IDAC!CC33,-1*INT(LOG10(Sort_IDAC!CC33))+2)))</f>
        <v>4.1600000000000001E-16</v>
      </c>
      <c r="CD33" s="6"/>
      <c r="CE33" s="6"/>
      <c r="CF33" s="6"/>
      <c r="CG33" s="6"/>
    </row>
    <row r="34" spans="2:85" x14ac:dyDescent="0.15">
      <c r="B34" s="5" t="s">
        <v>24</v>
      </c>
      <c r="C34" s="6">
        <f>IF(Sort_IDAC!$B34="","",IF(Sort_IDAC!C34=0,0,ROUND(Sort_IDAC!C34,-1*INT(LOG10(Sort_IDAC!C34))+2)))</f>
        <v>2.9699999999999999E-16</v>
      </c>
      <c r="D34" s="6">
        <f>IF(Sort_IDAC!$B34="","",IF(Sort_IDAC!D34=0,0,ROUND(Sort_IDAC!D34,-1*INT(LOG10(Sort_IDAC!D34))+2)))</f>
        <v>4.8899999999999997E-17</v>
      </c>
      <c r="E34" s="6">
        <f>IF(Sort_IDAC!$B34="","",IF(Sort_IDAC!E34=0,0,ROUND(Sort_IDAC!E34,-1*INT(LOG10(Sort_IDAC!E34))+2)))</f>
        <v>2.2E-16</v>
      </c>
      <c r="F34" s="6">
        <f>IF(Sort_IDAC!$B34="","",IF(Sort_IDAC!F34=0,0,ROUND(Sort_IDAC!F34,-1*INT(LOG10(Sort_IDAC!F34))+2)))</f>
        <v>4.9499999999999996E-16</v>
      </c>
      <c r="G34" s="6">
        <f>IF(Sort_IDAC!$B34="","",IF(Sort_IDAC!G34=0,0,ROUND(Sort_IDAC!G34,-1*INT(LOG10(Sort_IDAC!G34))+2)))</f>
        <v>1.8799999999999999E-14</v>
      </c>
      <c r="H34" s="6">
        <f>IF(Sort_IDAC!$B34="","",IF(Sort_IDAC!H34=0,0,ROUND(Sort_IDAC!H34,-1*INT(LOG10(Sort_IDAC!H34))+2)))</f>
        <v>2.9500000000000001E-16</v>
      </c>
      <c r="I34" s="6">
        <f>IF(Sort_IDAC!$B34="","",IF(Sort_IDAC!I34=0,0,ROUND(Sort_IDAC!I34,-1*INT(LOG10(Sort_IDAC!I34))+2)))</f>
        <v>7.6399999999999999E-16</v>
      </c>
      <c r="J34" s="6">
        <f>IF(Sort_IDAC!$B34="","",IF(Sort_IDAC!J34=0,0,ROUND(Sort_IDAC!J34,-1*INT(LOG10(Sort_IDAC!J34))+2)))</f>
        <v>7.6399999999999999E-16</v>
      </c>
      <c r="K34" s="6">
        <f>IF(Sort_IDAC!$B34="","",IF(Sort_IDAC!K34=0,0,ROUND(Sort_IDAC!K34,-1*INT(LOG10(Sort_IDAC!K34))+2)))</f>
        <v>7.6399999999999999E-16</v>
      </c>
      <c r="L34" s="6">
        <f>IF(Sort_IDAC!$B34="","",IF(Sort_IDAC!L34=0,0,ROUND(Sort_IDAC!L34,-1*INT(LOG10(Sort_IDAC!L34))+2)))</f>
        <v>2.2E-16</v>
      </c>
      <c r="M34" s="6">
        <f>IF(Sort_IDAC!$B34="","",IF(Sort_IDAC!M34=0,0,ROUND(Sort_IDAC!M34,-1*INT(LOG10(Sort_IDAC!M34))+2)))</f>
        <v>2.2E-16</v>
      </c>
      <c r="N34" s="6">
        <f>IF(Sort_IDAC!$B34="","",IF(Sort_IDAC!N34=0,0,ROUND(Sort_IDAC!N34,-1*INT(LOG10(Sort_IDAC!N34))+2)))</f>
        <v>2.2E-16</v>
      </c>
      <c r="O34" s="6">
        <f>IF(Sort_IDAC!$B34="","",IF(Sort_IDAC!O34=0,0,ROUND(Sort_IDAC!O34,-1*INT(LOG10(Sort_IDAC!O34))+2)))</f>
        <v>9.2600000000000006E-16</v>
      </c>
      <c r="P34" s="6">
        <f>IF(Sort_IDAC!$B34="","",IF(Sort_IDAC!P34=0,0,ROUND(Sort_IDAC!P34,-1*INT(LOG10(Sort_IDAC!P34))+2)))</f>
        <v>1.6099999999999999E-17</v>
      </c>
      <c r="Q34" s="6">
        <f>IF(Sort_IDAC!$B34="","",IF(Sort_IDAC!Q34=0,0,ROUND(Sort_IDAC!Q34,-1*INT(LOG10(Sort_IDAC!Q34))+2)))</f>
        <v>2.8200000000000001E-15</v>
      </c>
      <c r="R34" s="6">
        <f>IF(Sort_IDAC!$B34="","",IF(Sort_IDAC!R34=0,0,ROUND(Sort_IDAC!R34,-1*INT(LOG10(Sort_IDAC!R34))+2)))</f>
        <v>2.8200000000000001E-15</v>
      </c>
      <c r="S34" s="6">
        <f>IF(Sort_IDAC!$B34="","",IF(Sort_IDAC!S34=0,0,ROUND(Sort_IDAC!S34,-1*INT(LOG10(Sort_IDAC!S34))+2)))</f>
        <v>5.1600000000000002E-15</v>
      </c>
      <c r="T34" s="6">
        <f>IF(Sort_IDAC!$B34="","",IF(Sort_IDAC!T34=0,0,ROUND(Sort_IDAC!T34,-1*INT(LOG10(Sort_IDAC!T34))+2)))</f>
        <v>1.9800000000000001E-14</v>
      </c>
      <c r="U34" s="6">
        <f>IF(Sort_IDAC!$B34="","",IF(Sort_IDAC!U34=0,0,ROUND(Sort_IDAC!U34,-1*INT(LOG10(Sort_IDAC!U34))+2)))</f>
        <v>1.9800000000000001E-14</v>
      </c>
      <c r="V34" s="6">
        <f>IF(Sort_IDAC!$B34="","",IF(Sort_IDAC!V34=0,0,ROUND(Sort_IDAC!V34,-1*INT(LOG10(Sort_IDAC!V34))+2)))</f>
        <v>1.9800000000000001E-14</v>
      </c>
      <c r="W34" s="6">
        <f>IF(Sort_IDAC!$B34="","",IF(Sort_IDAC!W34=0,0,ROUND(Sort_IDAC!W34,-1*INT(LOG10(Sort_IDAC!W34))+2)))</f>
        <v>1.9800000000000001E-14</v>
      </c>
      <c r="X34" s="6">
        <f>IF(Sort_IDAC!$B34="","",IF(Sort_IDAC!X34=0,0,ROUND(Sort_IDAC!X34,-1*INT(LOG10(Sort_IDAC!X34))+2)))</f>
        <v>1.9800000000000001E-14</v>
      </c>
      <c r="Y34" s="6">
        <f>IF(Sort_IDAC!$B34="","",IF(Sort_IDAC!Y34=0,0,ROUND(Sort_IDAC!Y34,-1*INT(LOG10(Sort_IDAC!Y34))+2)))</f>
        <v>5.17E-15</v>
      </c>
      <c r="Z34" s="6">
        <f>IF(Sort_IDAC!$B34="","",IF(Sort_IDAC!Z34=0,0,ROUND(Sort_IDAC!Z34,-1*INT(LOG10(Sort_IDAC!Z34))+2)))</f>
        <v>5.2999999999999998E-17</v>
      </c>
      <c r="AA34" s="6">
        <f>IF(Sort_IDAC!$B34="","",IF(Sort_IDAC!AA34=0,0,ROUND(Sort_IDAC!AA34,-1*INT(LOG10(Sort_IDAC!AA34))+2)))</f>
        <v>4.6900000000000002E-17</v>
      </c>
      <c r="AB34" s="6">
        <f>IF(Sort_IDAC!$B34="","",IF(Sort_IDAC!AB34=0,0,ROUND(Sort_IDAC!AB34,-1*INT(LOG10(Sort_IDAC!AB34))+2)))</f>
        <v>1.6300000000000001E-16</v>
      </c>
      <c r="AC34" s="6">
        <f>IF(Sort_IDAC!$B34="","",IF(Sort_IDAC!AC34=0,0,ROUND(Sort_IDAC!AC34,-1*INT(LOG10(Sort_IDAC!AC34))+2)))</f>
        <v>2.8599999999999999E-17</v>
      </c>
      <c r="AD34" s="6">
        <f>IF(Sort_IDAC!$B34="","",IF(Sort_IDAC!AD34=0,0,ROUND(Sort_IDAC!AD34,-1*INT(LOG10(Sort_IDAC!AD34))+2)))</f>
        <v>5.1099999999999998E-18</v>
      </c>
      <c r="AE34" s="6">
        <f>IF(Sort_IDAC!$B34="","",IF(Sort_IDAC!AE34=0,0,ROUND(Sort_IDAC!AE34,-1*INT(LOG10(Sort_IDAC!AE34))+2)))</f>
        <v>1.0600000000000001E-17</v>
      </c>
      <c r="AF34" s="6">
        <f>IF(Sort_IDAC!$B34="","",IF(Sort_IDAC!AF34=0,0,ROUND(Sort_IDAC!AF34,-1*INT(LOG10(Sort_IDAC!AF34))+2)))</f>
        <v>6.8800000000000004E-18</v>
      </c>
      <c r="AG34" s="6">
        <f>IF(Sort_IDAC!$B34="","",IF(Sort_IDAC!AG34=0,0,ROUND(Sort_IDAC!AG34,-1*INT(LOG10(Sort_IDAC!AG34))+2)))</f>
        <v>7.0399999999999995E-17</v>
      </c>
      <c r="AH34" s="6">
        <f>IF(Sort_IDAC!$B34="","",IF(Sort_IDAC!AH34=0,0,ROUND(Sort_IDAC!AH34,-1*INT(LOG10(Sort_IDAC!AH34))+2)))</f>
        <v>2.3800000000000002E-16</v>
      </c>
      <c r="AI34" s="6">
        <f>IF(Sort_IDAC!$B34="","",IF(Sort_IDAC!AI34=0,0,ROUND(Sort_IDAC!AI34,-1*INT(LOG10(Sort_IDAC!AI34))+2)))</f>
        <v>2.8699999999999998E-16</v>
      </c>
      <c r="AJ34" s="6">
        <f>IF(Sort_IDAC!$B34="","",IF(Sort_IDAC!AJ34=0,0,ROUND(Sort_IDAC!AJ34,-1*INT(LOG10(Sort_IDAC!AJ34))+2)))</f>
        <v>4.9900000000000002E-15</v>
      </c>
      <c r="AK34" s="6">
        <f>IF(Sort_IDAC!$B34="","",IF(Sort_IDAC!AK34=0,0,ROUND(Sort_IDAC!AK34,-1*INT(LOG10(Sort_IDAC!AK34))+2)))</f>
        <v>3.5999999999999998E-16</v>
      </c>
      <c r="AL34" s="6">
        <f>IF(Sort_IDAC!$B34="","",IF(Sort_IDAC!AL34=0,0,ROUND(Sort_IDAC!AL34,-1*INT(LOG10(Sort_IDAC!AL34))+2)))</f>
        <v>8.1199999999999998E-16</v>
      </c>
      <c r="AM34" s="6">
        <f>IF(Sort_IDAC!$B34="","",IF(Sort_IDAC!AM34=0,0,ROUND(Sort_IDAC!AM34,-1*INT(LOG10(Sort_IDAC!AM34))+2)))</f>
        <v>2.91E-16</v>
      </c>
      <c r="AN34" s="6">
        <f>IF(Sort_IDAC!$B34="","",IF(Sort_IDAC!AN34=0,0,ROUND(Sort_IDAC!AN34,-1*INT(LOG10(Sort_IDAC!AN34))+2)))</f>
        <v>6.31E-16</v>
      </c>
      <c r="AO34" s="6">
        <f>IF(Sort_IDAC!$B34="","",IF(Sort_IDAC!AO34=0,0,ROUND(Sort_IDAC!AO34,-1*INT(LOG10(Sort_IDAC!AO34))+2)))</f>
        <v>6.31E-16</v>
      </c>
      <c r="AP34" s="6">
        <f>IF(Sort_IDAC!$B34="","",IF(Sort_IDAC!AP34=0,0,ROUND(Sort_IDAC!AP34,-1*INT(LOG10(Sort_IDAC!AP34))+2)))</f>
        <v>6.31E-16</v>
      </c>
      <c r="AQ34" s="6">
        <f>IF(Sort_IDAC!$B34="","",IF(Sort_IDAC!AQ34=0,0,ROUND(Sort_IDAC!AQ34,-1*INT(LOG10(Sort_IDAC!AQ34))+2)))</f>
        <v>8.6200000000000004E-15</v>
      </c>
      <c r="AR34" s="6">
        <f>IF(Sort_IDAC!$B34="","",IF(Sort_IDAC!AR34=0,0,ROUND(Sort_IDAC!AR34,-1*INT(LOG10(Sort_IDAC!AR34))+2)))</f>
        <v>8.6200000000000004E-15</v>
      </c>
      <c r="AS34" s="6">
        <f>IF(Sort_IDAC!$B34="","",IF(Sort_IDAC!AS34=0,0,ROUND(Sort_IDAC!AS34,-1*INT(LOG10(Sort_IDAC!AS34))+2)))</f>
        <v>1.4700000000000001E-18</v>
      </c>
      <c r="AT34" s="6">
        <f>IF(Sort_IDAC!$B34="","",IF(Sort_IDAC!AT34=0,0,ROUND(Sort_IDAC!AT34,-1*INT(LOG10(Sort_IDAC!AT34))+2)))</f>
        <v>1.3200000000000001E-17</v>
      </c>
      <c r="AU34" s="6">
        <f>IF(Sort_IDAC!$B34="","",IF(Sort_IDAC!AU34=0,0,ROUND(Sort_IDAC!AU34,-1*INT(LOG10(Sort_IDAC!AU34))+2)))</f>
        <v>5.72E-11</v>
      </c>
      <c r="AV34" s="6">
        <f>IF(Sort_IDAC!$B34="","",IF(Sort_IDAC!AV34=0,0,ROUND(Sort_IDAC!AV34,-1*INT(LOG10(Sort_IDAC!AV34))+2)))</f>
        <v>0</v>
      </c>
      <c r="AW34" s="6">
        <f>IF(Sort_IDAC!$B34="","",IF(Sort_IDAC!AW34=0,0,ROUND(Sort_IDAC!AW34,-1*INT(LOG10(Sort_IDAC!AW34))+2)))</f>
        <v>0</v>
      </c>
      <c r="AX34" s="6">
        <f>IF(Sort_IDAC!$B34="","",IF(Sort_IDAC!AX34=0,0,ROUND(Sort_IDAC!AX34,-1*INT(LOG10(Sort_IDAC!AX34))+2)))</f>
        <v>0</v>
      </c>
      <c r="AY34" s="6">
        <f>IF(Sort_IDAC!$B34="","",IF(Sort_IDAC!AY34=0,0,ROUND(Sort_IDAC!AY34,-1*INT(LOG10(Sort_IDAC!AY34))+2)))</f>
        <v>1.9699999999999999E-18</v>
      </c>
      <c r="AZ34" s="6">
        <f>IF(Sort_IDAC!$B34="","",IF(Sort_IDAC!AZ34=0,0,ROUND(Sort_IDAC!AZ34,-1*INT(LOG10(Sort_IDAC!AZ34))+2)))</f>
        <v>1.42E-15</v>
      </c>
      <c r="BA34" s="6">
        <f>IF(Sort_IDAC!$B34="","",IF(Sort_IDAC!BA34=0,0,ROUND(Sort_IDAC!BA34,-1*INT(LOG10(Sort_IDAC!BA34))+2)))</f>
        <v>3.9699999999999999E-16</v>
      </c>
      <c r="BB34" s="6">
        <f>IF(Sort_IDAC!$B34="","",IF(Sort_IDAC!BB34=0,0,ROUND(Sort_IDAC!BB34,-1*INT(LOG10(Sort_IDAC!BB34))+2)))</f>
        <v>1.08E-17</v>
      </c>
      <c r="BC34" s="6">
        <f>IF(Sort_IDAC!$B34="","",IF(Sort_IDAC!BC34=0,0,ROUND(Sort_IDAC!BC34,-1*INT(LOG10(Sort_IDAC!BC34))+2)))</f>
        <v>5.8199999999999998E-18</v>
      </c>
      <c r="BD34" s="6">
        <f>IF(Sort_IDAC!$B34="","",IF(Sort_IDAC!BD34=0,0,ROUND(Sort_IDAC!BD34,-1*INT(LOG10(Sort_IDAC!BD34))+2)))</f>
        <v>9.5499999999999993E-18</v>
      </c>
      <c r="BE34" s="6">
        <f>IF(Sort_IDAC!$B34="","",IF(Sort_IDAC!BE34=0,0,ROUND(Sort_IDAC!BE34,-1*INT(LOG10(Sort_IDAC!BE34))+2)))</f>
        <v>8.0499999999999995E-15</v>
      </c>
      <c r="BF34" s="6">
        <f>IF(Sort_IDAC!$B34="","",IF(Sort_IDAC!BF34=0,0,ROUND(Sort_IDAC!BF34,-1*INT(LOG10(Sort_IDAC!BF34))+2)))</f>
        <v>3.8099999999999998E-16</v>
      </c>
      <c r="BG34" s="6">
        <f>IF(Sort_IDAC!$B34="","",IF(Sort_IDAC!BG34=0,0,ROUND(Sort_IDAC!BG34,-1*INT(LOG10(Sort_IDAC!BG34))+2)))</f>
        <v>8.7999999999999994E-18</v>
      </c>
      <c r="BH34" s="6">
        <f>IF(Sort_IDAC!$B34="","",IF(Sort_IDAC!BH34=0,0,ROUND(Sort_IDAC!BH34,-1*INT(LOG10(Sort_IDAC!BH34))+2)))</f>
        <v>1.0900000000000001E-17</v>
      </c>
      <c r="BI34" s="6">
        <f>IF(Sort_IDAC!$B34="","",IF(Sort_IDAC!BI34=0,0,ROUND(Sort_IDAC!BI34,-1*INT(LOG10(Sort_IDAC!BI34))+2)))</f>
        <v>1.0900000000000001E-17</v>
      </c>
      <c r="BJ34" s="6">
        <f>IF(Sort_IDAC!$B34="","",IF(Sort_IDAC!BJ34=0,0,ROUND(Sort_IDAC!BJ34,-1*INT(LOG10(Sort_IDAC!BJ34))+2)))</f>
        <v>1.0900000000000001E-17</v>
      </c>
      <c r="BK34" s="6">
        <f>IF(Sort_IDAC!$B34="","",IF(Sort_IDAC!BK34=0,0,ROUND(Sort_IDAC!BK34,-1*INT(LOG10(Sort_IDAC!BK34))+2)))</f>
        <v>6.1500000000000001E-17</v>
      </c>
      <c r="BL34" s="6">
        <f>IF(Sort_IDAC!$B34="","",IF(Sort_IDAC!BL34=0,0,ROUND(Sort_IDAC!BL34,-1*INT(LOG10(Sort_IDAC!BL34))+2)))</f>
        <v>4.6000000000000002E-17</v>
      </c>
      <c r="BM34" s="6">
        <f>IF(Sort_IDAC!$B34="","",IF(Sort_IDAC!BM34=0,0,ROUND(Sort_IDAC!BM34,-1*INT(LOG10(Sort_IDAC!BM34))+2)))</f>
        <v>3.42E-17</v>
      </c>
      <c r="BN34" s="6">
        <f>IF(Sort_IDAC!$B34="","",IF(Sort_IDAC!BN34=0,0,ROUND(Sort_IDAC!BN34,-1*INT(LOG10(Sort_IDAC!BN34))+2)))</f>
        <v>4.7299999999999999E-17</v>
      </c>
      <c r="BO34" s="6">
        <f>IF(Sort_IDAC!$B34="","",IF(Sort_IDAC!BO34=0,0,ROUND(Sort_IDAC!BO34,-1*INT(LOG10(Sort_IDAC!BO34))+2)))</f>
        <v>6.0599999999999999E-15</v>
      </c>
      <c r="BP34" s="6">
        <f>IF(Sort_IDAC!$B34="","",IF(Sort_IDAC!BP34=0,0,ROUND(Sort_IDAC!BP34,-1*INT(LOG10(Sort_IDAC!BP34))+2)))</f>
        <v>6.0599999999999999E-15</v>
      </c>
      <c r="BQ34" s="6">
        <f>IF(Sort_IDAC!$B34="","",IF(Sort_IDAC!BQ34=0,0,ROUND(Sort_IDAC!BQ34,-1*INT(LOG10(Sort_IDAC!BQ34))+2)))</f>
        <v>0</v>
      </c>
      <c r="BR34" s="6">
        <f>IF(Sort_IDAC!$B34="","",IF(Sort_IDAC!BR34=0,0,ROUND(Sort_IDAC!BR34,-1*INT(LOG10(Sort_IDAC!BR34))+2)))</f>
        <v>6.5399999999999998E-16</v>
      </c>
      <c r="BS34" s="6">
        <f>IF(Sort_IDAC!$B34="","",IF(Sort_IDAC!BS34=0,0,ROUND(Sort_IDAC!BS34,-1*INT(LOG10(Sort_IDAC!BS34))+2)))</f>
        <v>1.42E-15</v>
      </c>
      <c r="BT34" s="6">
        <f>IF(Sort_IDAC!$B34="","",IF(Sort_IDAC!BT34=0,0,ROUND(Sort_IDAC!BT34,-1*INT(LOG10(Sort_IDAC!BT34))+2)))</f>
        <v>8.7999999999999994E-15</v>
      </c>
      <c r="BU34" s="6">
        <f>IF(Sort_IDAC!$B34="","",IF(Sort_IDAC!BU34=0,0,ROUND(Sort_IDAC!BU34,-1*INT(LOG10(Sort_IDAC!BU34))+2)))</f>
        <v>1.41E-14</v>
      </c>
      <c r="BV34" s="6">
        <f>IF(Sort_IDAC!$B34="","",IF(Sort_IDAC!BV34=0,0,ROUND(Sort_IDAC!BV34,-1*INT(LOG10(Sort_IDAC!BV34))+2)))</f>
        <v>1.08E-15</v>
      </c>
      <c r="BW34" s="6">
        <f>IF(Sort_IDAC!$B34="","",IF(Sort_IDAC!BW34=0,0,ROUND(Sort_IDAC!BW34,-1*INT(LOG10(Sort_IDAC!BW34))+2)))</f>
        <v>2.9200000000000001E-15</v>
      </c>
      <c r="BX34" s="6">
        <f>IF(Sort_IDAC!$B34="","",IF(Sort_IDAC!BX34=0,0,ROUND(Sort_IDAC!BX34,-1*INT(LOG10(Sort_IDAC!BX34))+2)))</f>
        <v>2.9200000000000001E-15</v>
      </c>
      <c r="BY34" s="6">
        <f>IF(Sort_IDAC!$B34="","",IF(Sort_IDAC!BY34=0,0,ROUND(Sort_IDAC!BY34,-1*INT(LOG10(Sort_IDAC!BY34))+2)))</f>
        <v>9.0100000000000006E-18</v>
      </c>
      <c r="BZ34" s="6">
        <f>IF(Sort_IDAC!$B34="","",IF(Sort_IDAC!BZ34=0,0,ROUND(Sort_IDAC!BZ34,-1*INT(LOG10(Sort_IDAC!BZ34))+2)))</f>
        <v>0</v>
      </c>
      <c r="CA34" s="6">
        <f>IF(Sort_IDAC!$B34="","",IF(Sort_IDAC!CA34=0,0,ROUND(Sort_IDAC!CA34,-1*INT(LOG10(Sort_IDAC!CA34))+2)))</f>
        <v>1.89E-18</v>
      </c>
      <c r="CB34" s="6">
        <f>IF(Sort_IDAC!$B34="","",IF(Sort_IDAC!CB34=0,0,ROUND(Sort_IDAC!CB34,-1*INT(LOG10(Sort_IDAC!CB34))+2)))</f>
        <v>1.9200000000000002E-18</v>
      </c>
      <c r="CC34" s="6">
        <f>IF(Sort_IDAC!$B34="","",IF(Sort_IDAC!CC34=0,0,ROUND(Sort_IDAC!CC34,-1*INT(LOG10(Sort_IDAC!CC34))+2)))</f>
        <v>8.6300000000000002E-16</v>
      </c>
      <c r="CD34" s="6"/>
      <c r="CE34" s="6"/>
      <c r="CF34" s="6"/>
      <c r="CG34" s="6"/>
    </row>
    <row r="35" spans="2:85" x14ac:dyDescent="0.15">
      <c r="B35" s="5" t="s">
        <v>25</v>
      </c>
      <c r="C35" s="6">
        <f>IF(Sort_IDAC!$B35="","",IF(Sort_IDAC!C35=0,0,ROUND(Sort_IDAC!C35,-1*INT(LOG10(Sort_IDAC!C35))+2)))</f>
        <v>0</v>
      </c>
      <c r="D35" s="6">
        <f>IF(Sort_IDAC!$B35="","",IF(Sort_IDAC!D35=0,0,ROUND(Sort_IDAC!D35,-1*INT(LOG10(Sort_IDAC!D35))+2)))</f>
        <v>0</v>
      </c>
      <c r="E35" s="6">
        <f>IF(Sort_IDAC!$B35="","",IF(Sort_IDAC!E35=0,0,ROUND(Sort_IDAC!E35,-1*INT(LOG10(Sort_IDAC!E35))+2)))</f>
        <v>0</v>
      </c>
      <c r="F35" s="6">
        <f>IF(Sort_IDAC!$B35="","",IF(Sort_IDAC!F35=0,0,ROUND(Sort_IDAC!F35,-1*INT(LOG10(Sort_IDAC!F35))+2)))</f>
        <v>0</v>
      </c>
      <c r="G35" s="6">
        <f>IF(Sort_IDAC!$B35="","",IF(Sort_IDAC!G35=0,0,ROUND(Sort_IDAC!G35,-1*INT(LOG10(Sort_IDAC!G35))+2)))</f>
        <v>0</v>
      </c>
      <c r="H35" s="6">
        <f>IF(Sort_IDAC!$B35="","",IF(Sort_IDAC!H35=0,0,ROUND(Sort_IDAC!H35,-1*INT(LOG10(Sort_IDAC!H35))+2)))</f>
        <v>0</v>
      </c>
      <c r="I35" s="6">
        <f>IF(Sort_IDAC!$B35="","",IF(Sort_IDAC!I35=0,0,ROUND(Sort_IDAC!I35,-1*INT(LOG10(Sort_IDAC!I35))+2)))</f>
        <v>0</v>
      </c>
      <c r="J35" s="6">
        <f>IF(Sort_IDAC!$B35="","",IF(Sort_IDAC!J35=0,0,ROUND(Sort_IDAC!J35,-1*INT(LOG10(Sort_IDAC!J35))+2)))</f>
        <v>0</v>
      </c>
      <c r="K35" s="6">
        <f>IF(Sort_IDAC!$B35="","",IF(Sort_IDAC!K35=0,0,ROUND(Sort_IDAC!K35,-1*INT(LOG10(Sort_IDAC!K35))+2)))</f>
        <v>0</v>
      </c>
      <c r="L35" s="6">
        <f>IF(Sort_IDAC!$B35="","",IF(Sort_IDAC!L35=0,0,ROUND(Sort_IDAC!L35,-1*INT(LOG10(Sort_IDAC!L35))+2)))</f>
        <v>0</v>
      </c>
      <c r="M35" s="6">
        <f>IF(Sort_IDAC!$B35="","",IF(Sort_IDAC!M35=0,0,ROUND(Sort_IDAC!M35,-1*INT(LOG10(Sort_IDAC!M35))+2)))</f>
        <v>0</v>
      </c>
      <c r="N35" s="6">
        <f>IF(Sort_IDAC!$B35="","",IF(Sort_IDAC!N35=0,0,ROUND(Sort_IDAC!N35,-1*INT(LOG10(Sort_IDAC!N35))+2)))</f>
        <v>0</v>
      </c>
      <c r="O35" s="6">
        <f>IF(Sort_IDAC!$B35="","",IF(Sort_IDAC!O35=0,0,ROUND(Sort_IDAC!O35,-1*INT(LOG10(Sort_IDAC!O35))+2)))</f>
        <v>0</v>
      </c>
      <c r="P35" s="6">
        <f>IF(Sort_IDAC!$B35="","",IF(Sort_IDAC!P35=0,0,ROUND(Sort_IDAC!P35,-1*INT(LOG10(Sort_IDAC!P35))+2)))</f>
        <v>0</v>
      </c>
      <c r="Q35" s="6">
        <f>IF(Sort_IDAC!$B35="","",IF(Sort_IDAC!Q35=0,0,ROUND(Sort_IDAC!Q35,-1*INT(LOG10(Sort_IDAC!Q35))+2)))</f>
        <v>0</v>
      </c>
      <c r="R35" s="6">
        <f>IF(Sort_IDAC!$B35="","",IF(Sort_IDAC!R35=0,0,ROUND(Sort_IDAC!R35,-1*INT(LOG10(Sort_IDAC!R35))+2)))</f>
        <v>0</v>
      </c>
      <c r="S35" s="6">
        <f>IF(Sort_IDAC!$B35="","",IF(Sort_IDAC!S35=0,0,ROUND(Sort_IDAC!S35,-1*INT(LOG10(Sort_IDAC!S35))+2)))</f>
        <v>0</v>
      </c>
      <c r="T35" s="6">
        <f>IF(Sort_IDAC!$B35="","",IF(Sort_IDAC!T35=0,0,ROUND(Sort_IDAC!T35,-1*INT(LOG10(Sort_IDAC!T35))+2)))</f>
        <v>0</v>
      </c>
      <c r="U35" s="6">
        <f>IF(Sort_IDAC!$B35="","",IF(Sort_IDAC!U35=0,0,ROUND(Sort_IDAC!U35,-1*INT(LOG10(Sort_IDAC!U35))+2)))</f>
        <v>0</v>
      </c>
      <c r="V35" s="6">
        <f>IF(Sort_IDAC!$B35="","",IF(Sort_IDAC!V35=0,0,ROUND(Sort_IDAC!V35,-1*INT(LOG10(Sort_IDAC!V35))+2)))</f>
        <v>0</v>
      </c>
      <c r="W35" s="6">
        <f>IF(Sort_IDAC!$B35="","",IF(Sort_IDAC!W35=0,0,ROUND(Sort_IDAC!W35,-1*INT(LOG10(Sort_IDAC!W35))+2)))</f>
        <v>0</v>
      </c>
      <c r="X35" s="6">
        <f>IF(Sort_IDAC!$B35="","",IF(Sort_IDAC!X35=0,0,ROUND(Sort_IDAC!X35,-1*INT(LOG10(Sort_IDAC!X35))+2)))</f>
        <v>0</v>
      </c>
      <c r="Y35" s="6">
        <f>IF(Sort_IDAC!$B35="","",IF(Sort_IDAC!Y35=0,0,ROUND(Sort_IDAC!Y35,-1*INT(LOG10(Sort_IDAC!Y35))+2)))</f>
        <v>0</v>
      </c>
      <c r="Z35" s="6">
        <f>IF(Sort_IDAC!$B35="","",IF(Sort_IDAC!Z35=0,0,ROUND(Sort_IDAC!Z35,-1*INT(LOG10(Sort_IDAC!Z35))+2)))</f>
        <v>0</v>
      </c>
      <c r="AA35" s="6">
        <f>IF(Sort_IDAC!$B35="","",IF(Sort_IDAC!AA35=0,0,ROUND(Sort_IDAC!AA35,-1*INT(LOG10(Sort_IDAC!AA35))+2)))</f>
        <v>0</v>
      </c>
      <c r="AB35" s="6">
        <f>IF(Sort_IDAC!$B35="","",IF(Sort_IDAC!AB35=0,0,ROUND(Sort_IDAC!AB35,-1*INT(LOG10(Sort_IDAC!AB35))+2)))</f>
        <v>0</v>
      </c>
      <c r="AC35" s="6">
        <f>IF(Sort_IDAC!$B35="","",IF(Sort_IDAC!AC35=0,0,ROUND(Sort_IDAC!AC35,-1*INT(LOG10(Sort_IDAC!AC35))+2)))</f>
        <v>0</v>
      </c>
      <c r="AD35" s="6">
        <f>IF(Sort_IDAC!$B35="","",IF(Sort_IDAC!AD35=0,0,ROUND(Sort_IDAC!AD35,-1*INT(LOG10(Sort_IDAC!AD35))+2)))</f>
        <v>0</v>
      </c>
      <c r="AE35" s="6">
        <f>IF(Sort_IDAC!$B35="","",IF(Sort_IDAC!AE35=0,0,ROUND(Sort_IDAC!AE35,-1*INT(LOG10(Sort_IDAC!AE35))+2)))</f>
        <v>0</v>
      </c>
      <c r="AF35" s="6">
        <f>IF(Sort_IDAC!$B35="","",IF(Sort_IDAC!AF35=0,0,ROUND(Sort_IDAC!AF35,-1*INT(LOG10(Sort_IDAC!AF35))+2)))</f>
        <v>0</v>
      </c>
      <c r="AG35" s="6">
        <f>IF(Sort_IDAC!$B35="","",IF(Sort_IDAC!AG35=0,0,ROUND(Sort_IDAC!AG35,-1*INT(LOG10(Sort_IDAC!AG35))+2)))</f>
        <v>0</v>
      </c>
      <c r="AH35" s="6">
        <f>IF(Sort_IDAC!$B35="","",IF(Sort_IDAC!AH35=0,0,ROUND(Sort_IDAC!AH35,-1*INT(LOG10(Sort_IDAC!AH35))+2)))</f>
        <v>0</v>
      </c>
      <c r="AI35" s="6">
        <f>IF(Sort_IDAC!$B35="","",IF(Sort_IDAC!AI35=0,0,ROUND(Sort_IDAC!AI35,-1*INT(LOG10(Sort_IDAC!AI35))+2)))</f>
        <v>0</v>
      </c>
      <c r="AJ35" s="6">
        <f>IF(Sort_IDAC!$B35="","",IF(Sort_IDAC!AJ35=0,0,ROUND(Sort_IDAC!AJ35,-1*INT(LOG10(Sort_IDAC!AJ35))+2)))</f>
        <v>0</v>
      </c>
      <c r="AK35" s="6">
        <f>IF(Sort_IDAC!$B35="","",IF(Sort_IDAC!AK35=0,0,ROUND(Sort_IDAC!AK35,-1*INT(LOG10(Sort_IDAC!AK35))+2)))</f>
        <v>0</v>
      </c>
      <c r="AL35" s="6">
        <f>IF(Sort_IDAC!$B35="","",IF(Sort_IDAC!AL35=0,0,ROUND(Sort_IDAC!AL35,-1*INT(LOG10(Sort_IDAC!AL35))+2)))</f>
        <v>0</v>
      </c>
      <c r="AM35" s="6">
        <f>IF(Sort_IDAC!$B35="","",IF(Sort_IDAC!AM35=0,0,ROUND(Sort_IDAC!AM35,-1*INT(LOG10(Sort_IDAC!AM35))+2)))</f>
        <v>0</v>
      </c>
      <c r="AN35" s="6">
        <f>IF(Sort_IDAC!$B35="","",IF(Sort_IDAC!AN35=0,0,ROUND(Sort_IDAC!AN35,-1*INT(LOG10(Sort_IDAC!AN35))+2)))</f>
        <v>0</v>
      </c>
      <c r="AO35" s="6">
        <f>IF(Sort_IDAC!$B35="","",IF(Sort_IDAC!AO35=0,0,ROUND(Sort_IDAC!AO35,-1*INT(LOG10(Sort_IDAC!AO35))+2)))</f>
        <v>0</v>
      </c>
      <c r="AP35" s="6">
        <f>IF(Sort_IDAC!$B35="","",IF(Sort_IDAC!AP35=0,0,ROUND(Sort_IDAC!AP35,-1*INT(LOG10(Sort_IDAC!AP35))+2)))</f>
        <v>0</v>
      </c>
      <c r="AQ35" s="6">
        <f>IF(Sort_IDAC!$B35="","",IF(Sort_IDAC!AQ35=0,0,ROUND(Sort_IDAC!AQ35,-1*INT(LOG10(Sort_IDAC!AQ35))+2)))</f>
        <v>0</v>
      </c>
      <c r="AR35" s="6">
        <f>IF(Sort_IDAC!$B35="","",IF(Sort_IDAC!AR35=0,0,ROUND(Sort_IDAC!AR35,-1*INT(LOG10(Sort_IDAC!AR35))+2)))</f>
        <v>0</v>
      </c>
      <c r="AS35" s="6">
        <f>IF(Sort_IDAC!$B35="","",IF(Sort_IDAC!AS35=0,0,ROUND(Sort_IDAC!AS35,-1*INT(LOG10(Sort_IDAC!AS35))+2)))</f>
        <v>0</v>
      </c>
      <c r="AT35" s="6">
        <f>IF(Sort_IDAC!$B35="","",IF(Sort_IDAC!AT35=0,0,ROUND(Sort_IDAC!AT35,-1*INT(LOG10(Sort_IDAC!AT35))+2)))</f>
        <v>0</v>
      </c>
      <c r="AU35" s="6">
        <f>IF(Sort_IDAC!$B35="","",IF(Sort_IDAC!AU35=0,0,ROUND(Sort_IDAC!AU35,-1*INT(LOG10(Sort_IDAC!AU35))+2)))</f>
        <v>0</v>
      </c>
      <c r="AV35" s="6">
        <f>IF(Sort_IDAC!$B35="","",IF(Sort_IDAC!AV35=0,0,ROUND(Sort_IDAC!AV35,-1*INT(LOG10(Sort_IDAC!AV35))+2)))</f>
        <v>0</v>
      </c>
      <c r="AW35" s="6">
        <f>IF(Sort_IDAC!$B35="","",IF(Sort_IDAC!AW35=0,0,ROUND(Sort_IDAC!AW35,-1*INT(LOG10(Sort_IDAC!AW35))+2)))</f>
        <v>0</v>
      </c>
      <c r="AX35" s="6">
        <f>IF(Sort_IDAC!$B35="","",IF(Sort_IDAC!AX35=0,0,ROUND(Sort_IDAC!AX35,-1*INT(LOG10(Sort_IDAC!AX35))+2)))</f>
        <v>0</v>
      </c>
      <c r="AY35" s="6">
        <f>IF(Sort_IDAC!$B35="","",IF(Sort_IDAC!AY35=0,0,ROUND(Sort_IDAC!AY35,-1*INT(LOG10(Sort_IDAC!AY35))+2)))</f>
        <v>0</v>
      </c>
      <c r="AZ35" s="6">
        <f>IF(Sort_IDAC!$B35="","",IF(Sort_IDAC!AZ35=0,0,ROUND(Sort_IDAC!AZ35,-1*INT(LOG10(Sort_IDAC!AZ35))+2)))</f>
        <v>0</v>
      </c>
      <c r="BA35" s="6">
        <f>IF(Sort_IDAC!$B35="","",IF(Sort_IDAC!BA35=0,0,ROUND(Sort_IDAC!BA35,-1*INT(LOG10(Sort_IDAC!BA35))+2)))</f>
        <v>0</v>
      </c>
      <c r="BB35" s="6">
        <f>IF(Sort_IDAC!$B35="","",IF(Sort_IDAC!BB35=0,0,ROUND(Sort_IDAC!BB35,-1*INT(LOG10(Sort_IDAC!BB35))+2)))</f>
        <v>0</v>
      </c>
      <c r="BC35" s="6">
        <f>IF(Sort_IDAC!$B35="","",IF(Sort_IDAC!BC35=0,0,ROUND(Sort_IDAC!BC35,-1*INT(LOG10(Sort_IDAC!BC35))+2)))</f>
        <v>0</v>
      </c>
      <c r="BD35" s="6">
        <f>IF(Sort_IDAC!$B35="","",IF(Sort_IDAC!BD35=0,0,ROUND(Sort_IDAC!BD35,-1*INT(LOG10(Sort_IDAC!BD35))+2)))</f>
        <v>0</v>
      </c>
      <c r="BE35" s="6">
        <f>IF(Sort_IDAC!$B35="","",IF(Sort_IDAC!BE35=0,0,ROUND(Sort_IDAC!BE35,-1*INT(LOG10(Sort_IDAC!BE35))+2)))</f>
        <v>0</v>
      </c>
      <c r="BF35" s="6">
        <f>IF(Sort_IDAC!$B35="","",IF(Sort_IDAC!BF35=0,0,ROUND(Sort_IDAC!BF35,-1*INT(LOG10(Sort_IDAC!BF35))+2)))</f>
        <v>0</v>
      </c>
      <c r="BG35" s="6">
        <f>IF(Sort_IDAC!$B35="","",IF(Sort_IDAC!BG35=0,0,ROUND(Sort_IDAC!BG35,-1*INT(LOG10(Sort_IDAC!BG35))+2)))</f>
        <v>0</v>
      </c>
      <c r="BH35" s="6">
        <f>IF(Sort_IDAC!$B35="","",IF(Sort_IDAC!BH35=0,0,ROUND(Sort_IDAC!BH35,-1*INT(LOG10(Sort_IDAC!BH35))+2)))</f>
        <v>0</v>
      </c>
      <c r="BI35" s="6">
        <f>IF(Sort_IDAC!$B35="","",IF(Sort_IDAC!BI35=0,0,ROUND(Sort_IDAC!BI35,-1*INT(LOG10(Sort_IDAC!BI35))+2)))</f>
        <v>0</v>
      </c>
      <c r="BJ35" s="6">
        <f>IF(Sort_IDAC!$B35="","",IF(Sort_IDAC!BJ35=0,0,ROUND(Sort_IDAC!BJ35,-1*INT(LOG10(Sort_IDAC!BJ35))+2)))</f>
        <v>0</v>
      </c>
      <c r="BK35" s="6">
        <f>IF(Sort_IDAC!$B35="","",IF(Sort_IDAC!BK35=0,0,ROUND(Sort_IDAC!BK35,-1*INT(LOG10(Sort_IDAC!BK35))+2)))</f>
        <v>0</v>
      </c>
      <c r="BL35" s="6">
        <f>IF(Sort_IDAC!$B35="","",IF(Sort_IDAC!BL35=0,0,ROUND(Sort_IDAC!BL35,-1*INT(LOG10(Sort_IDAC!BL35))+2)))</f>
        <v>0</v>
      </c>
      <c r="BM35" s="6">
        <f>IF(Sort_IDAC!$B35="","",IF(Sort_IDAC!BM35=0,0,ROUND(Sort_IDAC!BM35,-1*INT(LOG10(Sort_IDAC!BM35))+2)))</f>
        <v>0</v>
      </c>
      <c r="BN35" s="6">
        <f>IF(Sort_IDAC!$B35="","",IF(Sort_IDAC!BN35=0,0,ROUND(Sort_IDAC!BN35,-1*INT(LOG10(Sort_IDAC!BN35))+2)))</f>
        <v>0</v>
      </c>
      <c r="BO35" s="6">
        <f>IF(Sort_IDAC!$B35="","",IF(Sort_IDAC!BO35=0,0,ROUND(Sort_IDAC!BO35,-1*INT(LOG10(Sort_IDAC!BO35))+2)))</f>
        <v>0</v>
      </c>
      <c r="BP35" s="6">
        <f>IF(Sort_IDAC!$B35="","",IF(Sort_IDAC!BP35=0,0,ROUND(Sort_IDAC!BP35,-1*INT(LOG10(Sort_IDAC!BP35))+2)))</f>
        <v>0</v>
      </c>
      <c r="BQ35" s="6">
        <f>IF(Sort_IDAC!$B35="","",IF(Sort_IDAC!BQ35=0,0,ROUND(Sort_IDAC!BQ35,-1*INT(LOG10(Sort_IDAC!BQ35))+2)))</f>
        <v>0</v>
      </c>
      <c r="BR35" s="6">
        <f>IF(Sort_IDAC!$B35="","",IF(Sort_IDAC!BR35=0,0,ROUND(Sort_IDAC!BR35,-1*INT(LOG10(Sort_IDAC!BR35))+2)))</f>
        <v>0</v>
      </c>
      <c r="BS35" s="6">
        <f>IF(Sort_IDAC!$B35="","",IF(Sort_IDAC!BS35=0,0,ROUND(Sort_IDAC!BS35,-1*INT(LOG10(Sort_IDAC!BS35))+2)))</f>
        <v>0</v>
      </c>
      <c r="BT35" s="6">
        <f>IF(Sort_IDAC!$B35="","",IF(Sort_IDAC!BT35=0,0,ROUND(Sort_IDAC!BT35,-1*INT(LOG10(Sort_IDAC!BT35))+2)))</f>
        <v>0</v>
      </c>
      <c r="BU35" s="6">
        <f>IF(Sort_IDAC!$B35="","",IF(Sort_IDAC!BU35=0,0,ROUND(Sort_IDAC!BU35,-1*INT(LOG10(Sort_IDAC!BU35))+2)))</f>
        <v>0</v>
      </c>
      <c r="BV35" s="6">
        <f>IF(Sort_IDAC!$B35="","",IF(Sort_IDAC!BV35=0,0,ROUND(Sort_IDAC!BV35,-1*INT(LOG10(Sort_IDAC!BV35))+2)))</f>
        <v>0</v>
      </c>
      <c r="BW35" s="6">
        <f>IF(Sort_IDAC!$B35="","",IF(Sort_IDAC!BW35=0,0,ROUND(Sort_IDAC!BW35,-1*INT(LOG10(Sort_IDAC!BW35))+2)))</f>
        <v>0</v>
      </c>
      <c r="BX35" s="6">
        <f>IF(Sort_IDAC!$B35="","",IF(Sort_IDAC!BX35=0,0,ROUND(Sort_IDAC!BX35,-1*INT(LOG10(Sort_IDAC!BX35))+2)))</f>
        <v>0</v>
      </c>
      <c r="BY35" s="6">
        <f>IF(Sort_IDAC!$B35="","",IF(Sort_IDAC!BY35=0,0,ROUND(Sort_IDAC!BY35,-1*INT(LOG10(Sort_IDAC!BY35))+2)))</f>
        <v>0</v>
      </c>
      <c r="BZ35" s="6">
        <f>IF(Sort_IDAC!$B35="","",IF(Sort_IDAC!BZ35=0,0,ROUND(Sort_IDAC!BZ35,-1*INT(LOG10(Sort_IDAC!BZ35))+2)))</f>
        <v>0</v>
      </c>
      <c r="CA35" s="6">
        <f>IF(Sort_IDAC!$B35="","",IF(Sort_IDAC!CA35=0,0,ROUND(Sort_IDAC!CA35,-1*INT(LOG10(Sort_IDAC!CA35))+2)))</f>
        <v>0</v>
      </c>
      <c r="CB35" s="6">
        <f>IF(Sort_IDAC!$B35="","",IF(Sort_IDAC!CB35=0,0,ROUND(Sort_IDAC!CB35,-1*INT(LOG10(Sort_IDAC!CB35))+2)))</f>
        <v>0</v>
      </c>
      <c r="CC35" s="6">
        <f>IF(Sort_IDAC!$B35="","",IF(Sort_IDAC!CC35=0,0,ROUND(Sort_IDAC!CC35,-1*INT(LOG10(Sort_IDAC!CC35))+2)))</f>
        <v>0</v>
      </c>
      <c r="CD35" s="6"/>
      <c r="CE35" s="6"/>
      <c r="CF35" s="6"/>
      <c r="CG35" s="6"/>
    </row>
    <row r="36" spans="2:85" x14ac:dyDescent="0.15">
      <c r="B36" s="5" t="s">
        <v>26</v>
      </c>
      <c r="C36" s="6">
        <f>IF(Sort_IDAC!$B36="","",IF(Sort_IDAC!C36=0,0,ROUND(Sort_IDAC!C36,-1*INT(LOG10(Sort_IDAC!C36))+2)))</f>
        <v>1.14E-15</v>
      </c>
      <c r="D36" s="6">
        <f>IF(Sort_IDAC!$B36="","",IF(Sort_IDAC!D36=0,0,ROUND(Sort_IDAC!D36,-1*INT(LOG10(Sort_IDAC!D36))+2)))</f>
        <v>1.67E-16</v>
      </c>
      <c r="E36" s="6">
        <f>IF(Sort_IDAC!$B36="","",IF(Sort_IDAC!E36=0,0,ROUND(Sort_IDAC!E36,-1*INT(LOG10(Sort_IDAC!E36))+2)))</f>
        <v>3.4299999999999998E-17</v>
      </c>
      <c r="F36" s="6">
        <f>IF(Sort_IDAC!$B36="","",IF(Sort_IDAC!F36=0,0,ROUND(Sort_IDAC!F36,-1*INT(LOG10(Sort_IDAC!F36))+2)))</f>
        <v>2.8099999999999999E-15</v>
      </c>
      <c r="G36" s="6">
        <f>IF(Sort_IDAC!$B36="","",IF(Sort_IDAC!G36=0,0,ROUND(Sort_IDAC!G36,-1*INT(LOG10(Sort_IDAC!G36))+2)))</f>
        <v>1.31E-18</v>
      </c>
      <c r="H36" s="6">
        <f>IF(Sort_IDAC!$B36="","",IF(Sort_IDAC!H36=0,0,ROUND(Sort_IDAC!H36,-1*INT(LOG10(Sort_IDAC!H36))+2)))</f>
        <v>2.5200000000000001E-17</v>
      </c>
      <c r="I36" s="6">
        <f>IF(Sort_IDAC!$B36="","",IF(Sort_IDAC!I36=0,0,ROUND(Sort_IDAC!I36,-1*INT(LOG10(Sort_IDAC!I36))+2)))</f>
        <v>1.9300000000000001E-17</v>
      </c>
      <c r="J36" s="6">
        <f>IF(Sort_IDAC!$B36="","",IF(Sort_IDAC!J36=0,0,ROUND(Sort_IDAC!J36,-1*INT(LOG10(Sort_IDAC!J36))+2)))</f>
        <v>1.9300000000000001E-17</v>
      </c>
      <c r="K36" s="6">
        <f>IF(Sort_IDAC!$B36="","",IF(Sort_IDAC!K36=0,0,ROUND(Sort_IDAC!K36,-1*INT(LOG10(Sort_IDAC!K36))+2)))</f>
        <v>1.9300000000000001E-17</v>
      </c>
      <c r="L36" s="6">
        <f>IF(Sort_IDAC!$B36="","",IF(Sort_IDAC!L36=0,0,ROUND(Sort_IDAC!L36,-1*INT(LOG10(Sort_IDAC!L36))+2)))</f>
        <v>3.4299999999999998E-17</v>
      </c>
      <c r="M36" s="6">
        <f>IF(Sort_IDAC!$B36="","",IF(Sort_IDAC!M36=0,0,ROUND(Sort_IDAC!M36,-1*INT(LOG10(Sort_IDAC!M36))+2)))</f>
        <v>3.4299999999999998E-17</v>
      </c>
      <c r="N36" s="6">
        <f>IF(Sort_IDAC!$B36="","",IF(Sort_IDAC!N36=0,0,ROUND(Sort_IDAC!N36,-1*INT(LOG10(Sort_IDAC!N36))+2)))</f>
        <v>3.4299999999999998E-17</v>
      </c>
      <c r="O36" s="6">
        <f>IF(Sort_IDAC!$B36="","",IF(Sort_IDAC!O36=0,0,ROUND(Sort_IDAC!O36,-1*INT(LOG10(Sort_IDAC!O36))+2)))</f>
        <v>9.5399999999999992E-16</v>
      </c>
      <c r="P36" s="6">
        <f>IF(Sort_IDAC!$B36="","",IF(Sort_IDAC!P36=0,0,ROUND(Sort_IDAC!P36,-1*INT(LOG10(Sort_IDAC!P36))+2)))</f>
        <v>2.46E-16</v>
      </c>
      <c r="Q36" s="6">
        <f>IF(Sort_IDAC!$B36="","",IF(Sort_IDAC!Q36=0,0,ROUND(Sort_IDAC!Q36,-1*INT(LOG10(Sort_IDAC!Q36))+2)))</f>
        <v>6.2000000000000002E-16</v>
      </c>
      <c r="R36" s="6">
        <f>IF(Sort_IDAC!$B36="","",IF(Sort_IDAC!R36=0,0,ROUND(Sort_IDAC!R36,-1*INT(LOG10(Sort_IDAC!R36))+2)))</f>
        <v>6.2000000000000002E-16</v>
      </c>
      <c r="S36" s="6">
        <f>IF(Sort_IDAC!$B36="","",IF(Sort_IDAC!S36=0,0,ROUND(Sort_IDAC!S36,-1*INT(LOG10(Sort_IDAC!S36))+2)))</f>
        <v>4.92E-18</v>
      </c>
      <c r="T36" s="6">
        <f>IF(Sort_IDAC!$B36="","",IF(Sort_IDAC!T36=0,0,ROUND(Sort_IDAC!T36,-1*INT(LOG10(Sort_IDAC!T36))+2)))</f>
        <v>3.5900000000000002E-18</v>
      </c>
      <c r="U36" s="6">
        <f>IF(Sort_IDAC!$B36="","",IF(Sort_IDAC!U36=0,0,ROUND(Sort_IDAC!U36,-1*INT(LOG10(Sort_IDAC!U36))+2)))</f>
        <v>3.5900000000000002E-18</v>
      </c>
      <c r="V36" s="6">
        <f>IF(Sort_IDAC!$B36="","",IF(Sort_IDAC!V36=0,0,ROUND(Sort_IDAC!V36,-1*INT(LOG10(Sort_IDAC!V36))+2)))</f>
        <v>3.5900000000000002E-18</v>
      </c>
      <c r="W36" s="6">
        <f>IF(Sort_IDAC!$B36="","",IF(Sort_IDAC!W36=0,0,ROUND(Sort_IDAC!W36,-1*INT(LOG10(Sort_IDAC!W36))+2)))</f>
        <v>3.5900000000000002E-18</v>
      </c>
      <c r="X36" s="6">
        <f>IF(Sort_IDAC!$B36="","",IF(Sort_IDAC!X36=0,0,ROUND(Sort_IDAC!X36,-1*INT(LOG10(Sort_IDAC!X36))+2)))</f>
        <v>3.5900000000000002E-18</v>
      </c>
      <c r="Y36" s="6">
        <f>IF(Sort_IDAC!$B36="","",IF(Sort_IDAC!Y36=0,0,ROUND(Sort_IDAC!Y36,-1*INT(LOG10(Sort_IDAC!Y36))+2)))</f>
        <v>4.3599999999999999E-18</v>
      </c>
      <c r="Z36" s="6">
        <f>IF(Sort_IDAC!$B36="","",IF(Sort_IDAC!Z36=0,0,ROUND(Sort_IDAC!Z36,-1*INT(LOG10(Sort_IDAC!Z36))+2)))</f>
        <v>1.7699999999999999E-16</v>
      </c>
      <c r="AA36" s="6">
        <f>IF(Sort_IDAC!$B36="","",IF(Sort_IDAC!AA36=0,0,ROUND(Sort_IDAC!AA36,-1*INT(LOG10(Sort_IDAC!AA36))+2)))</f>
        <v>1.7500000000000001E-16</v>
      </c>
      <c r="AB36" s="6">
        <f>IF(Sort_IDAC!$B36="","",IF(Sort_IDAC!AB36=0,0,ROUND(Sort_IDAC!AB36,-1*INT(LOG10(Sort_IDAC!AB36))+2)))</f>
        <v>3.9299999999999999E-17</v>
      </c>
      <c r="AC36" s="6">
        <f>IF(Sort_IDAC!$B36="","",IF(Sort_IDAC!AC36=0,0,ROUND(Sort_IDAC!AC36,-1*INT(LOG10(Sort_IDAC!AC36))+2)))</f>
        <v>3.0299999999999999E-16</v>
      </c>
      <c r="AD36" s="6">
        <f>IF(Sort_IDAC!$B36="","",IF(Sort_IDAC!AD36=0,0,ROUND(Sort_IDAC!AD36,-1*INT(LOG10(Sort_IDAC!AD36))+2)))</f>
        <v>1.8000000000000001E-15</v>
      </c>
      <c r="AE36" s="6">
        <f>IF(Sort_IDAC!$B36="","",IF(Sort_IDAC!AE36=0,0,ROUND(Sort_IDAC!AE36,-1*INT(LOG10(Sort_IDAC!AE36))+2)))</f>
        <v>2.2400000000000001E-15</v>
      </c>
      <c r="AF36" s="6">
        <f>IF(Sort_IDAC!$B36="","",IF(Sort_IDAC!AF36=0,0,ROUND(Sort_IDAC!AF36,-1*INT(LOG10(Sort_IDAC!AF36))+2)))</f>
        <v>2.2400000000000001E-15</v>
      </c>
      <c r="AG36" s="6">
        <f>IF(Sort_IDAC!$B36="","",IF(Sort_IDAC!AG36=0,0,ROUND(Sort_IDAC!AG36,-1*INT(LOG10(Sort_IDAC!AG36))+2)))</f>
        <v>1.2200000000000001E-16</v>
      </c>
      <c r="AH36" s="6">
        <f>IF(Sort_IDAC!$B36="","",IF(Sort_IDAC!AH36=0,0,ROUND(Sort_IDAC!AH36,-1*INT(LOG10(Sort_IDAC!AH36))+2)))</f>
        <v>3.3800000000000002E-17</v>
      </c>
      <c r="AI36" s="6">
        <f>IF(Sort_IDAC!$B36="","",IF(Sort_IDAC!AI36=0,0,ROUND(Sort_IDAC!AI36,-1*INT(LOG10(Sort_IDAC!AI36))+2)))</f>
        <v>3.4400000000000002E-17</v>
      </c>
      <c r="AJ36" s="6">
        <f>IF(Sort_IDAC!$B36="","",IF(Sort_IDAC!AJ36=0,0,ROUND(Sort_IDAC!AJ36,-1*INT(LOG10(Sort_IDAC!AJ36))+2)))</f>
        <v>3.9E-18</v>
      </c>
      <c r="AK36" s="6">
        <f>IF(Sort_IDAC!$B36="","",IF(Sort_IDAC!AK36=0,0,ROUND(Sort_IDAC!AK36,-1*INT(LOG10(Sort_IDAC!AK36))+2)))</f>
        <v>3.6600000000000003E-15</v>
      </c>
      <c r="AL36" s="6">
        <f>IF(Sort_IDAC!$B36="","",IF(Sort_IDAC!AL36=0,0,ROUND(Sort_IDAC!AL36,-1*INT(LOG10(Sort_IDAC!AL36))+2)))</f>
        <v>1.68E-17</v>
      </c>
      <c r="AM36" s="6">
        <f>IF(Sort_IDAC!$B36="","",IF(Sort_IDAC!AM36=0,0,ROUND(Sort_IDAC!AM36,-1*INT(LOG10(Sort_IDAC!AM36))+2)))</f>
        <v>1.09E-15</v>
      </c>
      <c r="AN36" s="6">
        <f>IF(Sort_IDAC!$B36="","",IF(Sort_IDAC!AN36=0,0,ROUND(Sort_IDAC!AN36,-1*INT(LOG10(Sort_IDAC!AN36))+2)))</f>
        <v>2.72E-17</v>
      </c>
      <c r="AO36" s="6">
        <f>IF(Sort_IDAC!$B36="","",IF(Sort_IDAC!AO36=0,0,ROUND(Sort_IDAC!AO36,-1*INT(LOG10(Sort_IDAC!AO36))+2)))</f>
        <v>2.72E-17</v>
      </c>
      <c r="AP36" s="6">
        <f>IF(Sort_IDAC!$B36="","",IF(Sort_IDAC!AP36=0,0,ROUND(Sort_IDAC!AP36,-1*INT(LOG10(Sort_IDAC!AP36))+2)))</f>
        <v>2.72E-17</v>
      </c>
      <c r="AQ36" s="6">
        <f>IF(Sort_IDAC!$B36="","",IF(Sort_IDAC!AQ36=0,0,ROUND(Sort_IDAC!AQ36,-1*INT(LOG10(Sort_IDAC!AQ36))+2)))</f>
        <v>4.7200000000000003E-18</v>
      </c>
      <c r="AR36" s="6">
        <f>IF(Sort_IDAC!$B36="","",IF(Sort_IDAC!AR36=0,0,ROUND(Sort_IDAC!AR36,-1*INT(LOG10(Sort_IDAC!AR36))+2)))</f>
        <v>4.7200000000000003E-18</v>
      </c>
      <c r="AS36" s="6">
        <f>IF(Sort_IDAC!$B36="","",IF(Sort_IDAC!AS36=0,0,ROUND(Sort_IDAC!AS36,-1*INT(LOG10(Sort_IDAC!AS36))+2)))</f>
        <v>2.49E-14</v>
      </c>
      <c r="AT36" s="6">
        <f>IF(Sort_IDAC!$B36="","",IF(Sort_IDAC!AT36=0,0,ROUND(Sort_IDAC!AT36,-1*INT(LOG10(Sort_IDAC!AT36))+2)))</f>
        <v>2.7400000000000001E-16</v>
      </c>
      <c r="AU36" s="6">
        <f>IF(Sort_IDAC!$B36="","",IF(Sort_IDAC!AU36=0,0,ROUND(Sort_IDAC!AU36,-1*INT(LOG10(Sort_IDAC!AU36))+2)))</f>
        <v>1.9699999999999999E-18</v>
      </c>
      <c r="AV36" s="6">
        <f>IF(Sort_IDAC!$B36="","",IF(Sort_IDAC!AV36=0,0,ROUND(Sort_IDAC!AV36,-1*INT(LOG10(Sort_IDAC!AV36))+2)))</f>
        <v>0</v>
      </c>
      <c r="AW36" s="6">
        <f>IF(Sort_IDAC!$B36="","",IF(Sort_IDAC!AW36=0,0,ROUND(Sort_IDAC!AW36,-1*INT(LOG10(Sort_IDAC!AW36))+2)))</f>
        <v>5.8199999999999994E-14</v>
      </c>
      <c r="AX36" s="6">
        <f>IF(Sort_IDAC!$B36="","",IF(Sort_IDAC!AX36=0,0,ROUND(Sort_IDAC!AX36,-1*INT(LOG10(Sort_IDAC!AX36))+2)))</f>
        <v>1.52E-12</v>
      </c>
      <c r="AY36" s="6">
        <f>IF(Sort_IDAC!$B36="","",IF(Sort_IDAC!AY36=0,0,ROUND(Sort_IDAC!AY36,-1*INT(LOG10(Sort_IDAC!AY36))+2)))</f>
        <v>4.4099999999999999E-13</v>
      </c>
      <c r="AZ36" s="6">
        <f>IF(Sort_IDAC!$B36="","",IF(Sort_IDAC!AZ36=0,0,ROUND(Sort_IDAC!AZ36,-1*INT(LOG10(Sort_IDAC!AZ36))+2)))</f>
        <v>1.75E-15</v>
      </c>
      <c r="BA36" s="6">
        <f>IF(Sort_IDAC!$B36="","",IF(Sort_IDAC!BA36=0,0,ROUND(Sort_IDAC!BA36,-1*INT(LOG10(Sort_IDAC!BA36))+2)))</f>
        <v>3.3800000000000002E-17</v>
      </c>
      <c r="BB36" s="6">
        <f>IF(Sort_IDAC!$B36="","",IF(Sort_IDAC!BB36=0,0,ROUND(Sort_IDAC!BB36,-1*INT(LOG10(Sort_IDAC!BB36))+2)))</f>
        <v>1.07E-15</v>
      </c>
      <c r="BC36" s="6">
        <f>IF(Sort_IDAC!$B36="","",IF(Sort_IDAC!BC36=0,0,ROUND(Sort_IDAC!BC36,-1*INT(LOG10(Sort_IDAC!BC36))+2)))</f>
        <v>1.09E-15</v>
      </c>
      <c r="BD36" s="6">
        <f>IF(Sort_IDAC!$B36="","",IF(Sort_IDAC!BD36=0,0,ROUND(Sort_IDAC!BD36,-1*INT(LOG10(Sort_IDAC!BD36))+2)))</f>
        <v>1.09E-15</v>
      </c>
      <c r="BE36" s="6">
        <f>IF(Sort_IDAC!$B36="","",IF(Sort_IDAC!BE36=0,0,ROUND(Sort_IDAC!BE36,-1*INT(LOG10(Sort_IDAC!BE36))+2)))</f>
        <v>3.6899999999999996E-18</v>
      </c>
      <c r="BF36" s="6">
        <f>IF(Sort_IDAC!$B36="","",IF(Sort_IDAC!BF36=0,0,ROUND(Sort_IDAC!BF36,-1*INT(LOG10(Sort_IDAC!BF36))+2)))</f>
        <v>3.79E-16</v>
      </c>
      <c r="BG36" s="6">
        <f>IF(Sort_IDAC!$B36="","",IF(Sort_IDAC!BG36=0,0,ROUND(Sort_IDAC!BG36,-1*INT(LOG10(Sort_IDAC!BG36))+2)))</f>
        <v>4.9500000000000004E-15</v>
      </c>
      <c r="BH36" s="6">
        <f>IF(Sort_IDAC!$B36="","",IF(Sort_IDAC!BH36=0,0,ROUND(Sort_IDAC!BH36,-1*INT(LOG10(Sort_IDAC!BH36))+2)))</f>
        <v>4.3599999999999998E-15</v>
      </c>
      <c r="BI36" s="6">
        <f>IF(Sort_IDAC!$B36="","",IF(Sort_IDAC!BI36=0,0,ROUND(Sort_IDAC!BI36,-1*INT(LOG10(Sort_IDAC!BI36))+2)))</f>
        <v>4.3599999999999998E-15</v>
      </c>
      <c r="BJ36" s="6">
        <f>IF(Sort_IDAC!$B36="","",IF(Sort_IDAC!BJ36=0,0,ROUND(Sort_IDAC!BJ36,-1*INT(LOG10(Sort_IDAC!BJ36))+2)))</f>
        <v>4.3599999999999998E-15</v>
      </c>
      <c r="BK36" s="6">
        <f>IF(Sort_IDAC!$B36="","",IF(Sort_IDAC!BK36=0,0,ROUND(Sort_IDAC!BK36,-1*INT(LOG10(Sort_IDAC!BK36))+2)))</f>
        <v>1.08E-16</v>
      </c>
      <c r="BL36" s="6">
        <f>IF(Sort_IDAC!$B36="","",IF(Sort_IDAC!BL36=0,0,ROUND(Sort_IDAC!BL36,-1*INT(LOG10(Sort_IDAC!BL36))+2)))</f>
        <v>1.35E-16</v>
      </c>
      <c r="BM36" s="6">
        <f>IF(Sort_IDAC!$B36="","",IF(Sort_IDAC!BM36=0,0,ROUND(Sort_IDAC!BM36,-1*INT(LOG10(Sort_IDAC!BM36))+2)))</f>
        <v>1.7099999999999999E-16</v>
      </c>
      <c r="BN36" s="6">
        <f>IF(Sort_IDAC!$B36="","",IF(Sort_IDAC!BN36=0,0,ROUND(Sort_IDAC!BN36,-1*INT(LOG10(Sort_IDAC!BN36))+2)))</f>
        <v>1.7099999999999999E-16</v>
      </c>
      <c r="BO36" s="6">
        <f>IF(Sort_IDAC!$B36="","",IF(Sort_IDAC!BO36=0,0,ROUND(Sort_IDAC!BO36,-1*INT(LOG10(Sort_IDAC!BO36))+2)))</f>
        <v>4.9399999999999999E-18</v>
      </c>
      <c r="BP36" s="6">
        <f>IF(Sort_IDAC!$B36="","",IF(Sort_IDAC!BP36=0,0,ROUND(Sort_IDAC!BP36,-1*INT(LOG10(Sort_IDAC!BP36))+2)))</f>
        <v>4.9399999999999999E-18</v>
      </c>
      <c r="BQ36" s="6">
        <f>IF(Sort_IDAC!$B36="","",IF(Sort_IDAC!BQ36=0,0,ROUND(Sort_IDAC!BQ36,-1*INT(LOG10(Sort_IDAC!BQ36))+2)))</f>
        <v>0</v>
      </c>
      <c r="BR36" s="6">
        <f>IF(Sort_IDAC!$B36="","",IF(Sort_IDAC!BR36=0,0,ROUND(Sort_IDAC!BR36,-1*INT(LOG10(Sort_IDAC!BR36))+2)))</f>
        <v>1.3200000000000001E-17</v>
      </c>
      <c r="BS36" s="6">
        <f>IF(Sort_IDAC!$B36="","",IF(Sort_IDAC!BS36=0,0,ROUND(Sort_IDAC!BS36,-1*INT(LOG10(Sort_IDAC!BS36))+2)))</f>
        <v>7.4299999999999998E-18</v>
      </c>
      <c r="BT36" s="6">
        <f>IF(Sort_IDAC!$B36="","",IF(Sort_IDAC!BT36=0,0,ROUND(Sort_IDAC!BT36,-1*INT(LOG10(Sort_IDAC!BT36))+2)))</f>
        <v>3.8199999999999997E-18</v>
      </c>
      <c r="BU36" s="6">
        <f>IF(Sort_IDAC!$B36="","",IF(Sort_IDAC!BU36=0,0,ROUND(Sort_IDAC!BU36,-1*INT(LOG10(Sort_IDAC!BU36))+2)))</f>
        <v>3.4299999999999999E-18</v>
      </c>
      <c r="BV36" s="6">
        <f>IF(Sort_IDAC!$B36="","",IF(Sort_IDAC!BV36=0,0,ROUND(Sort_IDAC!BV36,-1*INT(LOG10(Sort_IDAC!BV36))+2)))</f>
        <v>1.26E-15</v>
      </c>
      <c r="BW36" s="6">
        <f>IF(Sort_IDAC!$B36="","",IF(Sort_IDAC!BW36=0,0,ROUND(Sort_IDAC!BW36,-1*INT(LOG10(Sort_IDAC!BW36))+2)))</f>
        <v>7.5699999999999997E-16</v>
      </c>
      <c r="BX36" s="6">
        <f>IF(Sort_IDAC!$B36="","",IF(Sort_IDAC!BX36=0,0,ROUND(Sort_IDAC!BX36,-1*INT(LOG10(Sort_IDAC!BX36))+2)))</f>
        <v>7.5699999999999997E-16</v>
      </c>
      <c r="BY36" s="6">
        <f>IF(Sort_IDAC!$B36="","",IF(Sort_IDAC!BY36=0,0,ROUND(Sort_IDAC!BY36,-1*INT(LOG10(Sort_IDAC!BY36))+2)))</f>
        <v>5.0200000000000003E-15</v>
      </c>
      <c r="BZ36" s="6">
        <f>IF(Sort_IDAC!$B36="","",IF(Sort_IDAC!BZ36=0,0,ROUND(Sort_IDAC!BZ36,-1*INT(LOG10(Sort_IDAC!BZ36))+2)))</f>
        <v>1.0499999999999999E-14</v>
      </c>
      <c r="CA36" s="6">
        <f>IF(Sort_IDAC!$B36="","",IF(Sort_IDAC!CA36=0,0,ROUND(Sort_IDAC!CA36,-1*INT(LOG10(Sort_IDAC!CA36))+2)))</f>
        <v>1.24E-14</v>
      </c>
      <c r="CB36" s="6">
        <f>IF(Sort_IDAC!$B36="","",IF(Sort_IDAC!CB36=0,0,ROUND(Sort_IDAC!CB36,-1*INT(LOG10(Sort_IDAC!CB36))+2)))</f>
        <v>3.02E-14</v>
      </c>
      <c r="CC36" s="6">
        <f>IF(Sort_IDAC!$B36="","",IF(Sort_IDAC!CC36=0,0,ROUND(Sort_IDAC!CC36,-1*INT(LOG10(Sort_IDAC!CC36))+2)))</f>
        <v>8.5999999999999997E-16</v>
      </c>
      <c r="CD36" s="6"/>
      <c r="CE36" s="6"/>
      <c r="CF36" s="6"/>
      <c r="CG36" s="6"/>
    </row>
    <row r="37" spans="2:85" x14ac:dyDescent="0.15">
      <c r="B37" s="5" t="s">
        <v>27</v>
      </c>
      <c r="C37" s="6">
        <f>IF(Sort_IDAC!$B37="","",IF(Sort_IDAC!C37=0,0,ROUND(Sort_IDAC!C37,-1*INT(LOG10(Sort_IDAC!C37))+2)))</f>
        <v>6.8100000000000002E-16</v>
      </c>
      <c r="D37" s="6">
        <f>IF(Sort_IDAC!$B37="","",IF(Sort_IDAC!D37=0,0,ROUND(Sort_IDAC!D37,-1*INT(LOG10(Sort_IDAC!D37))+2)))</f>
        <v>2.9999999999999998E-15</v>
      </c>
      <c r="E37" s="6">
        <f>IF(Sort_IDAC!$B37="","",IF(Sort_IDAC!E37=0,0,ROUND(Sort_IDAC!E37,-1*INT(LOG10(Sort_IDAC!E37))+2)))</f>
        <v>2.0700000000000001E-15</v>
      </c>
      <c r="F37" s="6">
        <f>IF(Sort_IDAC!$B37="","",IF(Sort_IDAC!F37=0,0,ROUND(Sort_IDAC!F37,-1*INT(LOG10(Sort_IDAC!F37))+2)))</f>
        <v>6.5399999999999998E-15</v>
      </c>
      <c r="G37" s="6">
        <f>IF(Sort_IDAC!$B37="","",IF(Sort_IDAC!G37=0,0,ROUND(Sort_IDAC!G37,-1*INT(LOG10(Sort_IDAC!G37))+2)))</f>
        <v>9.4800000000000002E-16</v>
      </c>
      <c r="H37" s="6">
        <f>IF(Sort_IDAC!$B37="","",IF(Sort_IDAC!H37=0,0,ROUND(Sort_IDAC!H37,-1*INT(LOG10(Sort_IDAC!H37))+2)))</f>
        <v>8.5899999999999996E-16</v>
      </c>
      <c r="I37" s="6">
        <f>IF(Sort_IDAC!$B37="","",IF(Sort_IDAC!I37=0,0,ROUND(Sort_IDAC!I37,-1*INT(LOG10(Sort_IDAC!I37))+2)))</f>
        <v>2.3199999999999998E-15</v>
      </c>
      <c r="J37" s="6">
        <f>IF(Sort_IDAC!$B37="","",IF(Sort_IDAC!J37=0,0,ROUND(Sort_IDAC!J37,-1*INT(LOG10(Sort_IDAC!J37))+2)))</f>
        <v>2.3199999999999998E-15</v>
      </c>
      <c r="K37" s="6">
        <f>IF(Sort_IDAC!$B37="","",IF(Sort_IDAC!K37=0,0,ROUND(Sort_IDAC!K37,-1*INT(LOG10(Sort_IDAC!K37))+2)))</f>
        <v>2.3199999999999998E-15</v>
      </c>
      <c r="L37" s="6">
        <f>IF(Sort_IDAC!$B37="","",IF(Sort_IDAC!L37=0,0,ROUND(Sort_IDAC!L37,-1*INT(LOG10(Sort_IDAC!L37))+2)))</f>
        <v>2.0700000000000001E-15</v>
      </c>
      <c r="M37" s="6">
        <f>IF(Sort_IDAC!$B37="","",IF(Sort_IDAC!M37=0,0,ROUND(Sort_IDAC!M37,-1*INT(LOG10(Sort_IDAC!M37))+2)))</f>
        <v>2.0700000000000001E-15</v>
      </c>
      <c r="N37" s="6">
        <f>IF(Sort_IDAC!$B37="","",IF(Sort_IDAC!N37=0,0,ROUND(Sort_IDAC!N37,-1*INT(LOG10(Sort_IDAC!N37))+2)))</f>
        <v>2.0700000000000001E-15</v>
      </c>
      <c r="O37" s="6">
        <f>IF(Sort_IDAC!$B37="","",IF(Sort_IDAC!O37=0,0,ROUND(Sort_IDAC!O37,-1*INT(LOG10(Sort_IDAC!O37))+2)))</f>
        <v>4.5599999999999999E-15</v>
      </c>
      <c r="P37" s="6">
        <f>IF(Sort_IDAC!$B37="","",IF(Sort_IDAC!P37=0,0,ROUND(Sort_IDAC!P37,-1*INT(LOG10(Sort_IDAC!P37))+2)))</f>
        <v>2.14E-16</v>
      </c>
      <c r="Q37" s="6">
        <f>IF(Sort_IDAC!$B37="","",IF(Sort_IDAC!Q37=0,0,ROUND(Sort_IDAC!Q37,-1*INT(LOG10(Sort_IDAC!Q37))+2)))</f>
        <v>2.3199999999999998E-15</v>
      </c>
      <c r="R37" s="6">
        <f>IF(Sort_IDAC!$B37="","",IF(Sort_IDAC!R37=0,0,ROUND(Sort_IDAC!R37,-1*INT(LOG10(Sort_IDAC!R37))+2)))</f>
        <v>1.9700000000000001E-15</v>
      </c>
      <c r="S37" s="6">
        <f>IF(Sort_IDAC!$B37="","",IF(Sort_IDAC!S37=0,0,ROUND(Sort_IDAC!S37,-1*INT(LOG10(Sort_IDAC!S37))+2)))</f>
        <v>6.2999999999999998E-16</v>
      </c>
      <c r="T37" s="6">
        <f>IF(Sort_IDAC!$B37="","",IF(Sort_IDAC!T37=0,0,ROUND(Sort_IDAC!T37,-1*INT(LOG10(Sort_IDAC!T37))+2)))</f>
        <v>1.7E-15</v>
      </c>
      <c r="U37" s="6">
        <f>IF(Sort_IDAC!$B37="","",IF(Sort_IDAC!U37=0,0,ROUND(Sort_IDAC!U37,-1*INT(LOG10(Sort_IDAC!U37))+2)))</f>
        <v>1.7E-15</v>
      </c>
      <c r="V37" s="6">
        <f>IF(Sort_IDAC!$B37="","",IF(Sort_IDAC!V37=0,0,ROUND(Sort_IDAC!V37,-1*INT(LOG10(Sort_IDAC!V37))+2)))</f>
        <v>1.7E-15</v>
      </c>
      <c r="W37" s="6">
        <f>IF(Sort_IDAC!$B37="","",IF(Sort_IDAC!W37=0,0,ROUND(Sort_IDAC!W37,-1*INT(LOG10(Sort_IDAC!W37))+2)))</f>
        <v>1.7E-15</v>
      </c>
      <c r="X37" s="6">
        <f>IF(Sort_IDAC!$B37="","",IF(Sort_IDAC!X37=0,0,ROUND(Sort_IDAC!X37,-1*INT(LOG10(Sort_IDAC!X37))+2)))</f>
        <v>1.7E-15</v>
      </c>
      <c r="Y37" s="6">
        <f>IF(Sort_IDAC!$B37="","",IF(Sort_IDAC!Y37=0,0,ROUND(Sort_IDAC!Y37,-1*INT(LOG10(Sort_IDAC!Y37))+2)))</f>
        <v>5.8099999999999997E-16</v>
      </c>
      <c r="Z37" s="6">
        <f>IF(Sort_IDAC!$B37="","",IF(Sort_IDAC!Z37=0,0,ROUND(Sort_IDAC!Z37,-1*INT(LOG10(Sort_IDAC!Z37))+2)))</f>
        <v>2.1200000000000001E-15</v>
      </c>
      <c r="AA37" s="6">
        <f>IF(Sort_IDAC!$B37="","",IF(Sort_IDAC!AA37=0,0,ROUND(Sort_IDAC!AA37,-1*INT(LOG10(Sort_IDAC!AA37))+2)))</f>
        <v>2.11E-15</v>
      </c>
      <c r="AB37" s="6">
        <f>IF(Sort_IDAC!$B37="","",IF(Sort_IDAC!AB37=0,0,ROUND(Sort_IDAC!AB37,-1*INT(LOG10(Sort_IDAC!AB37))+2)))</f>
        <v>1.8300000000000002E-15</v>
      </c>
      <c r="AC37" s="6">
        <f>IF(Sort_IDAC!$B37="","",IF(Sort_IDAC!AC37=0,0,ROUND(Sort_IDAC!AC37,-1*INT(LOG10(Sort_IDAC!AC37))+2)))</f>
        <v>1.71E-15</v>
      </c>
      <c r="AD37" s="6">
        <f>IF(Sort_IDAC!$B37="","",IF(Sort_IDAC!AD37=0,0,ROUND(Sort_IDAC!AD37,-1*INT(LOG10(Sort_IDAC!AD37))+2)))</f>
        <v>1.3799999999999999E-15</v>
      </c>
      <c r="AE37" s="6">
        <f>IF(Sort_IDAC!$B37="","",IF(Sort_IDAC!AE37=0,0,ROUND(Sort_IDAC!AE37,-1*INT(LOG10(Sort_IDAC!AE37))+2)))</f>
        <v>1.42E-15</v>
      </c>
      <c r="AF37" s="6">
        <f>IF(Sort_IDAC!$B37="","",IF(Sort_IDAC!AF37=0,0,ROUND(Sort_IDAC!AF37,-1*INT(LOG10(Sort_IDAC!AF37))+2)))</f>
        <v>1.42E-15</v>
      </c>
      <c r="AG37" s="6">
        <f>IF(Sort_IDAC!$B37="","",IF(Sort_IDAC!AG37=0,0,ROUND(Sort_IDAC!AG37,-1*INT(LOG10(Sort_IDAC!AG37))+2)))</f>
        <v>1.5499999999999999E-15</v>
      </c>
      <c r="AH37" s="6">
        <f>IF(Sort_IDAC!$B37="","",IF(Sort_IDAC!AH37=0,0,ROUND(Sort_IDAC!AH37,-1*INT(LOG10(Sort_IDAC!AH37))+2)))</f>
        <v>2.0700000000000001E-15</v>
      </c>
      <c r="AI37" s="6">
        <f>IF(Sort_IDAC!$B37="","",IF(Sort_IDAC!AI37=0,0,ROUND(Sort_IDAC!AI37,-1*INT(LOG10(Sort_IDAC!AI37))+2)))</f>
        <v>2.0500000000000002E-15</v>
      </c>
      <c r="AJ37" s="6">
        <f>IF(Sort_IDAC!$B37="","",IF(Sort_IDAC!AJ37=0,0,ROUND(Sort_IDAC!AJ37,-1*INT(LOG10(Sort_IDAC!AJ37))+2)))</f>
        <v>1.5100000000000001E-15</v>
      </c>
      <c r="AK37" s="6">
        <f>IF(Sort_IDAC!$B37="","",IF(Sort_IDAC!AK37=0,0,ROUND(Sort_IDAC!AK37,-1*INT(LOG10(Sort_IDAC!AK37))+2)))</f>
        <v>1.7299999999999999E-15</v>
      </c>
      <c r="AL37" s="6">
        <f>IF(Sort_IDAC!$B37="","",IF(Sort_IDAC!AL37=0,0,ROUND(Sort_IDAC!AL37,-1*INT(LOG10(Sort_IDAC!AL37))+2)))</f>
        <v>2.28E-15</v>
      </c>
      <c r="AM37" s="6">
        <f>IF(Sort_IDAC!$B37="","",IF(Sort_IDAC!AM37=0,0,ROUND(Sort_IDAC!AM37,-1*INT(LOG10(Sort_IDAC!AM37))+2)))</f>
        <v>9.649999999999999E-16</v>
      </c>
      <c r="AN37" s="6">
        <f>IF(Sort_IDAC!$B37="","",IF(Sort_IDAC!AN37=0,0,ROUND(Sort_IDAC!AN37,-1*INT(LOG10(Sort_IDAC!AN37))+2)))</f>
        <v>3.0299999999999999E-15</v>
      </c>
      <c r="AO37" s="6">
        <f>IF(Sort_IDAC!$B37="","",IF(Sort_IDAC!AO37=0,0,ROUND(Sort_IDAC!AO37,-1*INT(LOG10(Sort_IDAC!AO37))+2)))</f>
        <v>3.0299999999999999E-15</v>
      </c>
      <c r="AP37" s="6">
        <f>IF(Sort_IDAC!$B37="","",IF(Sort_IDAC!AP37=0,0,ROUND(Sort_IDAC!AP37,-1*INT(LOG10(Sort_IDAC!AP37))+2)))</f>
        <v>3.0299999999999999E-15</v>
      </c>
      <c r="AQ37" s="6">
        <f>IF(Sort_IDAC!$B37="","",IF(Sort_IDAC!AQ37=0,0,ROUND(Sort_IDAC!AQ37,-1*INT(LOG10(Sort_IDAC!AQ37))+2)))</f>
        <v>1.3E-15</v>
      </c>
      <c r="AR37" s="6">
        <f>IF(Sort_IDAC!$B37="","",IF(Sort_IDAC!AR37=0,0,ROUND(Sort_IDAC!AR37,-1*INT(LOG10(Sort_IDAC!AR37))+2)))</f>
        <v>1.3E-15</v>
      </c>
      <c r="AS37" s="6">
        <f>IF(Sort_IDAC!$B37="","",IF(Sort_IDAC!AS37=0,0,ROUND(Sort_IDAC!AS37,-1*INT(LOG10(Sort_IDAC!AS37))+2)))</f>
        <v>1.8300000000000002E-15</v>
      </c>
      <c r="AT37" s="6">
        <f>IF(Sort_IDAC!$B37="","",IF(Sort_IDAC!AT37=0,0,ROUND(Sort_IDAC!AT37,-1*INT(LOG10(Sort_IDAC!AT37))+2)))</f>
        <v>1.6099999999999999E-15</v>
      </c>
      <c r="AU37" s="6">
        <f>IF(Sort_IDAC!$B37="","",IF(Sort_IDAC!AU37=0,0,ROUND(Sort_IDAC!AU37,-1*INT(LOG10(Sort_IDAC!AU37))+2)))</f>
        <v>1.4500000000000001E-15</v>
      </c>
      <c r="AV37" s="6">
        <f>IF(Sort_IDAC!$B37="","",IF(Sort_IDAC!AV37=0,0,ROUND(Sort_IDAC!AV37,-1*INT(LOG10(Sort_IDAC!AV37))+2)))</f>
        <v>0</v>
      </c>
      <c r="AW37" s="6">
        <f>IF(Sort_IDAC!$B37="","",IF(Sort_IDAC!AW37=0,0,ROUND(Sort_IDAC!AW37,-1*INT(LOG10(Sort_IDAC!AW37))+2)))</f>
        <v>1.9000000000000001E-15</v>
      </c>
      <c r="AX37" s="6">
        <f>IF(Sort_IDAC!$B37="","",IF(Sort_IDAC!AX37=0,0,ROUND(Sort_IDAC!AX37,-1*INT(LOG10(Sort_IDAC!AX37))+2)))</f>
        <v>1.7299999999999999E-15</v>
      </c>
      <c r="AY37" s="6">
        <f>IF(Sort_IDAC!$B37="","",IF(Sort_IDAC!AY37=0,0,ROUND(Sort_IDAC!AY37,-1*INT(LOG10(Sort_IDAC!AY37))+2)))</f>
        <v>1.7299999999999999E-15</v>
      </c>
      <c r="AZ37" s="6">
        <f>IF(Sort_IDAC!$B37="","",IF(Sort_IDAC!AZ37=0,0,ROUND(Sort_IDAC!AZ37,-1*INT(LOG10(Sort_IDAC!AZ37))+2)))</f>
        <v>2.2099999999999999E-14</v>
      </c>
      <c r="BA37" s="6">
        <f>IF(Sort_IDAC!$B37="","",IF(Sort_IDAC!BA37=0,0,ROUND(Sort_IDAC!BA37,-1*INT(LOG10(Sort_IDAC!BA37))+2)))</f>
        <v>2.0599999999999999E-15</v>
      </c>
      <c r="BB37" s="6">
        <f>IF(Sort_IDAC!$B37="","",IF(Sort_IDAC!BB37=0,0,ROUND(Sort_IDAC!BB37,-1*INT(LOG10(Sort_IDAC!BB37))+2)))</f>
        <v>1.43E-15</v>
      </c>
      <c r="BC37" s="6">
        <f>IF(Sort_IDAC!$B37="","",IF(Sort_IDAC!BC37=0,0,ROUND(Sort_IDAC!BC37,-1*INT(LOG10(Sort_IDAC!BC37))+2)))</f>
        <v>1.4399999999999999E-15</v>
      </c>
      <c r="BD37" s="6">
        <f>IF(Sort_IDAC!$B37="","",IF(Sort_IDAC!BD37=0,0,ROUND(Sort_IDAC!BD37,-1*INT(LOG10(Sort_IDAC!BD37))+2)))</f>
        <v>1.4399999999999999E-15</v>
      </c>
      <c r="BE37" s="6">
        <f>IF(Sort_IDAC!$B37="","",IF(Sort_IDAC!BE37=0,0,ROUND(Sort_IDAC!BE37,-1*INT(LOG10(Sort_IDAC!BE37))+2)))</f>
        <v>1.2E-15</v>
      </c>
      <c r="BF37" s="6">
        <f>IF(Sort_IDAC!$B37="","",IF(Sort_IDAC!BF37=0,0,ROUND(Sort_IDAC!BF37,-1*INT(LOG10(Sort_IDAC!BF37))+2)))</f>
        <v>4.0700000000000001E-16</v>
      </c>
      <c r="BG37" s="6">
        <f>IF(Sort_IDAC!$B37="","",IF(Sort_IDAC!BG37=0,0,ROUND(Sort_IDAC!BG37,-1*INT(LOG10(Sort_IDAC!BG37))+2)))</f>
        <v>1.64E-15</v>
      </c>
      <c r="BH37" s="6">
        <f>IF(Sort_IDAC!$B37="","",IF(Sort_IDAC!BH37=0,0,ROUND(Sort_IDAC!BH37,-1*INT(LOG10(Sort_IDAC!BH37))+2)))</f>
        <v>1.8800000000000002E-15</v>
      </c>
      <c r="BI37" s="6">
        <f>IF(Sort_IDAC!$B37="","",IF(Sort_IDAC!BI37=0,0,ROUND(Sort_IDAC!BI37,-1*INT(LOG10(Sort_IDAC!BI37))+2)))</f>
        <v>1.8800000000000002E-15</v>
      </c>
      <c r="BJ37" s="6">
        <f>IF(Sort_IDAC!$B37="","",IF(Sort_IDAC!BJ37=0,0,ROUND(Sort_IDAC!BJ37,-1*INT(LOG10(Sort_IDAC!BJ37))+2)))</f>
        <v>1.8800000000000002E-15</v>
      </c>
      <c r="BK37" s="6">
        <f>IF(Sort_IDAC!$B37="","",IF(Sort_IDAC!BK37=0,0,ROUND(Sort_IDAC!BK37,-1*INT(LOG10(Sort_IDAC!BK37))+2)))</f>
        <v>1.5599999999999999E-15</v>
      </c>
      <c r="BL37" s="6">
        <f>IF(Sort_IDAC!$B37="","",IF(Sort_IDAC!BL37=0,0,ROUND(Sort_IDAC!BL37,-1*INT(LOG10(Sort_IDAC!BL37))+2)))</f>
        <v>1.2E-15</v>
      </c>
      <c r="BM37" s="6">
        <f>IF(Sort_IDAC!$B37="","",IF(Sort_IDAC!BM37=0,0,ROUND(Sort_IDAC!BM37,-1*INT(LOG10(Sort_IDAC!BM37))+2)))</f>
        <v>1.18E-15</v>
      </c>
      <c r="BN37" s="6">
        <f>IF(Sort_IDAC!$B37="","",IF(Sort_IDAC!BN37=0,0,ROUND(Sort_IDAC!BN37,-1*INT(LOG10(Sort_IDAC!BN37))+2)))</f>
        <v>1.18E-15</v>
      </c>
      <c r="BO37" s="6">
        <f>IF(Sort_IDAC!$B37="","",IF(Sort_IDAC!BO37=0,0,ROUND(Sort_IDAC!BO37,-1*INT(LOG10(Sort_IDAC!BO37))+2)))</f>
        <v>1.25E-15</v>
      </c>
      <c r="BP37" s="6">
        <f>IF(Sort_IDAC!$B37="","",IF(Sort_IDAC!BP37=0,0,ROUND(Sort_IDAC!BP37,-1*INT(LOG10(Sort_IDAC!BP37))+2)))</f>
        <v>1.25E-15</v>
      </c>
      <c r="BQ37" s="6">
        <f>IF(Sort_IDAC!$B37="","",IF(Sort_IDAC!BQ37=0,0,ROUND(Sort_IDAC!BQ37,-1*INT(LOG10(Sort_IDAC!BQ37))+2)))</f>
        <v>0</v>
      </c>
      <c r="BR37" s="6">
        <f>IF(Sort_IDAC!$B37="","",IF(Sort_IDAC!BR37=0,0,ROUND(Sort_IDAC!BR37,-1*INT(LOG10(Sort_IDAC!BR37))+2)))</f>
        <v>2.5899999999999999E-15</v>
      </c>
      <c r="BS37" s="6">
        <f>IF(Sort_IDAC!$B37="","",IF(Sort_IDAC!BS37=0,0,ROUND(Sort_IDAC!BS37,-1*INT(LOG10(Sort_IDAC!BS37))+2)))</f>
        <v>1.7800000000000001E-15</v>
      </c>
      <c r="BT37" s="6">
        <f>IF(Sort_IDAC!$B37="","",IF(Sort_IDAC!BT37=0,0,ROUND(Sort_IDAC!BT37,-1*INT(LOG10(Sort_IDAC!BT37))+2)))</f>
        <v>1.3400000000000001E-15</v>
      </c>
      <c r="BU37" s="6">
        <f>IF(Sort_IDAC!$B37="","",IF(Sort_IDAC!BU37=0,0,ROUND(Sort_IDAC!BU37,-1*INT(LOG10(Sort_IDAC!BU37))+2)))</f>
        <v>1.35E-15</v>
      </c>
      <c r="BV37" s="6">
        <f>IF(Sort_IDAC!$B37="","",IF(Sort_IDAC!BV37=0,0,ROUND(Sort_IDAC!BV37,-1*INT(LOG10(Sort_IDAC!BV37))+2)))</f>
        <v>1.13E-14</v>
      </c>
      <c r="BW37" s="6">
        <f>IF(Sort_IDAC!$B37="","",IF(Sort_IDAC!BW37=0,0,ROUND(Sort_IDAC!BW37,-1*INT(LOG10(Sort_IDAC!BW37))+2)))</f>
        <v>9.9100000000000005E-15</v>
      </c>
      <c r="BX37" s="6">
        <f>IF(Sort_IDAC!$B37="","",IF(Sort_IDAC!BX37=0,0,ROUND(Sort_IDAC!BX37,-1*INT(LOG10(Sort_IDAC!BX37))+2)))</f>
        <v>8.7000000000000002E-15</v>
      </c>
      <c r="BY37" s="6">
        <f>IF(Sort_IDAC!$B37="","",IF(Sort_IDAC!BY37=0,0,ROUND(Sort_IDAC!BY37,-1*INT(LOG10(Sort_IDAC!BY37))+2)))</f>
        <v>3.3199999999999999E-15</v>
      </c>
      <c r="BZ37" s="6">
        <f>IF(Sort_IDAC!$B37="","",IF(Sort_IDAC!BZ37=0,0,ROUND(Sort_IDAC!BZ37,-1*INT(LOG10(Sort_IDAC!BZ37))+2)))</f>
        <v>1.48E-15</v>
      </c>
      <c r="CA37" s="6">
        <f>IF(Sort_IDAC!$B37="","",IF(Sort_IDAC!CA37=0,0,ROUND(Sort_IDAC!CA37,-1*INT(LOG10(Sort_IDAC!CA37))+2)))</f>
        <v>1.64E-15</v>
      </c>
      <c r="CB37" s="6">
        <f>IF(Sort_IDAC!$B37="","",IF(Sort_IDAC!CB37=0,0,ROUND(Sort_IDAC!CB37,-1*INT(LOG10(Sort_IDAC!CB37))+2)))</f>
        <v>1.71E-15</v>
      </c>
      <c r="CC37" s="6">
        <f>IF(Sort_IDAC!$B37="","",IF(Sort_IDAC!CC37=0,0,ROUND(Sort_IDAC!CC37,-1*INT(LOG10(Sort_IDAC!CC37))+2)))</f>
        <v>7.8999999999999998E-15</v>
      </c>
      <c r="CD37" s="6"/>
      <c r="CE37" s="6"/>
      <c r="CF37" s="6"/>
      <c r="CG37" s="6"/>
    </row>
    <row r="38" spans="2:85" x14ac:dyDescent="0.15">
      <c r="B38" s="5" t="s">
        <v>28</v>
      </c>
      <c r="C38" s="6">
        <f>IF(Sort_IDAC!$B38="","",IF(Sort_IDAC!C38=0,0,ROUND(Sort_IDAC!C38,-1*INT(LOG10(Sort_IDAC!C38))+2)))</f>
        <v>8.4000000000000004E-16</v>
      </c>
      <c r="D38" s="6">
        <f>IF(Sort_IDAC!$B38="","",IF(Sort_IDAC!D38=0,0,ROUND(Sort_IDAC!D38,-1*INT(LOG10(Sort_IDAC!D38))+2)))</f>
        <v>1.2099999999999999E-15</v>
      </c>
      <c r="E38" s="6">
        <f>IF(Sort_IDAC!$B38="","",IF(Sort_IDAC!E38=0,0,ROUND(Sort_IDAC!E38,-1*INT(LOG10(Sort_IDAC!E38))+2)))</f>
        <v>1.8100000000000001E-16</v>
      </c>
      <c r="F38" s="6">
        <f>IF(Sort_IDAC!$B38="","",IF(Sort_IDAC!F38=0,0,ROUND(Sort_IDAC!F38,-1*INT(LOG10(Sort_IDAC!F38))+2)))</f>
        <v>3.0299999999999999E-15</v>
      </c>
      <c r="G38" s="6">
        <f>IF(Sort_IDAC!$B38="","",IF(Sort_IDAC!G38=0,0,ROUND(Sort_IDAC!G38,-1*INT(LOG10(Sort_IDAC!G38))+2)))</f>
        <v>7.24E-18</v>
      </c>
      <c r="H38" s="6">
        <f>IF(Sort_IDAC!$B38="","",IF(Sort_IDAC!H38=0,0,ROUND(Sort_IDAC!H38,-1*INT(LOG10(Sort_IDAC!H38))+2)))</f>
        <v>1.4799999999999999E-16</v>
      </c>
      <c r="I38" s="6">
        <f>IF(Sort_IDAC!$B38="","",IF(Sort_IDAC!I38=0,0,ROUND(Sort_IDAC!I38,-1*INT(LOG10(Sort_IDAC!I38))+2)))</f>
        <v>1.03E-16</v>
      </c>
      <c r="J38" s="6">
        <f>IF(Sort_IDAC!$B38="","",IF(Sort_IDAC!J38=0,0,ROUND(Sort_IDAC!J38,-1*INT(LOG10(Sort_IDAC!J38))+2)))</f>
        <v>1.03E-16</v>
      </c>
      <c r="K38" s="6">
        <f>IF(Sort_IDAC!$B38="","",IF(Sort_IDAC!K38=0,0,ROUND(Sort_IDAC!K38,-1*INT(LOG10(Sort_IDAC!K38))+2)))</f>
        <v>1.03E-16</v>
      </c>
      <c r="L38" s="6">
        <f>IF(Sort_IDAC!$B38="","",IF(Sort_IDAC!L38=0,0,ROUND(Sort_IDAC!L38,-1*INT(LOG10(Sort_IDAC!L38))+2)))</f>
        <v>1.8100000000000001E-16</v>
      </c>
      <c r="M38" s="6">
        <f>IF(Sort_IDAC!$B38="","",IF(Sort_IDAC!M38=0,0,ROUND(Sort_IDAC!M38,-1*INT(LOG10(Sort_IDAC!M38))+2)))</f>
        <v>1.8100000000000001E-16</v>
      </c>
      <c r="N38" s="6">
        <f>IF(Sort_IDAC!$B38="","",IF(Sort_IDAC!N38=0,0,ROUND(Sort_IDAC!N38,-1*INT(LOG10(Sort_IDAC!N38))+2)))</f>
        <v>1.8100000000000001E-16</v>
      </c>
      <c r="O38" s="6">
        <f>IF(Sort_IDAC!$B38="","",IF(Sort_IDAC!O38=0,0,ROUND(Sort_IDAC!O38,-1*INT(LOG10(Sort_IDAC!O38))+2)))</f>
        <v>8.6400000000000004E-16</v>
      </c>
      <c r="P38" s="6">
        <f>IF(Sort_IDAC!$B38="","",IF(Sort_IDAC!P38=0,0,ROUND(Sort_IDAC!P38,-1*INT(LOG10(Sort_IDAC!P38))+2)))</f>
        <v>1.2099999999999999E-16</v>
      </c>
      <c r="Q38" s="6">
        <f>IF(Sort_IDAC!$B38="","",IF(Sort_IDAC!Q38=0,0,ROUND(Sort_IDAC!Q38,-1*INT(LOG10(Sort_IDAC!Q38))+2)))</f>
        <v>5.0799999999999997E-16</v>
      </c>
      <c r="R38" s="6">
        <f>IF(Sort_IDAC!$B38="","",IF(Sort_IDAC!R38=0,0,ROUND(Sort_IDAC!R38,-1*INT(LOG10(Sort_IDAC!R38))+2)))</f>
        <v>5.0799999999999997E-16</v>
      </c>
      <c r="S38" s="6">
        <f>IF(Sort_IDAC!$B38="","",IF(Sort_IDAC!S38=0,0,ROUND(Sort_IDAC!S38,-1*INT(LOG10(Sort_IDAC!S38))+2)))</f>
        <v>2.4800000000000001E-17</v>
      </c>
      <c r="T38" s="6">
        <f>IF(Sort_IDAC!$B38="","",IF(Sort_IDAC!T38=0,0,ROUND(Sort_IDAC!T38,-1*INT(LOG10(Sort_IDAC!T38))+2)))</f>
        <v>2.0399999999999999E-17</v>
      </c>
      <c r="U38" s="6">
        <f>IF(Sort_IDAC!$B38="","",IF(Sort_IDAC!U38=0,0,ROUND(Sort_IDAC!U38,-1*INT(LOG10(Sort_IDAC!U38))+2)))</f>
        <v>2.0399999999999999E-17</v>
      </c>
      <c r="V38" s="6">
        <f>IF(Sort_IDAC!$B38="","",IF(Sort_IDAC!V38=0,0,ROUND(Sort_IDAC!V38,-1*INT(LOG10(Sort_IDAC!V38))+2)))</f>
        <v>2.0399999999999999E-17</v>
      </c>
      <c r="W38" s="6">
        <f>IF(Sort_IDAC!$B38="","",IF(Sort_IDAC!W38=0,0,ROUND(Sort_IDAC!W38,-1*INT(LOG10(Sort_IDAC!W38))+2)))</f>
        <v>2.0399999999999999E-17</v>
      </c>
      <c r="X38" s="6">
        <f>IF(Sort_IDAC!$B38="","",IF(Sort_IDAC!X38=0,0,ROUND(Sort_IDAC!X38,-1*INT(LOG10(Sort_IDAC!X38))+2)))</f>
        <v>2.0399999999999999E-17</v>
      </c>
      <c r="Y38" s="6">
        <f>IF(Sort_IDAC!$B38="","",IF(Sort_IDAC!Y38=0,0,ROUND(Sort_IDAC!Y38,-1*INT(LOG10(Sort_IDAC!Y38))+2)))</f>
        <v>2.0999999999999999E-17</v>
      </c>
      <c r="Z38" s="6">
        <f>IF(Sort_IDAC!$B38="","",IF(Sort_IDAC!Z38=0,0,ROUND(Sort_IDAC!Z38,-1*INT(LOG10(Sort_IDAC!Z38))+2)))</f>
        <v>1.77E-15</v>
      </c>
      <c r="AA38" s="6">
        <f>IF(Sort_IDAC!$B38="","",IF(Sort_IDAC!AA38=0,0,ROUND(Sort_IDAC!AA38,-1*INT(LOG10(Sort_IDAC!AA38))+2)))</f>
        <v>1.75E-15</v>
      </c>
      <c r="AB38" s="6">
        <f>IF(Sort_IDAC!$B38="","",IF(Sort_IDAC!AB38=0,0,ROUND(Sort_IDAC!AB38,-1*INT(LOG10(Sort_IDAC!AB38))+2)))</f>
        <v>2.0400000000000001E-16</v>
      </c>
      <c r="AC38" s="6">
        <f>IF(Sort_IDAC!$B38="","",IF(Sort_IDAC!AC38=0,0,ROUND(Sort_IDAC!AC38,-1*INT(LOG10(Sort_IDAC!AC38))+2)))</f>
        <v>3.4899999999999999E-15</v>
      </c>
      <c r="AD38" s="6">
        <f>IF(Sort_IDAC!$B38="","",IF(Sort_IDAC!AD38=0,0,ROUND(Sort_IDAC!AD38,-1*INT(LOG10(Sort_IDAC!AD38))+2)))</f>
        <v>2.5600000000000002E-15</v>
      </c>
      <c r="AE38" s="6">
        <f>IF(Sort_IDAC!$B38="","",IF(Sort_IDAC!AE38=0,0,ROUND(Sort_IDAC!AE38,-1*INT(LOG10(Sort_IDAC!AE38))+2)))</f>
        <v>2.84E-15</v>
      </c>
      <c r="AF38" s="6">
        <f>IF(Sort_IDAC!$B38="","",IF(Sort_IDAC!AF38=0,0,ROUND(Sort_IDAC!AF38,-1*INT(LOG10(Sort_IDAC!AF38))+2)))</f>
        <v>2.84E-15</v>
      </c>
      <c r="AG38" s="6">
        <f>IF(Sort_IDAC!$B38="","",IF(Sort_IDAC!AG38=0,0,ROUND(Sort_IDAC!AG38,-1*INT(LOG10(Sort_IDAC!AG38))+2)))</f>
        <v>1.2900000000000001E-15</v>
      </c>
      <c r="AH38" s="6">
        <f>IF(Sort_IDAC!$B38="","",IF(Sort_IDAC!AH38=0,0,ROUND(Sort_IDAC!AH38,-1*INT(LOG10(Sort_IDAC!AH38))+2)))</f>
        <v>1.7800000000000001E-16</v>
      </c>
      <c r="AI38" s="6">
        <f>IF(Sort_IDAC!$B38="","",IF(Sort_IDAC!AI38=0,0,ROUND(Sort_IDAC!AI38,-1*INT(LOG10(Sort_IDAC!AI38))+2)))</f>
        <v>1.7699999999999999E-16</v>
      </c>
      <c r="AJ38" s="6">
        <f>IF(Sort_IDAC!$B38="","",IF(Sort_IDAC!AJ38=0,0,ROUND(Sort_IDAC!AJ38,-1*INT(LOG10(Sort_IDAC!AJ38))+2)))</f>
        <v>2.75E-17</v>
      </c>
      <c r="AK38" s="6">
        <f>IF(Sort_IDAC!$B38="","",IF(Sort_IDAC!AK38=0,0,ROUND(Sort_IDAC!AK38,-1*INT(LOG10(Sort_IDAC!AK38))+2)))</f>
        <v>3.3399999999999998E-15</v>
      </c>
      <c r="AL38" s="6">
        <f>IF(Sort_IDAC!$B38="","",IF(Sort_IDAC!AL38=0,0,ROUND(Sort_IDAC!AL38,-1*INT(LOG10(Sort_IDAC!AL38))+2)))</f>
        <v>9.0800000000000004E-17</v>
      </c>
      <c r="AM38" s="6">
        <f>IF(Sort_IDAC!$B38="","",IF(Sort_IDAC!AM38=0,0,ROUND(Sort_IDAC!AM38,-1*INT(LOG10(Sort_IDAC!AM38))+2)))</f>
        <v>9.2999999999999993E-16</v>
      </c>
      <c r="AN38" s="6">
        <f>IF(Sort_IDAC!$B38="","",IF(Sort_IDAC!AN38=0,0,ROUND(Sort_IDAC!AN38,-1*INT(LOG10(Sort_IDAC!AN38))+2)))</f>
        <v>1.6000000000000001E-16</v>
      </c>
      <c r="AO38" s="6">
        <f>IF(Sort_IDAC!$B38="","",IF(Sort_IDAC!AO38=0,0,ROUND(Sort_IDAC!AO38,-1*INT(LOG10(Sort_IDAC!AO38))+2)))</f>
        <v>1.6000000000000001E-16</v>
      </c>
      <c r="AP38" s="6">
        <f>IF(Sort_IDAC!$B38="","",IF(Sort_IDAC!AP38=0,0,ROUND(Sort_IDAC!AP38,-1*INT(LOG10(Sort_IDAC!AP38))+2)))</f>
        <v>1.6000000000000001E-16</v>
      </c>
      <c r="AQ38" s="6">
        <f>IF(Sort_IDAC!$B38="","",IF(Sort_IDAC!AQ38=0,0,ROUND(Sort_IDAC!AQ38,-1*INT(LOG10(Sort_IDAC!AQ38))+2)))</f>
        <v>2.5800000000000001E-17</v>
      </c>
      <c r="AR38" s="6">
        <f>IF(Sort_IDAC!$B38="","",IF(Sort_IDAC!AR38=0,0,ROUND(Sort_IDAC!AR38,-1*INT(LOG10(Sort_IDAC!AR38))+2)))</f>
        <v>2.5800000000000001E-17</v>
      </c>
      <c r="AS38" s="6">
        <f>IF(Sort_IDAC!$B38="","",IF(Sort_IDAC!AS38=0,0,ROUND(Sort_IDAC!AS38,-1*INT(LOG10(Sort_IDAC!AS38))+2)))</f>
        <v>1.19E-15</v>
      </c>
      <c r="AT38" s="6">
        <f>IF(Sort_IDAC!$B38="","",IF(Sort_IDAC!AT38=0,0,ROUND(Sort_IDAC!AT38,-1*INT(LOG10(Sort_IDAC!AT38))+2)))</f>
        <v>3.28E-15</v>
      </c>
      <c r="AU38" s="6">
        <f>IF(Sort_IDAC!$B38="","",IF(Sort_IDAC!AU38=0,0,ROUND(Sort_IDAC!AU38,-1*INT(LOG10(Sort_IDAC!AU38))+2)))</f>
        <v>9.5499999999999993E-18</v>
      </c>
      <c r="AV38" s="6">
        <f>IF(Sort_IDAC!$B38="","",IF(Sort_IDAC!AV38=0,0,ROUND(Sort_IDAC!AV38,-1*INT(LOG10(Sort_IDAC!AV38))+2)))</f>
        <v>0</v>
      </c>
      <c r="AW38" s="6">
        <f>IF(Sort_IDAC!$B38="","",IF(Sort_IDAC!AW38=0,0,ROUND(Sort_IDAC!AW38,-1*INT(LOG10(Sort_IDAC!AW38))+2)))</f>
        <v>1.18E-15</v>
      </c>
      <c r="AX38" s="6">
        <f>IF(Sort_IDAC!$B38="","",IF(Sort_IDAC!AX38=0,0,ROUND(Sort_IDAC!AX38,-1*INT(LOG10(Sort_IDAC!AX38))+2)))</f>
        <v>1.08E-15</v>
      </c>
      <c r="AY38" s="6">
        <f>IF(Sort_IDAC!$B38="","",IF(Sort_IDAC!AY38=0,0,ROUND(Sort_IDAC!AY38,-1*INT(LOG10(Sort_IDAC!AY38))+2)))</f>
        <v>1.08E-15</v>
      </c>
      <c r="AZ38" s="6">
        <f>IF(Sort_IDAC!$B38="","",IF(Sort_IDAC!AZ38=0,0,ROUND(Sort_IDAC!AZ38,-1*INT(LOG10(Sort_IDAC!AZ38))+2)))</f>
        <v>1.4399999999999999E-15</v>
      </c>
      <c r="BA38" s="6">
        <f>IF(Sort_IDAC!$B38="","",IF(Sort_IDAC!BA38=0,0,ROUND(Sort_IDAC!BA38,-1*INT(LOG10(Sort_IDAC!BA38))+2)))</f>
        <v>1.79E-16</v>
      </c>
      <c r="BB38" s="6">
        <f>IF(Sort_IDAC!$B38="","",IF(Sort_IDAC!BB38=0,0,ROUND(Sort_IDAC!BB38,-1*INT(LOG10(Sort_IDAC!BB38))+2)))</f>
        <v>4.0200000000000002E-14</v>
      </c>
      <c r="BC38" s="6">
        <f>IF(Sort_IDAC!$B38="","",IF(Sort_IDAC!BC38=0,0,ROUND(Sort_IDAC!BC38,-1*INT(LOG10(Sort_IDAC!BC38))+2)))</f>
        <v>8.9200000000000004E-13</v>
      </c>
      <c r="BD38" s="6">
        <f>IF(Sort_IDAC!$B38="","",IF(Sort_IDAC!BD38=0,0,ROUND(Sort_IDAC!BD38,-1*INT(LOG10(Sort_IDAC!BD38))+2)))</f>
        <v>2.1800000000000001E-13</v>
      </c>
      <c r="BE38" s="6">
        <f>IF(Sort_IDAC!$B38="","",IF(Sort_IDAC!BE38=0,0,ROUND(Sort_IDAC!BE38,-1*INT(LOG10(Sort_IDAC!BE38))+2)))</f>
        <v>1.99E-17</v>
      </c>
      <c r="BF38" s="6">
        <f>IF(Sort_IDAC!$B38="","",IF(Sort_IDAC!BF38=0,0,ROUND(Sort_IDAC!BF38,-1*INT(LOG10(Sort_IDAC!BF38))+2)))</f>
        <v>3.9399999999999999E-16</v>
      </c>
      <c r="BG38" s="6">
        <f>IF(Sort_IDAC!$B38="","",IF(Sort_IDAC!BG38=0,0,ROUND(Sort_IDAC!BG38,-1*INT(LOG10(Sort_IDAC!BG38))+2)))</f>
        <v>3.9899999999999998E-15</v>
      </c>
      <c r="BH38" s="6">
        <f>IF(Sort_IDAC!$B38="","",IF(Sort_IDAC!BH38=0,0,ROUND(Sort_IDAC!BH38,-1*INT(LOG10(Sort_IDAC!BH38))+2)))</f>
        <v>5.51E-15</v>
      </c>
      <c r="BI38" s="6">
        <f>IF(Sort_IDAC!$B38="","",IF(Sort_IDAC!BI38=0,0,ROUND(Sort_IDAC!BI38,-1*INT(LOG10(Sort_IDAC!BI38))+2)))</f>
        <v>5.51E-15</v>
      </c>
      <c r="BJ38" s="6">
        <f>IF(Sort_IDAC!$B38="","",IF(Sort_IDAC!BJ38=0,0,ROUND(Sort_IDAC!BJ38,-1*INT(LOG10(Sort_IDAC!BJ38))+2)))</f>
        <v>5.51E-15</v>
      </c>
      <c r="BK38" s="6">
        <f>IF(Sort_IDAC!$B38="","",IF(Sort_IDAC!BK38=0,0,ROUND(Sort_IDAC!BK38,-1*INT(LOG10(Sort_IDAC!BK38))+2)))</f>
        <v>3.5600000000000002E-16</v>
      </c>
      <c r="BL38" s="6">
        <f>IF(Sort_IDAC!$B38="","",IF(Sort_IDAC!BL38=0,0,ROUND(Sort_IDAC!BL38,-1*INT(LOG10(Sort_IDAC!BL38))+2)))</f>
        <v>6.2100000000000003E-16</v>
      </c>
      <c r="BM38" s="6">
        <f>IF(Sort_IDAC!$B38="","",IF(Sort_IDAC!BM38=0,0,ROUND(Sort_IDAC!BM38,-1*INT(LOG10(Sort_IDAC!BM38))+2)))</f>
        <v>8.5999999999999997E-16</v>
      </c>
      <c r="BN38" s="6">
        <f>IF(Sort_IDAC!$B38="","",IF(Sort_IDAC!BN38=0,0,ROUND(Sort_IDAC!BN38,-1*INT(LOG10(Sort_IDAC!BN38))+2)))</f>
        <v>8.5999999999999997E-16</v>
      </c>
      <c r="BO38" s="6">
        <f>IF(Sort_IDAC!$B38="","",IF(Sort_IDAC!BO38=0,0,ROUND(Sort_IDAC!BO38,-1*INT(LOG10(Sort_IDAC!BO38))+2)))</f>
        <v>2.51E-17</v>
      </c>
      <c r="BP38" s="6">
        <f>IF(Sort_IDAC!$B38="","",IF(Sort_IDAC!BP38=0,0,ROUND(Sort_IDAC!BP38,-1*INT(LOG10(Sort_IDAC!BP38))+2)))</f>
        <v>2.51E-17</v>
      </c>
      <c r="BQ38" s="6">
        <f>IF(Sort_IDAC!$B38="","",IF(Sort_IDAC!BQ38=0,0,ROUND(Sort_IDAC!BQ38,-1*INT(LOG10(Sort_IDAC!BQ38))+2)))</f>
        <v>0</v>
      </c>
      <c r="BR38" s="6">
        <f>IF(Sort_IDAC!$B38="","",IF(Sort_IDAC!BR38=0,0,ROUND(Sort_IDAC!BR38,-1*INT(LOG10(Sort_IDAC!BR38))+2)))</f>
        <v>8.2799999999999997E-17</v>
      </c>
      <c r="BS38" s="6">
        <f>IF(Sort_IDAC!$B38="","",IF(Sort_IDAC!BS38=0,0,ROUND(Sort_IDAC!BS38,-1*INT(LOG10(Sort_IDAC!BS38))+2)))</f>
        <v>4.4800000000000002E-17</v>
      </c>
      <c r="BT38" s="6">
        <f>IF(Sort_IDAC!$B38="","",IF(Sort_IDAC!BT38=0,0,ROUND(Sort_IDAC!BT38,-1*INT(LOG10(Sort_IDAC!BT38))+2)))</f>
        <v>2.5500000000000001E-17</v>
      </c>
      <c r="BU38" s="6">
        <f>IF(Sort_IDAC!$B38="","",IF(Sort_IDAC!BU38=0,0,ROUND(Sort_IDAC!BU38,-1*INT(LOG10(Sort_IDAC!BU38))+2)))</f>
        <v>1.9499999999999999E-17</v>
      </c>
      <c r="BV38" s="6">
        <f>IF(Sort_IDAC!$B38="","",IF(Sort_IDAC!BV38=0,0,ROUND(Sort_IDAC!BV38,-1*INT(LOG10(Sort_IDAC!BV38))+2)))</f>
        <v>9.0699999999999995E-16</v>
      </c>
      <c r="BW38" s="6">
        <f>IF(Sort_IDAC!$B38="","",IF(Sort_IDAC!BW38=0,0,ROUND(Sort_IDAC!BW38,-1*INT(LOG10(Sort_IDAC!BW38))+2)))</f>
        <v>7.5400000000000002E-16</v>
      </c>
      <c r="BX38" s="6">
        <f>IF(Sort_IDAC!$B38="","",IF(Sort_IDAC!BX38=0,0,ROUND(Sort_IDAC!BX38,-1*INT(LOG10(Sort_IDAC!BX38))+2)))</f>
        <v>7.5400000000000002E-16</v>
      </c>
      <c r="BY38" s="6">
        <f>IF(Sort_IDAC!$B38="","",IF(Sort_IDAC!BY38=0,0,ROUND(Sort_IDAC!BY38,-1*INT(LOG10(Sort_IDAC!BY38))+2)))</f>
        <v>5.0600000000000002E-15</v>
      </c>
      <c r="BZ38" s="6">
        <f>IF(Sort_IDAC!$B38="","",IF(Sort_IDAC!BZ38=0,0,ROUND(Sort_IDAC!BZ38,-1*INT(LOG10(Sort_IDAC!BZ38))+2)))</f>
        <v>1.82E-15</v>
      </c>
      <c r="CA38" s="6">
        <f>IF(Sort_IDAC!$B38="","",IF(Sort_IDAC!CA38=0,0,ROUND(Sort_IDAC!CA38,-1*INT(LOG10(Sort_IDAC!CA38))+2)))</f>
        <v>1.59E-15</v>
      </c>
      <c r="CB38" s="6">
        <f>IF(Sort_IDAC!$B38="","",IF(Sort_IDAC!CB38=0,0,ROUND(Sort_IDAC!CB38,-1*INT(LOG10(Sort_IDAC!CB38))+2)))</f>
        <v>1.18E-15</v>
      </c>
      <c r="CC38" s="6">
        <f>IF(Sort_IDAC!$B38="","",IF(Sort_IDAC!CC38=0,0,ROUND(Sort_IDAC!CC38,-1*INT(LOG10(Sort_IDAC!CC38))+2)))</f>
        <v>5.3199999999999997E-16</v>
      </c>
      <c r="CD38" s="6"/>
      <c r="CE38" s="6"/>
      <c r="CF38" s="6"/>
      <c r="CG38" s="6"/>
    </row>
    <row r="39" spans="2:85" x14ac:dyDescent="0.15">
      <c r="B39" s="5" t="s">
        <v>29</v>
      </c>
      <c r="C39" s="6">
        <f>IF(Sort_IDAC!$B39="","",IF(Sort_IDAC!C39=0,0,ROUND(Sort_IDAC!C39,-1*INT(LOG10(Sort_IDAC!C39))+2)))</f>
        <v>5.0799999999999997E-16</v>
      </c>
      <c r="D39" s="6">
        <f>IF(Sort_IDAC!$B39="","",IF(Sort_IDAC!D39=0,0,ROUND(Sort_IDAC!D39,-1*INT(LOG10(Sort_IDAC!D39))+2)))</f>
        <v>8.3900000000000005E-17</v>
      </c>
      <c r="E39" s="6">
        <f>IF(Sort_IDAC!$B39="","",IF(Sort_IDAC!E39=0,0,ROUND(Sort_IDAC!E39,-1*INT(LOG10(Sort_IDAC!E39))+2)))</f>
        <v>5.7800000000000002E-16</v>
      </c>
      <c r="F39" s="6">
        <f>IF(Sort_IDAC!$B39="","",IF(Sort_IDAC!F39=0,0,ROUND(Sort_IDAC!F39,-1*INT(LOG10(Sort_IDAC!F39))+2)))</f>
        <v>4.3599999999999998E-16</v>
      </c>
      <c r="G39" s="6">
        <f>IF(Sort_IDAC!$B39="","",IF(Sort_IDAC!G39=0,0,ROUND(Sort_IDAC!G39,-1*INT(LOG10(Sort_IDAC!G39))+2)))</f>
        <v>3.42E-15</v>
      </c>
      <c r="H39" s="6">
        <f>IF(Sort_IDAC!$B39="","",IF(Sort_IDAC!H39=0,0,ROUND(Sort_IDAC!H39,-1*INT(LOG10(Sort_IDAC!H39))+2)))</f>
        <v>5.8099999999999997E-16</v>
      </c>
      <c r="I39" s="6">
        <f>IF(Sort_IDAC!$B39="","",IF(Sort_IDAC!I39=0,0,ROUND(Sort_IDAC!I39,-1*INT(LOG10(Sort_IDAC!I39))+2)))</f>
        <v>1.94E-15</v>
      </c>
      <c r="J39" s="6">
        <f>IF(Sort_IDAC!$B39="","",IF(Sort_IDAC!J39=0,0,ROUND(Sort_IDAC!J39,-1*INT(LOG10(Sort_IDAC!J39))+2)))</f>
        <v>1.94E-15</v>
      </c>
      <c r="K39" s="6">
        <f>IF(Sort_IDAC!$B39="","",IF(Sort_IDAC!K39=0,0,ROUND(Sort_IDAC!K39,-1*INT(LOG10(Sort_IDAC!K39))+2)))</f>
        <v>1.94E-15</v>
      </c>
      <c r="L39" s="6">
        <f>IF(Sort_IDAC!$B39="","",IF(Sort_IDAC!L39=0,0,ROUND(Sort_IDAC!L39,-1*INT(LOG10(Sort_IDAC!L39))+2)))</f>
        <v>5.7800000000000002E-16</v>
      </c>
      <c r="M39" s="6">
        <f>IF(Sort_IDAC!$B39="","",IF(Sort_IDAC!M39=0,0,ROUND(Sort_IDAC!M39,-1*INT(LOG10(Sort_IDAC!M39))+2)))</f>
        <v>5.7800000000000002E-16</v>
      </c>
      <c r="N39" s="6">
        <f>IF(Sort_IDAC!$B39="","",IF(Sort_IDAC!N39=0,0,ROUND(Sort_IDAC!N39,-1*INT(LOG10(Sort_IDAC!N39))+2)))</f>
        <v>5.7800000000000002E-16</v>
      </c>
      <c r="O39" s="6">
        <f>IF(Sort_IDAC!$B39="","",IF(Sort_IDAC!O39=0,0,ROUND(Sort_IDAC!O39,-1*INT(LOG10(Sort_IDAC!O39))+2)))</f>
        <v>1.01E-15</v>
      </c>
      <c r="P39" s="6">
        <f>IF(Sort_IDAC!$B39="","",IF(Sort_IDAC!P39=0,0,ROUND(Sort_IDAC!P39,-1*INT(LOG10(Sort_IDAC!P39))+2)))</f>
        <v>3.6099999999999997E-17</v>
      </c>
      <c r="Q39" s="6">
        <f>IF(Sort_IDAC!$B39="","",IF(Sort_IDAC!Q39=0,0,ROUND(Sort_IDAC!Q39,-1*INT(LOG10(Sort_IDAC!Q39))+2)))</f>
        <v>1.49E-15</v>
      </c>
      <c r="R39" s="6">
        <f>IF(Sort_IDAC!$B39="","",IF(Sort_IDAC!R39=0,0,ROUND(Sort_IDAC!R39,-1*INT(LOG10(Sort_IDAC!R39))+2)))</f>
        <v>1.49E-15</v>
      </c>
      <c r="S39" s="6">
        <f>IF(Sort_IDAC!$B39="","",IF(Sort_IDAC!S39=0,0,ROUND(Sort_IDAC!S39,-1*INT(LOG10(Sort_IDAC!S39))+2)))</f>
        <v>3.5500000000000001E-15</v>
      </c>
      <c r="T39" s="6">
        <f>IF(Sort_IDAC!$B39="","",IF(Sort_IDAC!T39=0,0,ROUND(Sort_IDAC!T39,-1*INT(LOG10(Sort_IDAC!T39))+2)))</f>
        <v>1.6899999999999999E-14</v>
      </c>
      <c r="U39" s="6">
        <f>IF(Sort_IDAC!$B39="","",IF(Sort_IDAC!U39=0,0,ROUND(Sort_IDAC!U39,-1*INT(LOG10(Sort_IDAC!U39))+2)))</f>
        <v>1.6899999999999999E-14</v>
      </c>
      <c r="V39" s="6">
        <f>IF(Sort_IDAC!$B39="","",IF(Sort_IDAC!V39=0,0,ROUND(Sort_IDAC!V39,-1*INT(LOG10(Sort_IDAC!V39))+2)))</f>
        <v>1.6899999999999999E-14</v>
      </c>
      <c r="W39" s="6">
        <f>IF(Sort_IDAC!$B39="","",IF(Sort_IDAC!W39=0,0,ROUND(Sort_IDAC!W39,-1*INT(LOG10(Sort_IDAC!W39))+2)))</f>
        <v>1.6899999999999999E-14</v>
      </c>
      <c r="X39" s="6">
        <f>IF(Sort_IDAC!$B39="","",IF(Sort_IDAC!X39=0,0,ROUND(Sort_IDAC!X39,-1*INT(LOG10(Sort_IDAC!X39))+2)))</f>
        <v>1.6899999999999999E-14</v>
      </c>
      <c r="Y39" s="6">
        <f>IF(Sort_IDAC!$B39="","",IF(Sort_IDAC!Y39=0,0,ROUND(Sort_IDAC!Y39,-1*INT(LOG10(Sort_IDAC!Y39))+2)))</f>
        <v>2.94E-15</v>
      </c>
      <c r="Z39" s="6">
        <f>IF(Sort_IDAC!$B39="","",IF(Sort_IDAC!Z39=0,0,ROUND(Sort_IDAC!Z39,-1*INT(LOG10(Sort_IDAC!Z39))+2)))</f>
        <v>8.5000000000000001E-17</v>
      </c>
      <c r="AA39" s="6">
        <f>IF(Sort_IDAC!$B39="","",IF(Sort_IDAC!AA39=0,0,ROUND(Sort_IDAC!AA39,-1*INT(LOG10(Sort_IDAC!AA39))+2)))</f>
        <v>8.5300000000000001E-17</v>
      </c>
      <c r="AB39" s="6">
        <f>IF(Sort_IDAC!$B39="","",IF(Sort_IDAC!AB39=0,0,ROUND(Sort_IDAC!AB39,-1*INT(LOG10(Sort_IDAC!AB39))+2)))</f>
        <v>4.1300000000000001E-16</v>
      </c>
      <c r="AC39" s="6">
        <f>IF(Sort_IDAC!$B39="","",IF(Sort_IDAC!AC39=0,0,ROUND(Sort_IDAC!AC39,-1*INT(LOG10(Sort_IDAC!AC39))+2)))</f>
        <v>5.29E-17</v>
      </c>
      <c r="AD39" s="6">
        <f>IF(Sort_IDAC!$B39="","",IF(Sort_IDAC!AD39=0,0,ROUND(Sort_IDAC!AD39,-1*INT(LOG10(Sort_IDAC!AD39))+2)))</f>
        <v>1.3900000000000002E-17</v>
      </c>
      <c r="AE39" s="6">
        <f>IF(Sort_IDAC!$B39="","",IF(Sort_IDAC!AE39=0,0,ROUND(Sort_IDAC!AE39,-1*INT(LOG10(Sort_IDAC!AE39))+2)))</f>
        <v>1.22E-17</v>
      </c>
      <c r="AF39" s="6">
        <f>IF(Sort_IDAC!$B39="","",IF(Sort_IDAC!AF39=0,0,ROUND(Sort_IDAC!AF39,-1*INT(LOG10(Sort_IDAC!AF39))+2)))</f>
        <v>1.22E-17</v>
      </c>
      <c r="AG39" s="6">
        <f>IF(Sort_IDAC!$B39="","",IF(Sort_IDAC!AG39=0,0,ROUND(Sort_IDAC!AG39,-1*INT(LOG10(Sort_IDAC!AG39))+2)))</f>
        <v>1.3299999999999999E-16</v>
      </c>
      <c r="AH39" s="6">
        <f>IF(Sort_IDAC!$B39="","",IF(Sort_IDAC!AH39=0,0,ROUND(Sort_IDAC!AH39,-1*INT(LOG10(Sort_IDAC!AH39))+2)))</f>
        <v>6.2399999999999998E-16</v>
      </c>
      <c r="AI39" s="6">
        <f>IF(Sort_IDAC!$B39="","",IF(Sort_IDAC!AI39=0,0,ROUND(Sort_IDAC!AI39,-1*INT(LOG10(Sort_IDAC!AI39))+2)))</f>
        <v>5.58E-16</v>
      </c>
      <c r="AJ39" s="6">
        <f>IF(Sort_IDAC!$B39="","",IF(Sort_IDAC!AJ39=0,0,ROUND(Sort_IDAC!AJ39,-1*INT(LOG10(Sort_IDAC!AJ39))+2)))</f>
        <v>2.68E-14</v>
      </c>
      <c r="AK39" s="6">
        <f>IF(Sort_IDAC!$B39="","",IF(Sort_IDAC!AK39=0,0,ROUND(Sort_IDAC!AK39,-1*INT(LOG10(Sort_IDAC!AK39))+2)))</f>
        <v>1.2800000000000001E-15</v>
      </c>
      <c r="AL39" s="6">
        <f>IF(Sort_IDAC!$B39="","",IF(Sort_IDAC!AL39=0,0,ROUND(Sort_IDAC!AL39,-1*INT(LOG10(Sort_IDAC!AL39))+2)))</f>
        <v>2.3199999999999998E-15</v>
      </c>
      <c r="AM39" s="6">
        <f>IF(Sort_IDAC!$B39="","",IF(Sort_IDAC!AM39=0,0,ROUND(Sort_IDAC!AM39,-1*INT(LOG10(Sort_IDAC!AM39))+2)))</f>
        <v>5.5900000000000001E-16</v>
      </c>
      <c r="AN39" s="6">
        <f>IF(Sort_IDAC!$B39="","",IF(Sort_IDAC!AN39=0,0,ROUND(Sort_IDAC!AN39,-1*INT(LOG10(Sort_IDAC!AN39))+2)))</f>
        <v>2.09E-15</v>
      </c>
      <c r="AO39" s="6">
        <f>IF(Sort_IDAC!$B39="","",IF(Sort_IDAC!AO39=0,0,ROUND(Sort_IDAC!AO39,-1*INT(LOG10(Sort_IDAC!AO39))+2)))</f>
        <v>2.09E-15</v>
      </c>
      <c r="AP39" s="6">
        <f>IF(Sort_IDAC!$B39="","",IF(Sort_IDAC!AP39=0,0,ROUND(Sort_IDAC!AP39,-1*INT(LOG10(Sort_IDAC!AP39))+2)))</f>
        <v>2.09E-15</v>
      </c>
      <c r="AQ39" s="6">
        <f>IF(Sort_IDAC!$B39="","",IF(Sort_IDAC!AQ39=0,0,ROUND(Sort_IDAC!AQ39,-1*INT(LOG10(Sort_IDAC!AQ39))+2)))</f>
        <v>1.7500000000000001E-14</v>
      </c>
      <c r="AR39" s="6">
        <f>IF(Sort_IDAC!$B39="","",IF(Sort_IDAC!AR39=0,0,ROUND(Sort_IDAC!AR39,-1*INT(LOG10(Sort_IDAC!AR39))+2)))</f>
        <v>1.9499999999999999E-14</v>
      </c>
      <c r="AS39" s="6">
        <f>IF(Sort_IDAC!$B39="","",IF(Sort_IDAC!AS39=0,0,ROUND(Sort_IDAC!AS39,-1*INT(LOG10(Sort_IDAC!AS39))+2)))</f>
        <v>3.5299999999999997E-18</v>
      </c>
      <c r="AT39" s="6">
        <f>IF(Sort_IDAC!$B39="","",IF(Sort_IDAC!AT39=0,0,ROUND(Sort_IDAC!AT39,-1*INT(LOG10(Sort_IDAC!AT39))+2)))</f>
        <v>5.7799999999999998E-17</v>
      </c>
      <c r="AU39" s="6">
        <f>IF(Sort_IDAC!$B39="","",IF(Sort_IDAC!AU39=0,0,ROUND(Sort_IDAC!AU39,-1*INT(LOG10(Sort_IDAC!AU39))+2)))</f>
        <v>8.0800000000000003E-15</v>
      </c>
      <c r="AV39" s="6">
        <f>IF(Sort_IDAC!$B39="","",IF(Sort_IDAC!AV39=0,0,ROUND(Sort_IDAC!AV39,-1*INT(LOG10(Sort_IDAC!AV39))+2)))</f>
        <v>0</v>
      </c>
      <c r="AW39" s="6">
        <f>IF(Sort_IDAC!$B39="","",IF(Sort_IDAC!AW39=0,0,ROUND(Sort_IDAC!AW39,-1*INT(LOG10(Sort_IDAC!AW39))+2)))</f>
        <v>3.5500000000000004E-18</v>
      </c>
      <c r="AX39" s="6">
        <f>IF(Sort_IDAC!$B39="","",IF(Sort_IDAC!AX39=0,0,ROUND(Sort_IDAC!AX39,-1*INT(LOG10(Sort_IDAC!AX39))+2)))</f>
        <v>3.2799999999999999E-18</v>
      </c>
      <c r="AY39" s="6">
        <f>IF(Sort_IDAC!$B39="","",IF(Sort_IDAC!AY39=0,0,ROUND(Sort_IDAC!AY39,-1*INT(LOG10(Sort_IDAC!AY39))+2)))</f>
        <v>3.6899999999999996E-18</v>
      </c>
      <c r="AZ39" s="6">
        <f>IF(Sort_IDAC!$B39="","",IF(Sort_IDAC!AZ39=0,0,ROUND(Sort_IDAC!AZ39,-1*INT(LOG10(Sort_IDAC!AZ39))+2)))</f>
        <v>1.19E-15</v>
      </c>
      <c r="BA39" s="6">
        <f>IF(Sort_IDAC!$B39="","",IF(Sort_IDAC!BA39=0,0,ROUND(Sort_IDAC!BA39,-1*INT(LOG10(Sort_IDAC!BA39))+2)))</f>
        <v>7.34E-16</v>
      </c>
      <c r="BB39" s="6">
        <f>IF(Sort_IDAC!$B39="","",IF(Sort_IDAC!BB39=0,0,ROUND(Sort_IDAC!BB39,-1*INT(LOG10(Sort_IDAC!BB39))+2)))</f>
        <v>1.8199999999999999E-17</v>
      </c>
      <c r="BC39" s="6">
        <f>IF(Sort_IDAC!$B39="","",IF(Sort_IDAC!BC39=0,0,ROUND(Sort_IDAC!BC39,-1*INT(LOG10(Sort_IDAC!BC39))+2)))</f>
        <v>1.83E-17</v>
      </c>
      <c r="BD39" s="6">
        <f>IF(Sort_IDAC!$B39="","",IF(Sort_IDAC!BD39=0,0,ROUND(Sort_IDAC!BD39,-1*INT(LOG10(Sort_IDAC!BD39))+2)))</f>
        <v>1.83E-17</v>
      </c>
      <c r="BE39" s="6">
        <f>IF(Sort_IDAC!$B39="","",IF(Sort_IDAC!BE39=0,0,ROUND(Sort_IDAC!BE39,-1*INT(LOG10(Sort_IDAC!BE39))+2)))</f>
        <v>5.9899999999999997E-13</v>
      </c>
      <c r="BF39" s="6">
        <f>IF(Sort_IDAC!$B39="","",IF(Sort_IDAC!BF39=0,0,ROUND(Sort_IDAC!BF39,-1*INT(LOG10(Sort_IDAC!BF39))+2)))</f>
        <v>5.1499999999999999E-16</v>
      </c>
      <c r="BG39" s="6">
        <f>IF(Sort_IDAC!$B39="","",IF(Sort_IDAC!BG39=0,0,ROUND(Sort_IDAC!BG39,-1*INT(LOG10(Sort_IDAC!BG39))+2)))</f>
        <v>2.7999999999999999E-17</v>
      </c>
      <c r="BH39" s="6">
        <f>IF(Sort_IDAC!$B39="","",IF(Sort_IDAC!BH39=0,0,ROUND(Sort_IDAC!BH39,-1*INT(LOG10(Sort_IDAC!BH39))+2)))</f>
        <v>2.2700000000000001E-17</v>
      </c>
      <c r="BI39" s="6">
        <f>IF(Sort_IDAC!$B39="","",IF(Sort_IDAC!BI39=0,0,ROUND(Sort_IDAC!BI39,-1*INT(LOG10(Sort_IDAC!BI39))+2)))</f>
        <v>2.2700000000000001E-17</v>
      </c>
      <c r="BJ39" s="6">
        <f>IF(Sort_IDAC!$B39="","",IF(Sort_IDAC!BJ39=0,0,ROUND(Sort_IDAC!BJ39,-1*INT(LOG10(Sort_IDAC!BJ39))+2)))</f>
        <v>2.2700000000000001E-17</v>
      </c>
      <c r="BK39" s="6">
        <f>IF(Sort_IDAC!$B39="","",IF(Sort_IDAC!BK39=0,0,ROUND(Sort_IDAC!BK39,-1*INT(LOG10(Sort_IDAC!BK39))+2)))</f>
        <v>1.3299999999999999E-16</v>
      </c>
      <c r="BL39" s="6">
        <f>IF(Sort_IDAC!$B39="","",IF(Sort_IDAC!BL39=0,0,ROUND(Sort_IDAC!BL39,-1*INT(LOG10(Sort_IDAC!BL39))+2)))</f>
        <v>1.06E-16</v>
      </c>
      <c r="BM39" s="6">
        <f>IF(Sort_IDAC!$B39="","",IF(Sort_IDAC!BM39=0,0,ROUND(Sort_IDAC!BM39,-1*INT(LOG10(Sort_IDAC!BM39))+2)))</f>
        <v>9.2399999999999995E-17</v>
      </c>
      <c r="BN39" s="6">
        <f>IF(Sort_IDAC!$B39="","",IF(Sort_IDAC!BN39=0,0,ROUND(Sort_IDAC!BN39,-1*INT(LOG10(Sort_IDAC!BN39))+2)))</f>
        <v>9.2399999999999995E-17</v>
      </c>
      <c r="BO39" s="6">
        <f>IF(Sort_IDAC!$B39="","",IF(Sort_IDAC!BO39=0,0,ROUND(Sort_IDAC!BO39,-1*INT(LOG10(Sort_IDAC!BO39))+2)))</f>
        <v>9.7200000000000002E-15</v>
      </c>
      <c r="BP39" s="6">
        <f>IF(Sort_IDAC!$B39="","",IF(Sort_IDAC!BP39=0,0,ROUND(Sort_IDAC!BP39,-1*INT(LOG10(Sort_IDAC!BP39))+2)))</f>
        <v>9.7200000000000002E-15</v>
      </c>
      <c r="BQ39" s="6">
        <f>IF(Sort_IDAC!$B39="","",IF(Sort_IDAC!BQ39=0,0,ROUND(Sort_IDAC!BQ39,-1*INT(LOG10(Sort_IDAC!BQ39))+2)))</f>
        <v>0</v>
      </c>
      <c r="BR39" s="6">
        <f>IF(Sort_IDAC!$B39="","",IF(Sort_IDAC!BR39=0,0,ROUND(Sort_IDAC!BR39,-1*INT(LOG10(Sort_IDAC!BR39))+2)))</f>
        <v>1.4000000000000001E-15</v>
      </c>
      <c r="BS39" s="6">
        <f>IF(Sort_IDAC!$B39="","",IF(Sort_IDAC!BS39=0,0,ROUND(Sort_IDAC!BS39,-1*INT(LOG10(Sort_IDAC!BS39))+2)))</f>
        <v>4.3599999999999998E-15</v>
      </c>
      <c r="BT39" s="6">
        <f>IF(Sort_IDAC!$B39="","",IF(Sort_IDAC!BT39=0,0,ROUND(Sort_IDAC!BT39,-1*INT(LOG10(Sort_IDAC!BT39))+2)))</f>
        <v>1.96E-14</v>
      </c>
      <c r="BU39" s="6">
        <f>IF(Sort_IDAC!$B39="","",IF(Sort_IDAC!BU39=0,0,ROUND(Sort_IDAC!BU39,-1*INT(LOG10(Sort_IDAC!BU39))+2)))</f>
        <v>1.9099999999999999E-14</v>
      </c>
      <c r="BV39" s="6">
        <f>IF(Sort_IDAC!$B39="","",IF(Sort_IDAC!BV39=0,0,ROUND(Sort_IDAC!BV39,-1*INT(LOG10(Sort_IDAC!BV39))+2)))</f>
        <v>8.6900000000000002E-16</v>
      </c>
      <c r="BW39" s="6">
        <f>IF(Sort_IDAC!$B39="","",IF(Sort_IDAC!BW39=0,0,ROUND(Sort_IDAC!BW39,-1*INT(LOG10(Sort_IDAC!BW39))+2)))</f>
        <v>1.5499999999999999E-15</v>
      </c>
      <c r="BX39" s="6">
        <f>IF(Sort_IDAC!$B39="","",IF(Sort_IDAC!BX39=0,0,ROUND(Sort_IDAC!BX39,-1*INT(LOG10(Sort_IDAC!BX39))+2)))</f>
        <v>1.5499999999999999E-15</v>
      </c>
      <c r="BY39" s="6">
        <f>IF(Sort_IDAC!$B39="","",IF(Sort_IDAC!BY39=0,0,ROUND(Sort_IDAC!BY39,-1*INT(LOG10(Sort_IDAC!BY39))+2)))</f>
        <v>2.0600000000000001E-17</v>
      </c>
      <c r="BZ39" s="6">
        <f>IF(Sort_IDAC!$B39="","",IF(Sort_IDAC!BZ39=0,0,ROUND(Sort_IDAC!BZ39,-1*INT(LOG10(Sort_IDAC!BZ39))+2)))</f>
        <v>3.7100000000000003E-18</v>
      </c>
      <c r="CA39" s="6">
        <f>IF(Sort_IDAC!$B39="","",IF(Sort_IDAC!CA39=0,0,ROUND(Sort_IDAC!CA39,-1*INT(LOG10(Sort_IDAC!CA39))+2)))</f>
        <v>3.12E-18</v>
      </c>
      <c r="CB39" s="6">
        <f>IF(Sort_IDAC!$B39="","",IF(Sort_IDAC!CB39=0,0,ROUND(Sort_IDAC!CB39,-1*INT(LOG10(Sort_IDAC!CB39))+2)))</f>
        <v>2.6999999999999999E-18</v>
      </c>
      <c r="CC39" s="6">
        <f>IF(Sort_IDAC!$B39="","",IF(Sort_IDAC!CC39=0,0,ROUND(Sort_IDAC!CC39,-1*INT(LOG10(Sort_IDAC!CC39))+2)))</f>
        <v>5.8900000000000001E-16</v>
      </c>
      <c r="CD39" s="6"/>
      <c r="CE39" s="6"/>
      <c r="CF39" s="6"/>
      <c r="CG39" s="6"/>
    </row>
    <row r="40" spans="2:85" x14ac:dyDescent="0.15">
      <c r="B40" s="5" t="s">
        <v>30</v>
      </c>
      <c r="C40" s="6">
        <f>IF(Sort_IDAC!$B40="","",IF(Sort_IDAC!C40=0,0,ROUND(Sort_IDAC!C40,-1*INT(LOG10(Sort_IDAC!C40))+2)))</f>
        <v>7.6399999999999999E-16</v>
      </c>
      <c r="D40" s="6">
        <f>IF(Sort_IDAC!$B40="","",IF(Sort_IDAC!D40=0,0,ROUND(Sort_IDAC!D40,-1*INT(LOG10(Sort_IDAC!D40))+2)))</f>
        <v>3.5699999999999998E-16</v>
      </c>
      <c r="E40" s="6">
        <f>IF(Sort_IDAC!$B40="","",IF(Sort_IDAC!E40=0,0,ROUND(Sort_IDAC!E40,-1*INT(LOG10(Sort_IDAC!E40))+2)))</f>
        <v>4.4500000000000003E-16</v>
      </c>
      <c r="F40" s="6">
        <f>IF(Sort_IDAC!$B40="","",IF(Sort_IDAC!F40=0,0,ROUND(Sort_IDAC!F40,-1*INT(LOG10(Sort_IDAC!F40))+2)))</f>
        <v>9.5100000000000007E-16</v>
      </c>
      <c r="G40" s="6">
        <f>IF(Sort_IDAC!$B40="","",IF(Sort_IDAC!G40=0,0,ROUND(Sort_IDAC!G40,-1*INT(LOG10(Sort_IDAC!G40))+2)))</f>
        <v>3.2500000000000001E-16</v>
      </c>
      <c r="H40" s="6">
        <f>IF(Sort_IDAC!$B40="","",IF(Sort_IDAC!H40=0,0,ROUND(Sort_IDAC!H40,-1*INT(LOG10(Sort_IDAC!H40))+2)))</f>
        <v>7.5500000000000004E-16</v>
      </c>
      <c r="I40" s="6">
        <f>IF(Sort_IDAC!$B40="","",IF(Sort_IDAC!I40=0,0,ROUND(Sort_IDAC!I40,-1*INT(LOG10(Sort_IDAC!I40))+2)))</f>
        <v>4.0700000000000001E-16</v>
      </c>
      <c r="J40" s="6">
        <f>IF(Sort_IDAC!$B40="","",IF(Sort_IDAC!J40=0,0,ROUND(Sort_IDAC!J40,-1*INT(LOG10(Sort_IDAC!J40))+2)))</f>
        <v>4.0700000000000001E-16</v>
      </c>
      <c r="K40" s="6">
        <f>IF(Sort_IDAC!$B40="","",IF(Sort_IDAC!K40=0,0,ROUND(Sort_IDAC!K40,-1*INT(LOG10(Sort_IDAC!K40))+2)))</f>
        <v>4.0700000000000001E-16</v>
      </c>
      <c r="L40" s="6">
        <f>IF(Sort_IDAC!$B40="","",IF(Sort_IDAC!L40=0,0,ROUND(Sort_IDAC!L40,-1*INT(LOG10(Sort_IDAC!L40))+2)))</f>
        <v>4.4500000000000003E-16</v>
      </c>
      <c r="M40" s="6">
        <f>IF(Sort_IDAC!$B40="","",IF(Sort_IDAC!M40=0,0,ROUND(Sort_IDAC!M40,-1*INT(LOG10(Sort_IDAC!M40))+2)))</f>
        <v>4.4500000000000003E-16</v>
      </c>
      <c r="N40" s="6">
        <f>IF(Sort_IDAC!$B40="","",IF(Sort_IDAC!N40=0,0,ROUND(Sort_IDAC!N40,-1*INT(LOG10(Sort_IDAC!N40))+2)))</f>
        <v>4.4500000000000003E-16</v>
      </c>
      <c r="O40" s="6">
        <f>IF(Sort_IDAC!$B40="","",IF(Sort_IDAC!O40=0,0,ROUND(Sort_IDAC!O40,-1*INT(LOG10(Sort_IDAC!O40))+2)))</f>
        <v>4.5700000000000003E-16</v>
      </c>
      <c r="P40" s="6">
        <f>IF(Sort_IDAC!$B40="","",IF(Sort_IDAC!P40=0,0,ROUND(Sort_IDAC!P40,-1*INT(LOG10(Sort_IDAC!P40))+2)))</f>
        <v>4.9400000000000004E-16</v>
      </c>
      <c r="Q40" s="6">
        <f>IF(Sort_IDAC!$B40="","",IF(Sort_IDAC!Q40=0,0,ROUND(Sort_IDAC!Q40,-1*INT(LOG10(Sort_IDAC!Q40))+2)))</f>
        <v>4.7000000000000004E-16</v>
      </c>
      <c r="R40" s="6">
        <f>IF(Sort_IDAC!$B40="","",IF(Sort_IDAC!R40=0,0,ROUND(Sort_IDAC!R40,-1*INT(LOG10(Sort_IDAC!R40))+2)))</f>
        <v>4.7000000000000004E-16</v>
      </c>
      <c r="S40" s="6">
        <f>IF(Sort_IDAC!$B40="","",IF(Sort_IDAC!S40=0,0,ROUND(Sort_IDAC!S40,-1*INT(LOG10(Sort_IDAC!S40))+2)))</f>
        <v>5.3199999999999997E-16</v>
      </c>
      <c r="T40" s="6">
        <f>IF(Sort_IDAC!$B40="","",IF(Sort_IDAC!T40=0,0,ROUND(Sort_IDAC!T40,-1*INT(LOG10(Sort_IDAC!T40))+2)))</f>
        <v>3.8000000000000001E-16</v>
      </c>
      <c r="U40" s="6">
        <f>IF(Sort_IDAC!$B40="","",IF(Sort_IDAC!U40=0,0,ROUND(Sort_IDAC!U40,-1*INT(LOG10(Sort_IDAC!U40))+2)))</f>
        <v>3.8000000000000001E-16</v>
      </c>
      <c r="V40" s="6">
        <f>IF(Sort_IDAC!$B40="","",IF(Sort_IDAC!V40=0,0,ROUND(Sort_IDAC!V40,-1*INT(LOG10(Sort_IDAC!V40))+2)))</f>
        <v>3.8000000000000001E-16</v>
      </c>
      <c r="W40" s="6">
        <f>IF(Sort_IDAC!$B40="","",IF(Sort_IDAC!W40=0,0,ROUND(Sort_IDAC!W40,-1*INT(LOG10(Sort_IDAC!W40))+2)))</f>
        <v>3.8000000000000001E-16</v>
      </c>
      <c r="X40" s="6">
        <f>IF(Sort_IDAC!$B40="","",IF(Sort_IDAC!X40=0,0,ROUND(Sort_IDAC!X40,-1*INT(LOG10(Sort_IDAC!X40))+2)))</f>
        <v>3.8000000000000001E-16</v>
      </c>
      <c r="Y40" s="6">
        <f>IF(Sort_IDAC!$B40="","",IF(Sort_IDAC!Y40=0,0,ROUND(Sort_IDAC!Y40,-1*INT(LOG10(Sort_IDAC!Y40))+2)))</f>
        <v>5.8300000000000001E-16</v>
      </c>
      <c r="Z40" s="6">
        <f>IF(Sort_IDAC!$B40="","",IF(Sort_IDAC!Z40=0,0,ROUND(Sort_IDAC!Z40,-1*INT(LOG10(Sort_IDAC!Z40))+2)))</f>
        <v>3.3599999999999999E-16</v>
      </c>
      <c r="AA40" s="6">
        <f>IF(Sort_IDAC!$B40="","",IF(Sort_IDAC!AA40=0,0,ROUND(Sort_IDAC!AA40,-1*INT(LOG10(Sort_IDAC!AA40))+2)))</f>
        <v>3.4E-16</v>
      </c>
      <c r="AB40" s="6">
        <f>IF(Sort_IDAC!$B40="","",IF(Sort_IDAC!AB40=0,0,ROUND(Sort_IDAC!AB40,-1*INT(LOG10(Sort_IDAC!AB40))+2)))</f>
        <v>3.9200000000000001E-16</v>
      </c>
      <c r="AC40" s="6">
        <f>IF(Sort_IDAC!$B40="","",IF(Sort_IDAC!AC40=0,0,ROUND(Sort_IDAC!AC40,-1*INT(LOG10(Sort_IDAC!AC40))+2)))</f>
        <v>3.8099999999999998E-16</v>
      </c>
      <c r="AD40" s="6">
        <f>IF(Sort_IDAC!$B40="","",IF(Sort_IDAC!AD40=0,0,ROUND(Sort_IDAC!AD40,-1*INT(LOG10(Sort_IDAC!AD40))+2)))</f>
        <v>3.6800000000000001E-16</v>
      </c>
      <c r="AE40" s="6">
        <f>IF(Sort_IDAC!$B40="","",IF(Sort_IDAC!AE40=0,0,ROUND(Sort_IDAC!AE40,-1*INT(LOG10(Sort_IDAC!AE40))+2)))</f>
        <v>3.7100000000000001E-16</v>
      </c>
      <c r="AF40" s="6">
        <f>IF(Sort_IDAC!$B40="","",IF(Sort_IDAC!AF40=0,0,ROUND(Sort_IDAC!AF40,-1*INT(LOG10(Sort_IDAC!AF40))+2)))</f>
        <v>3.7100000000000001E-16</v>
      </c>
      <c r="AG40" s="6">
        <f>IF(Sort_IDAC!$B40="","",IF(Sort_IDAC!AG40=0,0,ROUND(Sort_IDAC!AG40,-1*INT(LOG10(Sort_IDAC!AG40))+2)))</f>
        <v>4.0899999999999999E-16</v>
      </c>
      <c r="AH40" s="6">
        <f>IF(Sort_IDAC!$B40="","",IF(Sort_IDAC!AH40=0,0,ROUND(Sort_IDAC!AH40,-1*INT(LOG10(Sort_IDAC!AH40))+2)))</f>
        <v>4.4400000000000002E-16</v>
      </c>
      <c r="AI40" s="6">
        <f>IF(Sort_IDAC!$B40="","",IF(Sort_IDAC!AI40=0,0,ROUND(Sort_IDAC!AI40,-1*INT(LOG10(Sort_IDAC!AI40))+2)))</f>
        <v>4.4400000000000002E-16</v>
      </c>
      <c r="AJ40" s="6">
        <f>IF(Sort_IDAC!$B40="","",IF(Sort_IDAC!AJ40=0,0,ROUND(Sort_IDAC!AJ40,-1*INT(LOG10(Sort_IDAC!AJ40))+2)))</f>
        <v>4.4E-16</v>
      </c>
      <c r="AK40" s="6">
        <f>IF(Sort_IDAC!$B40="","",IF(Sort_IDAC!AK40=0,0,ROUND(Sort_IDAC!AK40,-1*INT(LOG10(Sort_IDAC!AK40))+2)))</f>
        <v>4.4799999999999998E-16</v>
      </c>
      <c r="AL40" s="6">
        <f>IF(Sort_IDAC!$B40="","",IF(Sort_IDAC!AL40=0,0,ROUND(Sort_IDAC!AL40,-1*INT(LOG10(Sort_IDAC!AL40))+2)))</f>
        <v>4.0599999999999999E-16</v>
      </c>
      <c r="AM40" s="6">
        <f>IF(Sort_IDAC!$B40="","",IF(Sort_IDAC!AM40=0,0,ROUND(Sort_IDAC!AM40,-1*INT(LOG10(Sort_IDAC!AM40))+2)))</f>
        <v>4.7500000000000003E-16</v>
      </c>
      <c r="AN40" s="6">
        <f>IF(Sort_IDAC!$B40="","",IF(Sort_IDAC!AN40=0,0,ROUND(Sort_IDAC!AN40,-1*INT(LOG10(Sort_IDAC!AN40))+2)))</f>
        <v>3.79E-16</v>
      </c>
      <c r="AO40" s="6">
        <f>IF(Sort_IDAC!$B40="","",IF(Sort_IDAC!AO40=0,0,ROUND(Sort_IDAC!AO40,-1*INT(LOG10(Sort_IDAC!AO40))+2)))</f>
        <v>3.79E-16</v>
      </c>
      <c r="AP40" s="6">
        <f>IF(Sort_IDAC!$B40="","",IF(Sort_IDAC!AP40=0,0,ROUND(Sort_IDAC!AP40,-1*INT(LOG10(Sort_IDAC!AP40))+2)))</f>
        <v>3.79E-16</v>
      </c>
      <c r="AQ40" s="6">
        <f>IF(Sort_IDAC!$B40="","",IF(Sort_IDAC!AQ40=0,0,ROUND(Sort_IDAC!AQ40,-1*INT(LOG10(Sort_IDAC!AQ40))+2)))</f>
        <v>4.1600000000000001E-16</v>
      </c>
      <c r="AR40" s="6">
        <f>IF(Sort_IDAC!$B40="","",IF(Sort_IDAC!AR40=0,0,ROUND(Sort_IDAC!AR40,-1*INT(LOG10(Sort_IDAC!AR40))+2)))</f>
        <v>4.1600000000000001E-16</v>
      </c>
      <c r="AS40" s="6">
        <f>IF(Sort_IDAC!$B40="","",IF(Sort_IDAC!AS40=0,0,ROUND(Sort_IDAC!AS40,-1*INT(LOG10(Sort_IDAC!AS40))+2)))</f>
        <v>3.4E-16</v>
      </c>
      <c r="AT40" s="6">
        <f>IF(Sort_IDAC!$B40="","",IF(Sort_IDAC!AT40=0,0,ROUND(Sort_IDAC!AT40,-1*INT(LOG10(Sort_IDAC!AT40))+2)))</f>
        <v>3.4E-16</v>
      </c>
      <c r="AU40" s="6">
        <f>IF(Sort_IDAC!$B40="","",IF(Sort_IDAC!AU40=0,0,ROUND(Sort_IDAC!AU40,-1*INT(LOG10(Sort_IDAC!AU40))+2)))</f>
        <v>3.0700000000000001E-16</v>
      </c>
      <c r="AV40" s="6">
        <f>IF(Sort_IDAC!$B40="","",IF(Sort_IDAC!AV40=0,0,ROUND(Sort_IDAC!AV40,-1*INT(LOG10(Sort_IDAC!AV40))+2)))</f>
        <v>0</v>
      </c>
      <c r="AW40" s="6">
        <f>IF(Sort_IDAC!$B40="","",IF(Sort_IDAC!AW40=0,0,ROUND(Sort_IDAC!AW40,-1*INT(LOG10(Sort_IDAC!AW40))+2)))</f>
        <v>3.5300000000000002E-16</v>
      </c>
      <c r="AX40" s="6">
        <f>IF(Sort_IDAC!$B40="","",IF(Sort_IDAC!AX40=0,0,ROUND(Sort_IDAC!AX40,-1*INT(LOG10(Sort_IDAC!AX40))+2)))</f>
        <v>3.5999999999999998E-16</v>
      </c>
      <c r="AY40" s="6">
        <f>IF(Sort_IDAC!$B40="","",IF(Sort_IDAC!AY40=0,0,ROUND(Sort_IDAC!AY40,-1*INT(LOG10(Sort_IDAC!AY40))+2)))</f>
        <v>3.5999999999999998E-16</v>
      </c>
      <c r="AZ40" s="6">
        <f>IF(Sort_IDAC!$B40="","",IF(Sort_IDAC!AZ40=0,0,ROUND(Sort_IDAC!AZ40,-1*INT(LOG10(Sort_IDAC!AZ40))+2)))</f>
        <v>3.9200000000000001E-16</v>
      </c>
      <c r="BA40" s="6">
        <f>IF(Sort_IDAC!$B40="","",IF(Sort_IDAC!BA40=0,0,ROUND(Sort_IDAC!BA40,-1*INT(LOG10(Sort_IDAC!BA40))+2)))</f>
        <v>4.4400000000000002E-16</v>
      </c>
      <c r="BB40" s="6">
        <f>IF(Sort_IDAC!$B40="","",IF(Sort_IDAC!BB40=0,0,ROUND(Sort_IDAC!BB40,-1*INT(LOG10(Sort_IDAC!BB40))+2)))</f>
        <v>3.7100000000000001E-16</v>
      </c>
      <c r="BC40" s="6">
        <f>IF(Sort_IDAC!$B40="","",IF(Sort_IDAC!BC40=0,0,ROUND(Sort_IDAC!BC40,-1*INT(LOG10(Sort_IDAC!BC40))+2)))</f>
        <v>3.7799999999999998E-16</v>
      </c>
      <c r="BD40" s="6">
        <f>IF(Sort_IDAC!$B40="","",IF(Sort_IDAC!BD40=0,0,ROUND(Sort_IDAC!BD40,-1*INT(LOG10(Sort_IDAC!BD40))+2)))</f>
        <v>3.7799999999999998E-16</v>
      </c>
      <c r="BE40" s="6">
        <f>IF(Sort_IDAC!$B40="","",IF(Sort_IDAC!BE40=0,0,ROUND(Sort_IDAC!BE40,-1*INT(LOG10(Sort_IDAC!BE40))+2)))</f>
        <v>5.0699999999999996E-16</v>
      </c>
      <c r="BF40" s="6">
        <f>IF(Sort_IDAC!$B40="","",IF(Sort_IDAC!BF40=0,0,ROUND(Sort_IDAC!BF40,-1*INT(LOG10(Sort_IDAC!BF40))+2)))</f>
        <v>1.4500000000000001E-14</v>
      </c>
      <c r="BG40" s="6">
        <f>IF(Sort_IDAC!$B40="","",IF(Sort_IDAC!BG40=0,0,ROUND(Sort_IDAC!BG40,-1*INT(LOG10(Sort_IDAC!BG40))+2)))</f>
        <v>3.5099999999999998E-16</v>
      </c>
      <c r="BH40" s="6">
        <f>IF(Sort_IDAC!$B40="","",IF(Sort_IDAC!BH40=0,0,ROUND(Sort_IDAC!BH40,-1*INT(LOG10(Sort_IDAC!BH40))+2)))</f>
        <v>3.52E-16</v>
      </c>
      <c r="BI40" s="6">
        <f>IF(Sort_IDAC!$B40="","",IF(Sort_IDAC!BI40=0,0,ROUND(Sort_IDAC!BI40,-1*INT(LOG10(Sort_IDAC!BI40))+2)))</f>
        <v>3.52E-16</v>
      </c>
      <c r="BJ40" s="6">
        <f>IF(Sort_IDAC!$B40="","",IF(Sort_IDAC!BJ40=0,0,ROUND(Sort_IDAC!BJ40,-1*INT(LOG10(Sort_IDAC!BJ40))+2)))</f>
        <v>3.52E-16</v>
      </c>
      <c r="BK40" s="6">
        <f>IF(Sort_IDAC!$B40="","",IF(Sort_IDAC!BK40=0,0,ROUND(Sort_IDAC!BK40,-1*INT(LOG10(Sort_IDAC!BK40))+2)))</f>
        <v>4.7799999999999998E-16</v>
      </c>
      <c r="BL40" s="6">
        <f>IF(Sort_IDAC!$B40="","",IF(Sort_IDAC!BL40=0,0,ROUND(Sort_IDAC!BL40,-1*INT(LOG10(Sort_IDAC!BL40))+2)))</f>
        <v>3.9299999999999998E-16</v>
      </c>
      <c r="BM40" s="6">
        <f>IF(Sort_IDAC!$B40="","",IF(Sort_IDAC!BM40=0,0,ROUND(Sort_IDAC!BM40,-1*INT(LOG10(Sort_IDAC!BM40))+2)))</f>
        <v>3.9899999999999998E-16</v>
      </c>
      <c r="BN40" s="6">
        <f>IF(Sort_IDAC!$B40="","",IF(Sort_IDAC!BN40=0,0,ROUND(Sort_IDAC!BN40,-1*INT(LOG10(Sort_IDAC!BN40))+2)))</f>
        <v>3.9899999999999998E-16</v>
      </c>
      <c r="BO40" s="6">
        <f>IF(Sort_IDAC!$B40="","",IF(Sort_IDAC!BO40=0,0,ROUND(Sort_IDAC!BO40,-1*INT(LOG10(Sort_IDAC!BO40))+2)))</f>
        <v>4.2300000000000002E-16</v>
      </c>
      <c r="BP40" s="6">
        <f>IF(Sort_IDAC!$B40="","",IF(Sort_IDAC!BP40=0,0,ROUND(Sort_IDAC!BP40,-1*INT(LOG10(Sort_IDAC!BP40))+2)))</f>
        <v>4.2300000000000002E-16</v>
      </c>
      <c r="BQ40" s="6">
        <f>IF(Sort_IDAC!$B40="","",IF(Sort_IDAC!BQ40=0,0,ROUND(Sort_IDAC!BQ40,-1*INT(LOG10(Sort_IDAC!BQ40))+2)))</f>
        <v>0</v>
      </c>
      <c r="BR40" s="6">
        <f>IF(Sort_IDAC!$B40="","",IF(Sort_IDAC!BR40=0,0,ROUND(Sort_IDAC!BR40,-1*INT(LOG10(Sort_IDAC!BR40))+2)))</f>
        <v>4.3599999999999998E-16</v>
      </c>
      <c r="BS40" s="6">
        <f>IF(Sort_IDAC!$B40="","",IF(Sort_IDAC!BS40=0,0,ROUND(Sort_IDAC!BS40,-1*INT(LOG10(Sort_IDAC!BS40))+2)))</f>
        <v>4.8700000000000002E-16</v>
      </c>
      <c r="BT40" s="6">
        <f>IF(Sort_IDAC!$B40="","",IF(Sort_IDAC!BT40=0,0,ROUND(Sort_IDAC!BT40,-1*INT(LOG10(Sort_IDAC!BT40))+2)))</f>
        <v>3.9899999999999998E-16</v>
      </c>
      <c r="BU40" s="6">
        <f>IF(Sort_IDAC!$B40="","",IF(Sort_IDAC!BU40=0,0,ROUND(Sort_IDAC!BU40,-1*INT(LOG10(Sort_IDAC!BU40))+2)))</f>
        <v>3.8099999999999998E-16</v>
      </c>
      <c r="BV40" s="6">
        <f>IF(Sort_IDAC!$B40="","",IF(Sort_IDAC!BV40=0,0,ROUND(Sort_IDAC!BV40,-1*INT(LOG10(Sort_IDAC!BV40))+2)))</f>
        <v>4.34E-16</v>
      </c>
      <c r="BW40" s="6">
        <f>IF(Sort_IDAC!$B40="","",IF(Sort_IDAC!BW40=0,0,ROUND(Sort_IDAC!BW40,-1*INT(LOG10(Sort_IDAC!BW40))+2)))</f>
        <v>4.3599999999999998E-16</v>
      </c>
      <c r="BX40" s="6">
        <f>IF(Sort_IDAC!$B40="","",IF(Sort_IDAC!BX40=0,0,ROUND(Sort_IDAC!BX40,-1*INT(LOG10(Sort_IDAC!BX40))+2)))</f>
        <v>4.3599999999999998E-16</v>
      </c>
      <c r="BY40" s="6">
        <f>IF(Sort_IDAC!$B40="","",IF(Sort_IDAC!BY40=0,0,ROUND(Sort_IDAC!BY40,-1*INT(LOG10(Sort_IDAC!BY40))+2)))</f>
        <v>3.1799999999999999E-16</v>
      </c>
      <c r="BZ40" s="6">
        <f>IF(Sort_IDAC!$B40="","",IF(Sort_IDAC!BZ40=0,0,ROUND(Sort_IDAC!BZ40,-1*INT(LOG10(Sort_IDAC!BZ40))+2)))</f>
        <v>3.8900000000000001E-16</v>
      </c>
      <c r="CA40" s="6">
        <f>IF(Sort_IDAC!$B40="","",IF(Sort_IDAC!CA40=0,0,ROUND(Sort_IDAC!CA40,-1*INT(LOG10(Sort_IDAC!CA40))+2)))</f>
        <v>4.1100000000000002E-16</v>
      </c>
      <c r="CB40" s="6">
        <f>IF(Sort_IDAC!$B40="","",IF(Sort_IDAC!CB40=0,0,ROUND(Sort_IDAC!CB40,-1*INT(LOG10(Sort_IDAC!CB40))+2)))</f>
        <v>3.43E-16</v>
      </c>
      <c r="CC40" s="6">
        <f>IF(Sort_IDAC!$B40="","",IF(Sort_IDAC!CC40=0,0,ROUND(Sort_IDAC!CC40,-1*INT(LOG10(Sort_IDAC!CC40))+2)))</f>
        <v>4.6300000000000003E-16</v>
      </c>
      <c r="CD40" s="6"/>
      <c r="CE40" s="6"/>
      <c r="CF40" s="6"/>
      <c r="CG40" s="6"/>
    </row>
    <row r="41" spans="2:85" x14ac:dyDescent="0.15">
      <c r="B41" s="5" t="s">
        <v>31</v>
      </c>
      <c r="C41" s="6">
        <f>IF(Sort_IDAC!$B41="","",IF(Sort_IDAC!C41=0,0,ROUND(Sort_IDAC!C41,-1*INT(LOG10(Sort_IDAC!C41))+2)))</f>
        <v>9.5100000000000007E-16</v>
      </c>
      <c r="D41" s="6">
        <f>IF(Sort_IDAC!$B41="","",IF(Sort_IDAC!D41=0,0,ROUND(Sort_IDAC!D41,-1*INT(LOG10(Sort_IDAC!D41))+2)))</f>
        <v>2.38E-15</v>
      </c>
      <c r="E41" s="6">
        <f>IF(Sort_IDAC!$B41="","",IF(Sort_IDAC!E41=0,0,ROUND(Sort_IDAC!E41,-1*INT(LOG10(Sort_IDAC!E41))+2)))</f>
        <v>2.7199999999999998E-16</v>
      </c>
      <c r="F41" s="6">
        <f>IF(Sort_IDAC!$B41="","",IF(Sort_IDAC!F41=0,0,ROUND(Sort_IDAC!F41,-1*INT(LOG10(Sort_IDAC!F41))+2)))</f>
        <v>3.3E-15</v>
      </c>
      <c r="G41" s="6">
        <f>IF(Sort_IDAC!$B41="","",IF(Sort_IDAC!G41=0,0,ROUND(Sort_IDAC!G41,-1*INT(LOG10(Sort_IDAC!G41))+2)))</f>
        <v>8.4999999999999995E-18</v>
      </c>
      <c r="H41" s="6">
        <f>IF(Sort_IDAC!$B41="","",IF(Sort_IDAC!H41=0,0,ROUND(Sort_IDAC!H41,-1*INT(LOG10(Sort_IDAC!H41))+2)))</f>
        <v>2.2E-16</v>
      </c>
      <c r="I41" s="6">
        <f>IF(Sort_IDAC!$B41="","",IF(Sort_IDAC!I41=0,0,ROUND(Sort_IDAC!I41,-1*INT(LOG10(Sort_IDAC!I41))+2)))</f>
        <v>1.4900000000000001E-16</v>
      </c>
      <c r="J41" s="6">
        <f>IF(Sort_IDAC!$B41="","",IF(Sort_IDAC!J41=0,0,ROUND(Sort_IDAC!J41,-1*INT(LOG10(Sort_IDAC!J41))+2)))</f>
        <v>1.4900000000000001E-16</v>
      </c>
      <c r="K41" s="6">
        <f>IF(Sort_IDAC!$B41="","",IF(Sort_IDAC!K41=0,0,ROUND(Sort_IDAC!K41,-1*INT(LOG10(Sort_IDAC!K41))+2)))</f>
        <v>1.4900000000000001E-16</v>
      </c>
      <c r="L41" s="6">
        <f>IF(Sort_IDAC!$B41="","",IF(Sort_IDAC!L41=0,0,ROUND(Sort_IDAC!L41,-1*INT(LOG10(Sort_IDAC!L41))+2)))</f>
        <v>2.7199999999999998E-16</v>
      </c>
      <c r="M41" s="6">
        <f>IF(Sort_IDAC!$B41="","",IF(Sort_IDAC!M41=0,0,ROUND(Sort_IDAC!M41,-1*INT(LOG10(Sort_IDAC!M41))+2)))</f>
        <v>2.7199999999999998E-16</v>
      </c>
      <c r="N41" s="6">
        <f>IF(Sort_IDAC!$B41="","",IF(Sort_IDAC!N41=0,0,ROUND(Sort_IDAC!N41,-1*INT(LOG10(Sort_IDAC!N41))+2)))</f>
        <v>2.7199999999999998E-16</v>
      </c>
      <c r="O41" s="6">
        <f>IF(Sort_IDAC!$B41="","",IF(Sort_IDAC!O41=0,0,ROUND(Sort_IDAC!O41,-1*INT(LOG10(Sort_IDAC!O41))+2)))</f>
        <v>1.18E-15</v>
      </c>
      <c r="P41" s="6">
        <f>IF(Sort_IDAC!$B41="","",IF(Sort_IDAC!P41=0,0,ROUND(Sort_IDAC!P41,-1*INT(LOG10(Sort_IDAC!P41))+2)))</f>
        <v>1.3400000000000001E-16</v>
      </c>
      <c r="Q41" s="6">
        <f>IF(Sort_IDAC!$B41="","",IF(Sort_IDAC!Q41=0,0,ROUND(Sort_IDAC!Q41,-1*INT(LOG10(Sort_IDAC!Q41))+2)))</f>
        <v>5.4999999999999996E-16</v>
      </c>
      <c r="R41" s="6">
        <f>IF(Sort_IDAC!$B41="","",IF(Sort_IDAC!R41=0,0,ROUND(Sort_IDAC!R41,-1*INT(LOG10(Sort_IDAC!R41))+2)))</f>
        <v>5.4999999999999996E-16</v>
      </c>
      <c r="S41" s="6">
        <f>IF(Sort_IDAC!$B41="","",IF(Sort_IDAC!S41=0,0,ROUND(Sort_IDAC!S41,-1*INT(LOG10(Sort_IDAC!S41))+2)))</f>
        <v>2.9700000000000001E-17</v>
      </c>
      <c r="T41" s="6">
        <f>IF(Sort_IDAC!$B41="","",IF(Sort_IDAC!T41=0,0,ROUND(Sort_IDAC!T41,-1*INT(LOG10(Sort_IDAC!T41))+2)))</f>
        <v>2.4299999999999999E-17</v>
      </c>
      <c r="U41" s="6">
        <f>IF(Sort_IDAC!$B41="","",IF(Sort_IDAC!U41=0,0,ROUND(Sort_IDAC!U41,-1*INT(LOG10(Sort_IDAC!U41))+2)))</f>
        <v>2.4299999999999999E-17</v>
      </c>
      <c r="V41" s="6">
        <f>IF(Sort_IDAC!$B41="","",IF(Sort_IDAC!V41=0,0,ROUND(Sort_IDAC!V41,-1*INT(LOG10(Sort_IDAC!V41))+2)))</f>
        <v>2.4299999999999999E-17</v>
      </c>
      <c r="W41" s="6">
        <f>IF(Sort_IDAC!$B41="","",IF(Sort_IDAC!W41=0,0,ROUND(Sort_IDAC!W41,-1*INT(LOG10(Sort_IDAC!W41))+2)))</f>
        <v>2.4299999999999999E-17</v>
      </c>
      <c r="X41" s="6">
        <f>IF(Sort_IDAC!$B41="","",IF(Sort_IDAC!X41=0,0,ROUND(Sort_IDAC!X41,-1*INT(LOG10(Sort_IDAC!X41))+2)))</f>
        <v>2.4299999999999999E-17</v>
      </c>
      <c r="Y41" s="6">
        <f>IF(Sort_IDAC!$B41="","",IF(Sort_IDAC!Y41=0,0,ROUND(Sort_IDAC!Y41,-1*INT(LOG10(Sort_IDAC!Y41))+2)))</f>
        <v>2.4599999999999999E-17</v>
      </c>
      <c r="Z41" s="6">
        <f>IF(Sort_IDAC!$B41="","",IF(Sort_IDAC!Z41=0,0,ROUND(Sort_IDAC!Z41,-1*INT(LOG10(Sort_IDAC!Z41))+2)))</f>
        <v>3.3800000000000001E-15</v>
      </c>
      <c r="AA41" s="6">
        <f>IF(Sort_IDAC!$B41="","",IF(Sort_IDAC!AA41=0,0,ROUND(Sort_IDAC!AA41,-1*INT(LOG10(Sort_IDAC!AA41))+2)))</f>
        <v>3.7199999999999997E-15</v>
      </c>
      <c r="AB41" s="6">
        <f>IF(Sort_IDAC!$B41="","",IF(Sort_IDAC!AB41=0,0,ROUND(Sort_IDAC!AB41,-1*INT(LOG10(Sort_IDAC!AB41))+2)))</f>
        <v>3.9699999999999999E-16</v>
      </c>
      <c r="AC41" s="6">
        <f>IF(Sort_IDAC!$B41="","",IF(Sort_IDAC!AC41=0,0,ROUND(Sort_IDAC!AC41,-1*INT(LOG10(Sort_IDAC!AC41))+2)))</f>
        <v>3.9199999999999998E-15</v>
      </c>
      <c r="AD41" s="6">
        <f>IF(Sort_IDAC!$B41="","",IF(Sort_IDAC!AD41=0,0,ROUND(Sort_IDAC!AD41,-1*INT(LOG10(Sort_IDAC!AD41))+2)))</f>
        <v>6.8799999999999998E-15</v>
      </c>
      <c r="AE41" s="6">
        <f>IF(Sort_IDAC!$B41="","",IF(Sort_IDAC!AE41=0,0,ROUND(Sort_IDAC!AE41,-1*INT(LOG10(Sort_IDAC!AE41))+2)))</f>
        <v>7.2500000000000007E-15</v>
      </c>
      <c r="AF41" s="6">
        <f>IF(Sort_IDAC!$B41="","",IF(Sort_IDAC!AF41=0,0,ROUND(Sort_IDAC!AF41,-1*INT(LOG10(Sort_IDAC!AF41))+2)))</f>
        <v>7.2500000000000007E-15</v>
      </c>
      <c r="AG41" s="6">
        <f>IF(Sort_IDAC!$B41="","",IF(Sort_IDAC!AG41=0,0,ROUND(Sort_IDAC!AG41,-1*INT(LOG10(Sort_IDAC!AG41))+2)))</f>
        <v>1.4999999999999999E-15</v>
      </c>
      <c r="AH41" s="6">
        <f>IF(Sort_IDAC!$B41="","",IF(Sort_IDAC!AH41=0,0,ROUND(Sort_IDAC!AH41,-1*INT(LOG10(Sort_IDAC!AH41))+2)))</f>
        <v>2.6800000000000002E-16</v>
      </c>
      <c r="AI41" s="6">
        <f>IF(Sort_IDAC!$B41="","",IF(Sort_IDAC!AI41=0,0,ROUND(Sort_IDAC!AI41,-1*INT(LOG10(Sort_IDAC!AI41))+2)))</f>
        <v>2.7700000000000001E-16</v>
      </c>
      <c r="AJ41" s="6">
        <f>IF(Sort_IDAC!$B41="","",IF(Sort_IDAC!AJ41=0,0,ROUND(Sort_IDAC!AJ41,-1*INT(LOG10(Sort_IDAC!AJ41))+2)))</f>
        <v>3.2799999999999998E-17</v>
      </c>
      <c r="AK41" s="6">
        <f>IF(Sort_IDAC!$B41="","",IF(Sort_IDAC!AK41=0,0,ROUND(Sort_IDAC!AK41,-1*INT(LOG10(Sort_IDAC!AK41))+2)))</f>
        <v>4.9900000000000002E-15</v>
      </c>
      <c r="AL41" s="6">
        <f>IF(Sort_IDAC!$B41="","",IF(Sort_IDAC!AL41=0,0,ROUND(Sort_IDAC!AL41,-1*INT(LOG10(Sort_IDAC!AL41))+2)))</f>
        <v>1.26E-16</v>
      </c>
      <c r="AM41" s="6">
        <f>IF(Sort_IDAC!$B41="","",IF(Sort_IDAC!AM41=0,0,ROUND(Sort_IDAC!AM41,-1*INT(LOG10(Sort_IDAC!AM41))+2)))</f>
        <v>8.3400000000000004E-16</v>
      </c>
      <c r="AN41" s="6">
        <f>IF(Sort_IDAC!$B41="","",IF(Sort_IDAC!AN41=0,0,ROUND(Sort_IDAC!AN41,-1*INT(LOG10(Sort_IDAC!AN41))+2)))</f>
        <v>2.88E-16</v>
      </c>
      <c r="AO41" s="6">
        <f>IF(Sort_IDAC!$B41="","",IF(Sort_IDAC!AO41=0,0,ROUND(Sort_IDAC!AO41,-1*INT(LOG10(Sort_IDAC!AO41))+2)))</f>
        <v>2.88E-16</v>
      </c>
      <c r="AP41" s="6">
        <f>IF(Sort_IDAC!$B41="","",IF(Sort_IDAC!AP41=0,0,ROUND(Sort_IDAC!AP41,-1*INT(LOG10(Sort_IDAC!AP41))+2)))</f>
        <v>2.88E-16</v>
      </c>
      <c r="AQ41" s="6">
        <f>IF(Sort_IDAC!$B41="","",IF(Sort_IDAC!AQ41=0,0,ROUND(Sort_IDAC!AQ41,-1*INT(LOG10(Sort_IDAC!AQ41))+2)))</f>
        <v>3.1400000000000002E-17</v>
      </c>
      <c r="AR41" s="6">
        <f>IF(Sort_IDAC!$B41="","",IF(Sort_IDAC!AR41=0,0,ROUND(Sort_IDAC!AR41,-1*INT(LOG10(Sort_IDAC!AR41))+2)))</f>
        <v>3.1400000000000002E-17</v>
      </c>
      <c r="AS41" s="6">
        <f>IF(Sort_IDAC!$B41="","",IF(Sort_IDAC!AS41=0,0,ROUND(Sort_IDAC!AS41,-1*INT(LOG10(Sort_IDAC!AS41))+2)))</f>
        <v>4.49E-15</v>
      </c>
      <c r="AT41" s="6">
        <f>IF(Sort_IDAC!$B41="","",IF(Sort_IDAC!AT41=0,0,ROUND(Sort_IDAC!AT41,-1*INT(LOG10(Sort_IDAC!AT41))+2)))</f>
        <v>7.5300000000000005E-15</v>
      </c>
      <c r="AU41" s="6">
        <f>IF(Sort_IDAC!$B41="","",IF(Sort_IDAC!AU41=0,0,ROUND(Sort_IDAC!AU41,-1*INT(LOG10(Sort_IDAC!AU41))+2)))</f>
        <v>1.1999999999999999E-17</v>
      </c>
      <c r="AV41" s="6">
        <f>IF(Sort_IDAC!$B41="","",IF(Sort_IDAC!AV41=0,0,ROUND(Sort_IDAC!AV41,-1*INT(LOG10(Sort_IDAC!AV41))+2)))</f>
        <v>0</v>
      </c>
      <c r="AW41" s="6">
        <f>IF(Sort_IDAC!$B41="","",IF(Sort_IDAC!AW41=0,0,ROUND(Sort_IDAC!AW41,-1*INT(LOG10(Sort_IDAC!AW41))+2)))</f>
        <v>5.41E-15</v>
      </c>
      <c r="AX41" s="6">
        <f>IF(Sort_IDAC!$B41="","",IF(Sort_IDAC!AX41=0,0,ROUND(Sort_IDAC!AX41,-1*INT(LOG10(Sort_IDAC!AX41))+2)))</f>
        <v>4.3400000000000003E-15</v>
      </c>
      <c r="AY41" s="6">
        <f>IF(Sort_IDAC!$B41="","",IF(Sort_IDAC!AY41=0,0,ROUND(Sort_IDAC!AY41,-1*INT(LOG10(Sort_IDAC!AY41))+2)))</f>
        <v>4.3400000000000003E-15</v>
      </c>
      <c r="AZ41" s="6">
        <f>IF(Sort_IDAC!$B41="","",IF(Sort_IDAC!AZ41=0,0,ROUND(Sort_IDAC!AZ41,-1*INT(LOG10(Sort_IDAC!AZ41))+2)))</f>
        <v>1.8899999999999999E-15</v>
      </c>
      <c r="BA41" s="6">
        <f>IF(Sort_IDAC!$B41="","",IF(Sort_IDAC!BA41=0,0,ROUND(Sort_IDAC!BA41,-1*INT(LOG10(Sort_IDAC!BA41))+2)))</f>
        <v>2.6800000000000002E-16</v>
      </c>
      <c r="BB41" s="6">
        <f>IF(Sort_IDAC!$B41="","",IF(Sort_IDAC!BB41=0,0,ROUND(Sort_IDAC!BB41,-1*INT(LOG10(Sort_IDAC!BB41))+2)))</f>
        <v>5.1200000000000004E-15</v>
      </c>
      <c r="BC41" s="6">
        <f>IF(Sort_IDAC!$B41="","",IF(Sort_IDAC!BC41=0,0,ROUND(Sort_IDAC!BC41,-1*INT(LOG10(Sort_IDAC!BC41))+2)))</f>
        <v>5.5199999999999998E-15</v>
      </c>
      <c r="BD41" s="6">
        <f>IF(Sort_IDAC!$B41="","",IF(Sort_IDAC!BD41=0,0,ROUND(Sort_IDAC!BD41,-1*INT(LOG10(Sort_IDAC!BD41))+2)))</f>
        <v>5.5199999999999998E-15</v>
      </c>
      <c r="BE41" s="6">
        <f>IF(Sort_IDAC!$B41="","",IF(Sort_IDAC!BE41=0,0,ROUND(Sort_IDAC!BE41,-1*INT(LOG10(Sort_IDAC!BE41))+2)))</f>
        <v>2.3999999999999999E-17</v>
      </c>
      <c r="BF41" s="6">
        <f>IF(Sort_IDAC!$B41="","",IF(Sort_IDAC!BF41=0,0,ROUND(Sort_IDAC!BF41,-1*INT(LOG10(Sort_IDAC!BF41))+2)))</f>
        <v>3.7E-16</v>
      </c>
      <c r="BG41" s="6">
        <f>IF(Sort_IDAC!$B41="","",IF(Sort_IDAC!BG41=0,0,ROUND(Sort_IDAC!BG41,-1*INT(LOG10(Sort_IDAC!BG41))+2)))</f>
        <v>2.3299999999999999E-14</v>
      </c>
      <c r="BH41" s="6">
        <f>IF(Sort_IDAC!$B41="","",IF(Sort_IDAC!BH41=0,0,ROUND(Sort_IDAC!BH41,-1*INT(LOG10(Sort_IDAC!BH41))+2)))</f>
        <v>4.4800000000000001E-13</v>
      </c>
      <c r="BI41" s="6">
        <f>IF(Sort_IDAC!$B41="","",IF(Sort_IDAC!BI41=0,0,ROUND(Sort_IDAC!BI41,-1*INT(LOG10(Sort_IDAC!BI41))+2)))</f>
        <v>5.0399999999999999E-14</v>
      </c>
      <c r="BJ41" s="6">
        <f>IF(Sort_IDAC!$B41="","",IF(Sort_IDAC!BJ41=0,0,ROUND(Sort_IDAC!BJ41,-1*INT(LOG10(Sort_IDAC!BJ41))+2)))</f>
        <v>1.06E-13</v>
      </c>
      <c r="BK41" s="6">
        <f>IF(Sort_IDAC!$B41="","",IF(Sort_IDAC!BK41=0,0,ROUND(Sort_IDAC!BK41,-1*INT(LOG10(Sort_IDAC!BK41))+2)))</f>
        <v>1.5700000000000001E-15</v>
      </c>
      <c r="BL41" s="6">
        <f>IF(Sort_IDAC!$B41="","",IF(Sort_IDAC!BL41=0,0,ROUND(Sort_IDAC!BL41,-1*INT(LOG10(Sort_IDAC!BL41))+2)))</f>
        <v>2.8799999999999999E-15</v>
      </c>
      <c r="BM41" s="6">
        <f>IF(Sort_IDAC!$B41="","",IF(Sort_IDAC!BM41=0,0,ROUND(Sort_IDAC!BM41,-1*INT(LOG10(Sort_IDAC!BM41))+2)))</f>
        <v>4.0199999999999998E-15</v>
      </c>
      <c r="BN41" s="6">
        <f>IF(Sort_IDAC!$B41="","",IF(Sort_IDAC!BN41=0,0,ROUND(Sort_IDAC!BN41,-1*INT(LOG10(Sort_IDAC!BN41))+2)))</f>
        <v>4.0199999999999998E-15</v>
      </c>
      <c r="BO41" s="6">
        <f>IF(Sort_IDAC!$B41="","",IF(Sort_IDAC!BO41=0,0,ROUND(Sort_IDAC!BO41,-1*INT(LOG10(Sort_IDAC!BO41))+2)))</f>
        <v>3.06E-17</v>
      </c>
      <c r="BP41" s="6">
        <f>IF(Sort_IDAC!$B41="","",IF(Sort_IDAC!BP41=0,0,ROUND(Sort_IDAC!BP41,-1*INT(LOG10(Sort_IDAC!BP41))+2)))</f>
        <v>3.06E-17</v>
      </c>
      <c r="BQ41" s="6">
        <f>IF(Sort_IDAC!$B41="","",IF(Sort_IDAC!BQ41=0,0,ROUND(Sort_IDAC!BQ41,-1*INT(LOG10(Sort_IDAC!BQ41))+2)))</f>
        <v>0</v>
      </c>
      <c r="BR41" s="6">
        <f>IF(Sort_IDAC!$B41="","",IF(Sort_IDAC!BR41=0,0,ROUND(Sort_IDAC!BR41,-1*INT(LOG10(Sort_IDAC!BR41))+2)))</f>
        <v>1.06E-16</v>
      </c>
      <c r="BS41" s="6">
        <f>IF(Sort_IDAC!$B41="","",IF(Sort_IDAC!BS41=0,0,ROUND(Sort_IDAC!BS41,-1*INT(LOG10(Sort_IDAC!BS41))+2)))</f>
        <v>5.6200000000000006E-17</v>
      </c>
      <c r="BT41" s="6">
        <f>IF(Sort_IDAC!$B41="","",IF(Sort_IDAC!BT41=0,0,ROUND(Sort_IDAC!BT41,-1*INT(LOG10(Sort_IDAC!BT41))+2)))</f>
        <v>3.06E-17</v>
      </c>
      <c r="BU41" s="6">
        <f>IF(Sort_IDAC!$B41="","",IF(Sort_IDAC!BU41=0,0,ROUND(Sort_IDAC!BU41,-1*INT(LOG10(Sort_IDAC!BU41))+2)))</f>
        <v>2.3399999999999999E-17</v>
      </c>
      <c r="BV41" s="6">
        <f>IF(Sort_IDAC!$B41="","",IF(Sort_IDAC!BV41=0,0,ROUND(Sort_IDAC!BV41,-1*INT(LOG10(Sort_IDAC!BV41))+2)))</f>
        <v>1.1599999999999999E-15</v>
      </c>
      <c r="BW41" s="6">
        <f>IF(Sort_IDAC!$B41="","",IF(Sort_IDAC!BW41=0,0,ROUND(Sort_IDAC!BW41,-1*INT(LOG10(Sort_IDAC!BW41))+2)))</f>
        <v>8.8E-16</v>
      </c>
      <c r="BX41" s="6">
        <f>IF(Sort_IDAC!$B41="","",IF(Sort_IDAC!BX41=0,0,ROUND(Sort_IDAC!BX41,-1*INT(LOG10(Sort_IDAC!BX41))+2)))</f>
        <v>8.8E-16</v>
      </c>
      <c r="BY41" s="6">
        <f>IF(Sort_IDAC!$B41="","",IF(Sort_IDAC!BY41=0,0,ROUND(Sort_IDAC!BY41,-1*INT(LOG10(Sort_IDAC!BY41))+2)))</f>
        <v>8.8900000000000005E-15</v>
      </c>
      <c r="BZ41" s="6">
        <f>IF(Sort_IDAC!$B41="","",IF(Sort_IDAC!BZ41=0,0,ROUND(Sort_IDAC!BZ41,-1*INT(LOG10(Sort_IDAC!BZ41))+2)))</f>
        <v>4.7200000000000002E-15</v>
      </c>
      <c r="CA41" s="6">
        <f>IF(Sort_IDAC!$B41="","",IF(Sort_IDAC!CA41=0,0,ROUND(Sort_IDAC!CA41,-1*INT(LOG10(Sort_IDAC!CA41))+2)))</f>
        <v>4.1400000000000002E-15</v>
      </c>
      <c r="CB41" s="6">
        <f>IF(Sort_IDAC!$B41="","",IF(Sort_IDAC!CB41=0,0,ROUND(Sort_IDAC!CB41,-1*INT(LOG10(Sort_IDAC!CB41))+2)))</f>
        <v>4.1599999999999998E-15</v>
      </c>
      <c r="CC41" s="6">
        <f>IF(Sort_IDAC!$B41="","",IF(Sort_IDAC!CC41=0,0,ROUND(Sort_IDAC!CC41,-1*INT(LOG10(Sort_IDAC!CC41))+2)))</f>
        <v>6.5200000000000004E-16</v>
      </c>
      <c r="CD41" s="6"/>
      <c r="CE41" s="6"/>
      <c r="CF41" s="6"/>
      <c r="CG41" s="6"/>
    </row>
    <row r="42" spans="2:85" x14ac:dyDescent="0.15">
      <c r="B42" s="5" t="s">
        <v>32</v>
      </c>
      <c r="C42" s="6">
        <f>IF(Sort_IDAC!$B42="","",IF(Sort_IDAC!C42=0,0,ROUND(Sort_IDAC!C42,-1*INT(LOG10(Sort_IDAC!C42))+2)))</f>
        <v>7.3799999999999996E-16</v>
      </c>
      <c r="D42" s="6">
        <f>IF(Sort_IDAC!$B42="","",IF(Sort_IDAC!D42=0,0,ROUND(Sort_IDAC!D42,-1*INT(LOG10(Sort_IDAC!D42))+2)))</f>
        <v>5.9700000000000004E-15</v>
      </c>
      <c r="E42" s="6">
        <f>IF(Sort_IDAC!$B42="","",IF(Sort_IDAC!E42=0,0,ROUND(Sort_IDAC!E42,-1*INT(LOG10(Sort_IDAC!E42))+2)))</f>
        <v>2.7099999999999999E-15</v>
      </c>
      <c r="F42" s="6">
        <f>IF(Sort_IDAC!$B42="","",IF(Sort_IDAC!F42=0,0,ROUND(Sort_IDAC!F42,-1*INT(LOG10(Sort_IDAC!F42))+2)))</f>
        <v>4.7200000000000002E-15</v>
      </c>
      <c r="G42" s="6">
        <f>IF(Sort_IDAC!$B42="","",IF(Sort_IDAC!G42=0,0,ROUND(Sort_IDAC!G42,-1*INT(LOG10(Sort_IDAC!G42))+2)))</f>
        <v>4.5100000000000002E-17</v>
      </c>
      <c r="H42" s="6">
        <f>IF(Sort_IDAC!$B42="","",IF(Sort_IDAC!H42=0,0,ROUND(Sort_IDAC!H42,-1*INT(LOG10(Sort_IDAC!H42))+2)))</f>
        <v>8.9100000000000008E-16</v>
      </c>
      <c r="I42" s="6">
        <f>IF(Sort_IDAC!$B42="","",IF(Sort_IDAC!I42=0,0,ROUND(Sort_IDAC!I42,-1*INT(LOG10(Sort_IDAC!I42))+2)))</f>
        <v>1.0999999999999999E-15</v>
      </c>
      <c r="J42" s="6">
        <f>IF(Sort_IDAC!$B42="","",IF(Sort_IDAC!J42=0,0,ROUND(Sort_IDAC!J42,-1*INT(LOG10(Sort_IDAC!J42))+2)))</f>
        <v>1.0999999999999999E-15</v>
      </c>
      <c r="K42" s="6">
        <f>IF(Sort_IDAC!$B42="","",IF(Sort_IDAC!K42=0,0,ROUND(Sort_IDAC!K42,-1*INT(LOG10(Sort_IDAC!K42))+2)))</f>
        <v>1.0999999999999999E-15</v>
      </c>
      <c r="L42" s="6">
        <f>IF(Sort_IDAC!$B42="","",IF(Sort_IDAC!L42=0,0,ROUND(Sort_IDAC!L42,-1*INT(LOG10(Sort_IDAC!L42))+2)))</f>
        <v>2.7099999999999999E-15</v>
      </c>
      <c r="M42" s="6">
        <f>IF(Sort_IDAC!$B42="","",IF(Sort_IDAC!M42=0,0,ROUND(Sort_IDAC!M42,-1*INT(LOG10(Sort_IDAC!M42))+2)))</f>
        <v>2.7099999999999999E-15</v>
      </c>
      <c r="N42" s="6">
        <f>IF(Sort_IDAC!$B42="","",IF(Sort_IDAC!N42=0,0,ROUND(Sort_IDAC!N42,-1*INT(LOG10(Sort_IDAC!N42))+2)))</f>
        <v>2.7099999999999999E-15</v>
      </c>
      <c r="O42" s="6">
        <f>IF(Sort_IDAC!$B42="","",IF(Sort_IDAC!O42=0,0,ROUND(Sort_IDAC!O42,-1*INT(LOG10(Sort_IDAC!O42))+2)))</f>
        <v>7.0000000000000003E-16</v>
      </c>
      <c r="P42" s="6">
        <f>IF(Sort_IDAC!$B42="","",IF(Sort_IDAC!P42=0,0,ROUND(Sort_IDAC!P42,-1*INT(LOG10(Sort_IDAC!P42))+2)))</f>
        <v>2E-16</v>
      </c>
      <c r="Q42" s="6">
        <f>IF(Sort_IDAC!$B42="","",IF(Sort_IDAC!Q42=0,0,ROUND(Sort_IDAC!Q42,-1*INT(LOG10(Sort_IDAC!Q42))+2)))</f>
        <v>5.3500000000000002E-16</v>
      </c>
      <c r="R42" s="6">
        <f>IF(Sort_IDAC!$B42="","",IF(Sort_IDAC!R42=0,0,ROUND(Sort_IDAC!R42,-1*INT(LOG10(Sort_IDAC!R42))+2)))</f>
        <v>5.3500000000000002E-16</v>
      </c>
      <c r="S42" s="6">
        <f>IF(Sort_IDAC!$B42="","",IF(Sort_IDAC!S42=0,0,ROUND(Sort_IDAC!S42,-1*INT(LOG10(Sort_IDAC!S42))+2)))</f>
        <v>9.5900000000000003E-17</v>
      </c>
      <c r="T42" s="6">
        <f>IF(Sort_IDAC!$B42="","",IF(Sort_IDAC!T42=0,0,ROUND(Sort_IDAC!T42,-1*INT(LOG10(Sort_IDAC!T42))+2)))</f>
        <v>1.3400000000000001E-16</v>
      </c>
      <c r="U42" s="6">
        <f>IF(Sort_IDAC!$B42="","",IF(Sort_IDAC!U42=0,0,ROUND(Sort_IDAC!U42,-1*INT(LOG10(Sort_IDAC!U42))+2)))</f>
        <v>1.3400000000000001E-16</v>
      </c>
      <c r="V42" s="6">
        <f>IF(Sort_IDAC!$B42="","",IF(Sort_IDAC!V42=0,0,ROUND(Sort_IDAC!V42,-1*INT(LOG10(Sort_IDAC!V42))+2)))</f>
        <v>1.3400000000000001E-16</v>
      </c>
      <c r="W42" s="6">
        <f>IF(Sort_IDAC!$B42="","",IF(Sort_IDAC!W42=0,0,ROUND(Sort_IDAC!W42,-1*INT(LOG10(Sort_IDAC!W42))+2)))</f>
        <v>1.3400000000000001E-16</v>
      </c>
      <c r="X42" s="6">
        <f>IF(Sort_IDAC!$B42="","",IF(Sort_IDAC!X42=0,0,ROUND(Sort_IDAC!X42,-1*INT(LOG10(Sort_IDAC!X42))+2)))</f>
        <v>1.3400000000000001E-16</v>
      </c>
      <c r="Y42" s="6">
        <f>IF(Sort_IDAC!$B42="","",IF(Sort_IDAC!Y42=0,0,ROUND(Sort_IDAC!Y42,-1*INT(LOG10(Sort_IDAC!Y42))+2)))</f>
        <v>7.7900000000000006E-17</v>
      </c>
      <c r="Z42" s="6">
        <f>IF(Sort_IDAC!$B42="","",IF(Sort_IDAC!Z42=0,0,ROUND(Sort_IDAC!Z42,-1*INT(LOG10(Sort_IDAC!Z42))+2)))</f>
        <v>2.4399999999999998E-15</v>
      </c>
      <c r="AA42" s="6">
        <f>IF(Sort_IDAC!$B42="","",IF(Sort_IDAC!AA42=0,0,ROUND(Sort_IDAC!AA42,-1*INT(LOG10(Sort_IDAC!AA42))+2)))</f>
        <v>2.4600000000000001E-15</v>
      </c>
      <c r="AB42" s="6">
        <f>IF(Sort_IDAC!$B42="","",IF(Sort_IDAC!AB42=0,0,ROUND(Sort_IDAC!AB42,-1*INT(LOG10(Sort_IDAC!AB42))+2)))</f>
        <v>3.0299999999999999E-15</v>
      </c>
      <c r="AC42" s="6">
        <f>IF(Sort_IDAC!$B42="","",IF(Sort_IDAC!AC42=0,0,ROUND(Sort_IDAC!AC42,-1*INT(LOG10(Sort_IDAC!AC42))+2)))</f>
        <v>6.0400000000000003E-15</v>
      </c>
      <c r="AD42" s="6">
        <f>IF(Sort_IDAC!$B42="","",IF(Sort_IDAC!AD42=0,0,ROUND(Sort_IDAC!AD42,-1*INT(LOG10(Sort_IDAC!AD42))+2)))</f>
        <v>6.5200000000000004E-16</v>
      </c>
      <c r="AE42" s="6">
        <f>IF(Sort_IDAC!$B42="","",IF(Sort_IDAC!AE42=0,0,ROUND(Sort_IDAC!AE42,-1*INT(LOG10(Sort_IDAC!AE42))+2)))</f>
        <v>6.3400000000000005E-16</v>
      </c>
      <c r="AF42" s="6">
        <f>IF(Sort_IDAC!$B42="","",IF(Sort_IDAC!AF42=0,0,ROUND(Sort_IDAC!AF42,-1*INT(LOG10(Sort_IDAC!AF42))+2)))</f>
        <v>6.3400000000000005E-16</v>
      </c>
      <c r="AG42" s="6">
        <f>IF(Sort_IDAC!$B42="","",IF(Sort_IDAC!AG42=0,0,ROUND(Sort_IDAC!AG42,-1*INT(LOG10(Sort_IDAC!AG42))+2)))</f>
        <v>1.9500000000000001E-15</v>
      </c>
      <c r="AH42" s="6">
        <f>IF(Sort_IDAC!$B42="","",IF(Sort_IDAC!AH42=0,0,ROUND(Sort_IDAC!AH42,-1*INT(LOG10(Sort_IDAC!AH42))+2)))</f>
        <v>2.6599999999999998E-15</v>
      </c>
      <c r="AI42" s="6">
        <f>IF(Sort_IDAC!$B42="","",IF(Sort_IDAC!AI42=0,0,ROUND(Sort_IDAC!AI42,-1*INT(LOG10(Sort_IDAC!AI42))+2)))</f>
        <v>2.8000000000000001E-15</v>
      </c>
      <c r="AJ42" s="6">
        <f>IF(Sort_IDAC!$B42="","",IF(Sort_IDAC!AJ42=0,0,ROUND(Sort_IDAC!AJ42,-1*INT(LOG10(Sort_IDAC!AJ42))+2)))</f>
        <v>1.7999999999999999E-16</v>
      </c>
      <c r="AK42" s="6">
        <f>IF(Sort_IDAC!$B42="","",IF(Sort_IDAC!AK42=0,0,ROUND(Sort_IDAC!AK42,-1*INT(LOG10(Sort_IDAC!AK42))+2)))</f>
        <v>1.76E-15</v>
      </c>
      <c r="AL42" s="6">
        <f>IF(Sort_IDAC!$B42="","",IF(Sort_IDAC!AL42=0,0,ROUND(Sort_IDAC!AL42,-1*INT(LOG10(Sort_IDAC!AL42))+2)))</f>
        <v>8.6300000000000002E-16</v>
      </c>
      <c r="AM42" s="6">
        <f>IF(Sort_IDAC!$B42="","",IF(Sort_IDAC!AM42=0,0,ROUND(Sort_IDAC!AM42,-1*INT(LOG10(Sort_IDAC!AM42))+2)))</f>
        <v>6.4000000000000005E-16</v>
      </c>
      <c r="AN42" s="6">
        <f>IF(Sort_IDAC!$B42="","",IF(Sort_IDAC!AN42=0,0,ROUND(Sort_IDAC!AN42,-1*INT(LOG10(Sort_IDAC!AN42))+2)))</f>
        <v>2.21E-15</v>
      </c>
      <c r="AO42" s="6">
        <f>IF(Sort_IDAC!$B42="","",IF(Sort_IDAC!AO42=0,0,ROUND(Sort_IDAC!AO42,-1*INT(LOG10(Sort_IDAC!AO42))+2)))</f>
        <v>2.21E-15</v>
      </c>
      <c r="AP42" s="6">
        <f>IF(Sort_IDAC!$B42="","",IF(Sort_IDAC!AP42=0,0,ROUND(Sort_IDAC!AP42,-1*INT(LOG10(Sort_IDAC!AP42))+2)))</f>
        <v>2.21E-15</v>
      </c>
      <c r="AQ42" s="6">
        <f>IF(Sort_IDAC!$B42="","",IF(Sort_IDAC!AQ42=0,0,ROUND(Sort_IDAC!AQ42,-1*INT(LOG10(Sort_IDAC!AQ42))+2)))</f>
        <v>1.3899999999999999E-16</v>
      </c>
      <c r="AR42" s="6">
        <f>IF(Sort_IDAC!$B42="","",IF(Sort_IDAC!AR42=0,0,ROUND(Sort_IDAC!AR42,-1*INT(LOG10(Sort_IDAC!AR42))+2)))</f>
        <v>1.3899999999999999E-16</v>
      </c>
      <c r="AS42" s="6">
        <f>IF(Sort_IDAC!$B42="","",IF(Sort_IDAC!AS42=0,0,ROUND(Sort_IDAC!AS42,-1*INT(LOG10(Sort_IDAC!AS42))+2)))</f>
        <v>8.9300000000000004E-17</v>
      </c>
      <c r="AT42" s="6">
        <f>IF(Sort_IDAC!$B42="","",IF(Sort_IDAC!AT42=0,0,ROUND(Sort_IDAC!AT42,-1*INT(LOG10(Sort_IDAC!AT42))+2)))</f>
        <v>3.0900000000000001E-15</v>
      </c>
      <c r="AU42" s="6">
        <f>IF(Sort_IDAC!$B42="","",IF(Sort_IDAC!AU42=0,0,ROUND(Sort_IDAC!AU42,-1*INT(LOG10(Sort_IDAC!AU42))+2)))</f>
        <v>6.4999999999999996E-17</v>
      </c>
      <c r="AV42" s="6">
        <f>IF(Sort_IDAC!$B42="","",IF(Sort_IDAC!AV42=0,0,ROUND(Sort_IDAC!AV42,-1*INT(LOG10(Sort_IDAC!AV42))+2)))</f>
        <v>0</v>
      </c>
      <c r="AW42" s="6">
        <f>IF(Sort_IDAC!$B42="","",IF(Sort_IDAC!AW42=0,0,ROUND(Sort_IDAC!AW42,-1*INT(LOG10(Sort_IDAC!AW42))+2)))</f>
        <v>1.2800000000000001E-16</v>
      </c>
      <c r="AX42" s="6">
        <f>IF(Sort_IDAC!$B42="","",IF(Sort_IDAC!AX42=0,0,ROUND(Sort_IDAC!AX42,-1*INT(LOG10(Sort_IDAC!AX42))+2)))</f>
        <v>1.08E-16</v>
      </c>
      <c r="AY42" s="6">
        <f>IF(Sort_IDAC!$B42="","",IF(Sort_IDAC!AY42=0,0,ROUND(Sort_IDAC!AY42,-1*INT(LOG10(Sort_IDAC!AY42))+2)))</f>
        <v>1.08E-16</v>
      </c>
      <c r="AZ42" s="6">
        <f>IF(Sort_IDAC!$B42="","",IF(Sort_IDAC!AZ42=0,0,ROUND(Sort_IDAC!AZ42,-1*INT(LOG10(Sort_IDAC!AZ42))+2)))</f>
        <v>1.54E-15</v>
      </c>
      <c r="BA42" s="6">
        <f>IF(Sort_IDAC!$B42="","",IF(Sort_IDAC!BA42=0,0,ROUND(Sort_IDAC!BA42,-1*INT(LOG10(Sort_IDAC!BA42))+2)))</f>
        <v>2.67E-15</v>
      </c>
      <c r="BB42" s="6">
        <f>IF(Sort_IDAC!$B42="","",IF(Sort_IDAC!BB42=0,0,ROUND(Sort_IDAC!BB42,-1*INT(LOG10(Sort_IDAC!BB42))+2)))</f>
        <v>3.5099999999999998E-16</v>
      </c>
      <c r="BC42" s="6">
        <f>IF(Sort_IDAC!$B42="","",IF(Sort_IDAC!BC42=0,0,ROUND(Sort_IDAC!BC42,-1*INT(LOG10(Sort_IDAC!BC42))+2)))</f>
        <v>3.5300000000000002E-16</v>
      </c>
      <c r="BD42" s="6">
        <f>IF(Sort_IDAC!$B42="","",IF(Sort_IDAC!BD42=0,0,ROUND(Sort_IDAC!BD42,-1*INT(LOG10(Sort_IDAC!BD42))+2)))</f>
        <v>3.5300000000000002E-16</v>
      </c>
      <c r="BE42" s="6">
        <f>IF(Sort_IDAC!$B42="","",IF(Sort_IDAC!BE42=0,0,ROUND(Sort_IDAC!BE42,-1*INT(LOG10(Sort_IDAC!BE42))+2)))</f>
        <v>1.3299999999999999E-16</v>
      </c>
      <c r="BF42" s="6">
        <f>IF(Sort_IDAC!$B42="","",IF(Sort_IDAC!BF42=0,0,ROUND(Sort_IDAC!BF42,-1*INT(LOG10(Sort_IDAC!BF42))+2)))</f>
        <v>4.9599999999999997E-16</v>
      </c>
      <c r="BG42" s="6">
        <f>IF(Sort_IDAC!$B42="","",IF(Sort_IDAC!BG42=0,0,ROUND(Sort_IDAC!BG42,-1*INT(LOG10(Sort_IDAC!BG42))+2)))</f>
        <v>1.9000000000000001E-15</v>
      </c>
      <c r="BH42" s="6">
        <f>IF(Sort_IDAC!$B42="","",IF(Sort_IDAC!BH42=0,0,ROUND(Sort_IDAC!BH42,-1*INT(LOG10(Sort_IDAC!BH42))+2)))</f>
        <v>1.5599999999999999E-15</v>
      </c>
      <c r="BI42" s="6">
        <f>IF(Sort_IDAC!$B42="","",IF(Sort_IDAC!BI42=0,0,ROUND(Sort_IDAC!BI42,-1*INT(LOG10(Sort_IDAC!BI42))+2)))</f>
        <v>1.5599999999999999E-15</v>
      </c>
      <c r="BJ42" s="6">
        <f>IF(Sort_IDAC!$B42="","",IF(Sort_IDAC!BJ42=0,0,ROUND(Sort_IDAC!BJ42,-1*INT(LOG10(Sort_IDAC!BJ42))+2)))</f>
        <v>1.5599999999999999E-15</v>
      </c>
      <c r="BK42" s="6">
        <f>IF(Sort_IDAC!$B42="","",IF(Sort_IDAC!BK42=0,0,ROUND(Sort_IDAC!BK42,-1*INT(LOG10(Sort_IDAC!BK42))+2)))</f>
        <v>2.5600000000000002E-13</v>
      </c>
      <c r="BL42" s="6">
        <f>IF(Sort_IDAC!$B42="","",IF(Sort_IDAC!BL42=0,0,ROUND(Sort_IDAC!BL42,-1*INT(LOG10(Sort_IDAC!BL42))+2)))</f>
        <v>1.3300000000000001E-14</v>
      </c>
      <c r="BM42" s="6">
        <f>IF(Sort_IDAC!$B42="","",IF(Sort_IDAC!BM42=0,0,ROUND(Sort_IDAC!BM42,-1*INT(LOG10(Sort_IDAC!BM42))+2)))</f>
        <v>1.25E-14</v>
      </c>
      <c r="BN42" s="6">
        <f>IF(Sort_IDAC!$B42="","",IF(Sort_IDAC!BN42=0,0,ROUND(Sort_IDAC!BN42,-1*INT(LOG10(Sort_IDAC!BN42))+2)))</f>
        <v>1.25E-14</v>
      </c>
      <c r="BO42" s="6">
        <f>IF(Sort_IDAC!$B42="","",IF(Sort_IDAC!BO42=0,0,ROUND(Sort_IDAC!BO42,-1*INT(LOG10(Sort_IDAC!BO42))+2)))</f>
        <v>1.2800000000000001E-16</v>
      </c>
      <c r="BP42" s="6">
        <f>IF(Sort_IDAC!$B42="","",IF(Sort_IDAC!BP42=0,0,ROUND(Sort_IDAC!BP42,-1*INT(LOG10(Sort_IDAC!BP42))+2)))</f>
        <v>1.2800000000000001E-16</v>
      </c>
      <c r="BQ42" s="6">
        <f>IF(Sort_IDAC!$B42="","",IF(Sort_IDAC!BQ42=0,0,ROUND(Sort_IDAC!BQ42,-1*INT(LOG10(Sort_IDAC!BQ42))+2)))</f>
        <v>0</v>
      </c>
      <c r="BR42" s="6">
        <f>IF(Sort_IDAC!$B42="","",IF(Sort_IDAC!BR42=0,0,ROUND(Sort_IDAC!BR42,-1*INT(LOG10(Sort_IDAC!BR42))+2)))</f>
        <v>5.5500000000000005E-16</v>
      </c>
      <c r="BS42" s="6">
        <f>IF(Sort_IDAC!$B42="","",IF(Sort_IDAC!BS42=0,0,ROUND(Sort_IDAC!BS42,-1*INT(LOG10(Sort_IDAC!BS42))+2)))</f>
        <v>3.1600000000000001E-16</v>
      </c>
      <c r="BT42" s="6">
        <f>IF(Sort_IDAC!$B42="","",IF(Sort_IDAC!BT42=0,0,ROUND(Sort_IDAC!BT42,-1*INT(LOG10(Sort_IDAC!BT42))+2)))</f>
        <v>1.4000000000000001E-16</v>
      </c>
      <c r="BU42" s="6">
        <f>IF(Sort_IDAC!$B42="","",IF(Sort_IDAC!BU42=0,0,ROUND(Sort_IDAC!BU42,-1*INT(LOG10(Sort_IDAC!BU42))+2)))</f>
        <v>1.17E-16</v>
      </c>
      <c r="BV42" s="6">
        <f>IF(Sort_IDAC!$B42="","",IF(Sort_IDAC!BV42=0,0,ROUND(Sort_IDAC!BV42,-1*INT(LOG10(Sort_IDAC!BV42))+2)))</f>
        <v>8.6699999999999999E-16</v>
      </c>
      <c r="BW42" s="6">
        <f>IF(Sort_IDAC!$B42="","",IF(Sort_IDAC!BW42=0,0,ROUND(Sort_IDAC!BW42,-1*INT(LOG10(Sort_IDAC!BW42))+2)))</f>
        <v>5.8199999999999999E-16</v>
      </c>
      <c r="BX42" s="6">
        <f>IF(Sort_IDAC!$B42="","",IF(Sort_IDAC!BX42=0,0,ROUND(Sort_IDAC!BX42,-1*INT(LOG10(Sort_IDAC!BX42))+2)))</f>
        <v>5.8199999999999999E-16</v>
      </c>
      <c r="BY42" s="6">
        <f>IF(Sort_IDAC!$B42="","",IF(Sort_IDAC!BY42=0,0,ROUND(Sort_IDAC!BY42,-1*INT(LOG10(Sort_IDAC!BY42))+2)))</f>
        <v>9.2999999999999993E-16</v>
      </c>
      <c r="BZ42" s="6">
        <f>IF(Sort_IDAC!$B42="","",IF(Sort_IDAC!BZ42=0,0,ROUND(Sort_IDAC!BZ42,-1*INT(LOG10(Sort_IDAC!BZ42))+2)))</f>
        <v>9.5799999999999999E-17</v>
      </c>
      <c r="CA42" s="6">
        <f>IF(Sort_IDAC!$B42="","",IF(Sort_IDAC!CA42=0,0,ROUND(Sort_IDAC!CA42,-1*INT(LOG10(Sort_IDAC!CA42))+2)))</f>
        <v>9.0200000000000004E-17</v>
      </c>
      <c r="CB42" s="6">
        <f>IF(Sort_IDAC!$B42="","",IF(Sort_IDAC!CB42=0,0,ROUND(Sort_IDAC!CB42,-1*INT(LOG10(Sort_IDAC!CB42))+2)))</f>
        <v>9.5699999999999995E-17</v>
      </c>
      <c r="CC42" s="6">
        <f>IF(Sort_IDAC!$B42="","",IF(Sort_IDAC!CC42=0,0,ROUND(Sort_IDAC!CC42,-1*INT(LOG10(Sort_IDAC!CC42))+2)))</f>
        <v>4.19E-16</v>
      </c>
      <c r="CD42" s="6"/>
      <c r="CE42" s="6"/>
      <c r="CF42" s="6"/>
      <c r="CG42" s="6"/>
    </row>
    <row r="43" spans="2:85" x14ac:dyDescent="0.15">
      <c r="B43" s="5" t="s">
        <v>33</v>
      </c>
      <c r="C43" s="6">
        <f>IF(Sort_IDAC!$B43="","",IF(Sort_IDAC!C43=0,0,ROUND(Sort_IDAC!C43,-1*INT(LOG10(Sort_IDAC!C43))+2)))</f>
        <v>6.7500000000000002E-16</v>
      </c>
      <c r="D43" s="6">
        <f>IF(Sort_IDAC!$B43="","",IF(Sort_IDAC!D43=0,0,ROUND(Sort_IDAC!D43,-1*INT(LOG10(Sort_IDAC!D43))+2)))</f>
        <v>6.26E-15</v>
      </c>
      <c r="E43" s="6">
        <f>IF(Sort_IDAC!$B43="","",IF(Sort_IDAC!E43=0,0,ROUND(Sort_IDAC!E43,-1*INT(LOG10(Sort_IDAC!E43))+2)))</f>
        <v>1.6200000000000001E-15</v>
      </c>
      <c r="F43" s="6">
        <f>IF(Sort_IDAC!$B43="","",IF(Sort_IDAC!F43=0,0,ROUND(Sort_IDAC!F43,-1*INT(LOG10(Sort_IDAC!F43))+2)))</f>
        <v>3.7199999999999997E-15</v>
      </c>
      <c r="G43" s="6">
        <f>IF(Sort_IDAC!$B43="","",IF(Sort_IDAC!G43=0,0,ROUND(Sort_IDAC!G43,-1*INT(LOG10(Sort_IDAC!G43))+2)))</f>
        <v>3.3200000000000002E-17</v>
      </c>
      <c r="H43" s="6">
        <f>IF(Sort_IDAC!$B43="","",IF(Sort_IDAC!H43=0,0,ROUND(Sort_IDAC!H43,-1*INT(LOG10(Sort_IDAC!H43))+2)))</f>
        <v>1.0600000000000001E-15</v>
      </c>
      <c r="I43" s="6">
        <f>IF(Sort_IDAC!$B43="","",IF(Sort_IDAC!I43=0,0,ROUND(Sort_IDAC!I43,-1*INT(LOG10(Sort_IDAC!I43))+2)))</f>
        <v>7.1100000000000002E-16</v>
      </c>
      <c r="J43" s="6">
        <f>IF(Sort_IDAC!$B43="","",IF(Sort_IDAC!J43=0,0,ROUND(Sort_IDAC!J43,-1*INT(LOG10(Sort_IDAC!J43))+2)))</f>
        <v>7.1100000000000002E-16</v>
      </c>
      <c r="K43" s="6">
        <f>IF(Sort_IDAC!$B43="","",IF(Sort_IDAC!K43=0,0,ROUND(Sort_IDAC!K43,-1*INT(LOG10(Sort_IDAC!K43))+2)))</f>
        <v>7.1100000000000002E-16</v>
      </c>
      <c r="L43" s="6">
        <f>IF(Sort_IDAC!$B43="","",IF(Sort_IDAC!L43=0,0,ROUND(Sort_IDAC!L43,-1*INT(LOG10(Sort_IDAC!L43))+2)))</f>
        <v>1.6200000000000001E-15</v>
      </c>
      <c r="M43" s="6">
        <f>IF(Sort_IDAC!$B43="","",IF(Sort_IDAC!M43=0,0,ROUND(Sort_IDAC!M43,-1*INT(LOG10(Sort_IDAC!M43))+2)))</f>
        <v>1.6200000000000001E-15</v>
      </c>
      <c r="N43" s="6">
        <f>IF(Sort_IDAC!$B43="","",IF(Sort_IDAC!N43=0,0,ROUND(Sort_IDAC!N43,-1*INT(LOG10(Sort_IDAC!N43))+2)))</f>
        <v>1.6200000000000001E-15</v>
      </c>
      <c r="O43" s="6">
        <f>IF(Sort_IDAC!$B43="","",IF(Sort_IDAC!O43=0,0,ROUND(Sort_IDAC!O43,-1*INT(LOG10(Sort_IDAC!O43))+2)))</f>
        <v>8.0300000000000003E-16</v>
      </c>
      <c r="P43" s="6">
        <f>IF(Sort_IDAC!$B43="","",IF(Sort_IDAC!P43=0,0,ROUND(Sort_IDAC!P43,-1*INT(LOG10(Sort_IDAC!P43))+2)))</f>
        <v>1.29E-16</v>
      </c>
      <c r="Q43" s="6">
        <f>IF(Sort_IDAC!$B43="","",IF(Sort_IDAC!Q43=0,0,ROUND(Sort_IDAC!Q43,-1*INT(LOG10(Sort_IDAC!Q43))+2)))</f>
        <v>4.1400000000000002E-16</v>
      </c>
      <c r="R43" s="6">
        <f>IF(Sort_IDAC!$B43="","",IF(Sort_IDAC!R43=0,0,ROUND(Sort_IDAC!R43,-1*INT(LOG10(Sort_IDAC!R43))+2)))</f>
        <v>4.1400000000000002E-16</v>
      </c>
      <c r="S43" s="6">
        <f>IF(Sort_IDAC!$B43="","",IF(Sort_IDAC!S43=0,0,ROUND(Sort_IDAC!S43,-1*INT(LOG10(Sort_IDAC!S43))+2)))</f>
        <v>1.0200000000000001E-16</v>
      </c>
      <c r="T43" s="6">
        <f>IF(Sort_IDAC!$B43="","",IF(Sort_IDAC!T43=0,0,ROUND(Sort_IDAC!T43,-1*INT(LOG10(Sort_IDAC!T43))+2)))</f>
        <v>9.5799999999999999E-17</v>
      </c>
      <c r="U43" s="6">
        <f>IF(Sort_IDAC!$B43="","",IF(Sort_IDAC!U43=0,0,ROUND(Sort_IDAC!U43,-1*INT(LOG10(Sort_IDAC!U43))+2)))</f>
        <v>9.5799999999999999E-17</v>
      </c>
      <c r="V43" s="6">
        <f>IF(Sort_IDAC!$B43="","",IF(Sort_IDAC!V43=0,0,ROUND(Sort_IDAC!V43,-1*INT(LOG10(Sort_IDAC!V43))+2)))</f>
        <v>9.5799999999999999E-17</v>
      </c>
      <c r="W43" s="6">
        <f>IF(Sort_IDAC!$B43="","",IF(Sort_IDAC!W43=0,0,ROUND(Sort_IDAC!W43,-1*INT(LOG10(Sort_IDAC!W43))+2)))</f>
        <v>9.5799999999999999E-17</v>
      </c>
      <c r="X43" s="6">
        <f>IF(Sort_IDAC!$B43="","",IF(Sort_IDAC!X43=0,0,ROUND(Sort_IDAC!X43,-1*INT(LOG10(Sort_IDAC!X43))+2)))</f>
        <v>9.5799999999999999E-17</v>
      </c>
      <c r="Y43" s="6">
        <f>IF(Sort_IDAC!$B43="","",IF(Sort_IDAC!Y43=0,0,ROUND(Sort_IDAC!Y43,-1*INT(LOG10(Sort_IDAC!Y43))+2)))</f>
        <v>8.0500000000000002E-17</v>
      </c>
      <c r="Z43" s="6">
        <f>IF(Sort_IDAC!$B43="","",IF(Sort_IDAC!Z43=0,0,ROUND(Sort_IDAC!Z43,-1*INT(LOG10(Sort_IDAC!Z43))+2)))</f>
        <v>5.6499999999999999E-15</v>
      </c>
      <c r="AA43" s="6">
        <f>IF(Sort_IDAC!$B43="","",IF(Sort_IDAC!AA43=0,0,ROUND(Sort_IDAC!AA43,-1*INT(LOG10(Sort_IDAC!AA43))+2)))</f>
        <v>6.4600000000000001E-15</v>
      </c>
      <c r="AB43" s="6">
        <f>IF(Sort_IDAC!$B43="","",IF(Sort_IDAC!AB43=0,0,ROUND(Sort_IDAC!AB43,-1*INT(LOG10(Sort_IDAC!AB43))+2)))</f>
        <v>3.5000000000000001E-15</v>
      </c>
      <c r="AC43" s="6">
        <f>IF(Sort_IDAC!$B43="","",IF(Sort_IDAC!AC43=0,0,ROUND(Sort_IDAC!AC43,-1*INT(LOG10(Sort_IDAC!AC43))+2)))</f>
        <v>4.7299999999999999E-15</v>
      </c>
      <c r="AD43" s="6">
        <f>IF(Sort_IDAC!$B43="","",IF(Sort_IDAC!AD43=0,0,ROUND(Sort_IDAC!AD43,-1*INT(LOG10(Sort_IDAC!AD43))+2)))</f>
        <v>1.47E-15</v>
      </c>
      <c r="AE43" s="6">
        <f>IF(Sort_IDAC!$B43="","",IF(Sort_IDAC!AE43=0,0,ROUND(Sort_IDAC!AE43,-1*INT(LOG10(Sort_IDAC!AE43))+2)))</f>
        <v>1.4399999999999999E-15</v>
      </c>
      <c r="AF43" s="6">
        <f>IF(Sort_IDAC!$B43="","",IF(Sort_IDAC!AF43=0,0,ROUND(Sort_IDAC!AF43,-1*INT(LOG10(Sort_IDAC!AF43))+2)))</f>
        <v>1.4399999999999999E-15</v>
      </c>
      <c r="AG43" s="6">
        <f>IF(Sort_IDAC!$B43="","",IF(Sort_IDAC!AG43=0,0,ROUND(Sort_IDAC!AG43,-1*INT(LOG10(Sort_IDAC!AG43))+2)))</f>
        <v>4.5599999999999999E-15</v>
      </c>
      <c r="AH43" s="6">
        <f>IF(Sort_IDAC!$B43="","",IF(Sort_IDAC!AH43=0,0,ROUND(Sort_IDAC!AH43,-1*INT(LOG10(Sort_IDAC!AH43))+2)))</f>
        <v>1.59E-15</v>
      </c>
      <c r="AI43" s="6">
        <f>IF(Sort_IDAC!$B43="","",IF(Sort_IDAC!AI43=0,0,ROUND(Sort_IDAC!AI43,-1*INT(LOG10(Sort_IDAC!AI43))+2)))</f>
        <v>1.64E-15</v>
      </c>
      <c r="AJ43" s="6">
        <f>IF(Sort_IDAC!$B43="","",IF(Sort_IDAC!AJ43=0,0,ROUND(Sort_IDAC!AJ43,-1*INT(LOG10(Sort_IDAC!AJ43))+2)))</f>
        <v>1.3299999999999999E-16</v>
      </c>
      <c r="AK43" s="6">
        <f>IF(Sort_IDAC!$B43="","",IF(Sort_IDAC!AK43=0,0,ROUND(Sort_IDAC!AK43,-1*INT(LOG10(Sort_IDAC!AK43))+2)))</f>
        <v>3.2400000000000002E-15</v>
      </c>
      <c r="AL43" s="6">
        <f>IF(Sort_IDAC!$B43="","",IF(Sort_IDAC!AL43=0,0,ROUND(Sort_IDAC!AL43,-1*INT(LOG10(Sort_IDAC!AL43))+2)))</f>
        <v>5.8599999999999996E-16</v>
      </c>
      <c r="AM43" s="6">
        <f>IF(Sort_IDAC!$B43="","",IF(Sort_IDAC!AM43=0,0,ROUND(Sort_IDAC!AM43,-1*INT(LOG10(Sort_IDAC!AM43))+2)))</f>
        <v>5.5099999999999998E-16</v>
      </c>
      <c r="AN43" s="6">
        <f>IF(Sort_IDAC!$B43="","",IF(Sort_IDAC!AN43=0,0,ROUND(Sort_IDAC!AN43,-1*INT(LOG10(Sort_IDAC!AN43))+2)))</f>
        <v>2.4199999999999999E-15</v>
      </c>
      <c r="AO43" s="6">
        <f>IF(Sort_IDAC!$B43="","",IF(Sort_IDAC!AO43=0,0,ROUND(Sort_IDAC!AO43,-1*INT(LOG10(Sort_IDAC!AO43))+2)))</f>
        <v>2.4199999999999999E-15</v>
      </c>
      <c r="AP43" s="6">
        <f>IF(Sort_IDAC!$B43="","",IF(Sort_IDAC!AP43=0,0,ROUND(Sort_IDAC!AP43,-1*INT(LOG10(Sort_IDAC!AP43))+2)))</f>
        <v>2.4199999999999999E-15</v>
      </c>
      <c r="AQ43" s="6">
        <f>IF(Sort_IDAC!$B43="","",IF(Sort_IDAC!AQ43=0,0,ROUND(Sort_IDAC!AQ43,-1*INT(LOG10(Sort_IDAC!AQ43))+2)))</f>
        <v>1.2E-16</v>
      </c>
      <c r="AR43" s="6">
        <f>IF(Sort_IDAC!$B43="","",IF(Sort_IDAC!AR43=0,0,ROUND(Sort_IDAC!AR43,-1*INT(LOG10(Sort_IDAC!AR43))+2)))</f>
        <v>1.2E-16</v>
      </c>
      <c r="AS43" s="6">
        <f>IF(Sort_IDAC!$B43="","",IF(Sort_IDAC!AS43=0,0,ROUND(Sort_IDAC!AS43,-1*INT(LOG10(Sort_IDAC!AS43))+2)))</f>
        <v>1.4600000000000001E-16</v>
      </c>
      <c r="AT43" s="6">
        <f>IF(Sort_IDAC!$B43="","",IF(Sort_IDAC!AT43=0,0,ROUND(Sort_IDAC!AT43,-1*INT(LOG10(Sort_IDAC!AT43))+2)))</f>
        <v>1.4999999999999999E-14</v>
      </c>
      <c r="AU43" s="6">
        <f>IF(Sort_IDAC!$B43="","",IF(Sort_IDAC!AU43=0,0,ROUND(Sort_IDAC!AU43,-1*INT(LOG10(Sort_IDAC!AU43))+2)))</f>
        <v>4.7299999999999999E-17</v>
      </c>
      <c r="AV43" s="6">
        <f>IF(Sort_IDAC!$B43="","",IF(Sort_IDAC!AV43=0,0,ROUND(Sort_IDAC!AV43,-1*INT(LOG10(Sort_IDAC!AV43))+2)))</f>
        <v>0</v>
      </c>
      <c r="AW43" s="6">
        <f>IF(Sort_IDAC!$B43="","",IF(Sort_IDAC!AW43=0,0,ROUND(Sort_IDAC!AW43,-1*INT(LOG10(Sort_IDAC!AW43))+2)))</f>
        <v>1.97E-16</v>
      </c>
      <c r="AX43" s="6">
        <f>IF(Sort_IDAC!$B43="","",IF(Sort_IDAC!AX43=0,0,ROUND(Sort_IDAC!AX43,-1*INT(LOG10(Sort_IDAC!AX43))+2)))</f>
        <v>1.7E-16</v>
      </c>
      <c r="AY43" s="6">
        <f>IF(Sort_IDAC!$B43="","",IF(Sort_IDAC!AY43=0,0,ROUND(Sort_IDAC!AY43,-1*INT(LOG10(Sort_IDAC!AY43))+2)))</f>
        <v>1.7E-16</v>
      </c>
      <c r="AZ43" s="6">
        <f>IF(Sort_IDAC!$B43="","",IF(Sort_IDAC!AZ43=0,0,ROUND(Sort_IDAC!AZ43,-1*INT(LOG10(Sort_IDAC!AZ43))+2)))</f>
        <v>1.18E-15</v>
      </c>
      <c r="BA43" s="6">
        <f>IF(Sort_IDAC!$B43="","",IF(Sort_IDAC!BA43=0,0,ROUND(Sort_IDAC!BA43,-1*INT(LOG10(Sort_IDAC!BA43))+2)))</f>
        <v>1.6E-15</v>
      </c>
      <c r="BB43" s="6">
        <f>IF(Sort_IDAC!$B43="","",IF(Sort_IDAC!BB43=0,0,ROUND(Sort_IDAC!BB43,-1*INT(LOG10(Sort_IDAC!BB43))+2)))</f>
        <v>8.5999999999999997E-16</v>
      </c>
      <c r="BC43" s="6">
        <f>IF(Sort_IDAC!$B43="","",IF(Sort_IDAC!BC43=0,0,ROUND(Sort_IDAC!BC43,-1*INT(LOG10(Sort_IDAC!BC43))+2)))</f>
        <v>8.6599999999999997E-16</v>
      </c>
      <c r="BD43" s="6">
        <f>IF(Sort_IDAC!$B43="","",IF(Sort_IDAC!BD43=0,0,ROUND(Sort_IDAC!BD43,-1*INT(LOG10(Sort_IDAC!BD43))+2)))</f>
        <v>8.6599999999999997E-16</v>
      </c>
      <c r="BE43" s="6">
        <f>IF(Sort_IDAC!$B43="","",IF(Sort_IDAC!BE43=0,0,ROUND(Sort_IDAC!BE43,-1*INT(LOG10(Sort_IDAC!BE43))+2)))</f>
        <v>9.8000000000000002E-17</v>
      </c>
      <c r="BF43" s="6">
        <f>IF(Sort_IDAC!$B43="","",IF(Sort_IDAC!BF43=0,0,ROUND(Sort_IDAC!BF43,-1*INT(LOG10(Sort_IDAC!BF43))+2)))</f>
        <v>4.1600000000000001E-16</v>
      </c>
      <c r="BG43" s="6">
        <f>IF(Sort_IDAC!$B43="","",IF(Sort_IDAC!BG43=0,0,ROUND(Sort_IDAC!BG43,-1*INT(LOG10(Sort_IDAC!BG43))+2)))</f>
        <v>5.3899999999999996E-15</v>
      </c>
      <c r="BH43" s="6">
        <f>IF(Sort_IDAC!$B43="","",IF(Sort_IDAC!BH43=0,0,ROUND(Sort_IDAC!BH43,-1*INT(LOG10(Sort_IDAC!BH43))+2)))</f>
        <v>4.0299999999999996E-15</v>
      </c>
      <c r="BI43" s="6">
        <f>IF(Sort_IDAC!$B43="","",IF(Sort_IDAC!BI43=0,0,ROUND(Sort_IDAC!BI43,-1*INT(LOG10(Sort_IDAC!BI43))+2)))</f>
        <v>4.0299999999999996E-15</v>
      </c>
      <c r="BJ43" s="6">
        <f>IF(Sort_IDAC!$B43="","",IF(Sort_IDAC!BJ43=0,0,ROUND(Sort_IDAC!BJ43,-1*INT(LOG10(Sort_IDAC!BJ43))+2)))</f>
        <v>4.0299999999999996E-15</v>
      </c>
      <c r="BK43" s="6">
        <f>IF(Sort_IDAC!$B43="","",IF(Sort_IDAC!BK43=0,0,ROUND(Sort_IDAC!BK43,-1*INT(LOG10(Sort_IDAC!BK43))+2)))</f>
        <v>1.26E-14</v>
      </c>
      <c r="BL43" s="6">
        <f>IF(Sort_IDAC!$B43="","",IF(Sort_IDAC!BL43=0,0,ROUND(Sort_IDAC!BL43,-1*INT(LOG10(Sort_IDAC!BL43))+2)))</f>
        <v>9.3199999999999997E-14</v>
      </c>
      <c r="BM43" s="6">
        <f>IF(Sort_IDAC!$B43="","",IF(Sort_IDAC!BM43=0,0,ROUND(Sort_IDAC!BM43,-1*INT(LOG10(Sort_IDAC!BM43))+2)))</f>
        <v>3.8999999999999999E-12</v>
      </c>
      <c r="BN43" s="6">
        <f>IF(Sort_IDAC!$B43="","",IF(Sort_IDAC!BN43=0,0,ROUND(Sort_IDAC!BN43,-1*INT(LOG10(Sort_IDAC!BN43))+2)))</f>
        <v>1.89E-13</v>
      </c>
      <c r="BO43" s="6">
        <f>IF(Sort_IDAC!$B43="","",IF(Sort_IDAC!BO43=0,0,ROUND(Sort_IDAC!BO43,-1*INT(LOG10(Sort_IDAC!BO43))+2)))</f>
        <v>1.1600000000000001E-16</v>
      </c>
      <c r="BP43" s="6">
        <f>IF(Sort_IDAC!$B43="","",IF(Sort_IDAC!BP43=0,0,ROUND(Sort_IDAC!BP43,-1*INT(LOG10(Sort_IDAC!BP43))+2)))</f>
        <v>1.1600000000000001E-16</v>
      </c>
      <c r="BQ43" s="6">
        <f>IF(Sort_IDAC!$B43="","",IF(Sort_IDAC!BQ43=0,0,ROUND(Sort_IDAC!BQ43,-1*INT(LOG10(Sort_IDAC!BQ43))+2)))</f>
        <v>0</v>
      </c>
      <c r="BR43" s="6">
        <f>IF(Sort_IDAC!$B43="","",IF(Sort_IDAC!BR43=0,0,ROUND(Sort_IDAC!BR43,-1*INT(LOG10(Sort_IDAC!BR43))+2)))</f>
        <v>4.5600000000000001E-16</v>
      </c>
      <c r="BS43" s="6">
        <f>IF(Sort_IDAC!$B43="","",IF(Sort_IDAC!BS43=0,0,ROUND(Sort_IDAC!BS43,-1*INT(LOG10(Sort_IDAC!BS43))+2)))</f>
        <v>2.2800000000000001E-16</v>
      </c>
      <c r="BT43" s="6">
        <f>IF(Sort_IDAC!$B43="","",IF(Sort_IDAC!BT43=0,0,ROUND(Sort_IDAC!BT43,-1*INT(LOG10(Sort_IDAC!BT43))+2)))</f>
        <v>1.1600000000000001E-16</v>
      </c>
      <c r="BU43" s="6">
        <f>IF(Sort_IDAC!$B43="","",IF(Sort_IDAC!BU43=0,0,ROUND(Sort_IDAC!BU43,-1*INT(LOG10(Sort_IDAC!BU43))+2)))</f>
        <v>9.1E-17</v>
      </c>
      <c r="BV43" s="6">
        <f>IF(Sort_IDAC!$B43="","",IF(Sort_IDAC!BV43=0,0,ROUND(Sort_IDAC!BV43,-1*INT(LOG10(Sort_IDAC!BV43))+2)))</f>
        <v>6.5100000000000003E-16</v>
      </c>
      <c r="BW43" s="6">
        <f>IF(Sort_IDAC!$B43="","",IF(Sort_IDAC!BW43=0,0,ROUND(Sort_IDAC!BW43,-1*INT(LOG10(Sort_IDAC!BW43))+2)))</f>
        <v>5.1200000000000004E-16</v>
      </c>
      <c r="BX43" s="6">
        <f>IF(Sort_IDAC!$B43="","",IF(Sort_IDAC!BX43=0,0,ROUND(Sort_IDAC!BX43,-1*INT(LOG10(Sort_IDAC!BX43))+2)))</f>
        <v>5.1200000000000004E-16</v>
      </c>
      <c r="BY43" s="6">
        <f>IF(Sort_IDAC!$B43="","",IF(Sort_IDAC!BY43=0,0,ROUND(Sort_IDAC!BY43,-1*INT(LOG10(Sort_IDAC!BY43))+2)))</f>
        <v>2.0500000000000002E-15</v>
      </c>
      <c r="BZ43" s="6">
        <f>IF(Sort_IDAC!$B43="","",IF(Sort_IDAC!BZ43=0,0,ROUND(Sort_IDAC!BZ43,-1*INT(LOG10(Sort_IDAC!BZ43))+2)))</f>
        <v>1.7200000000000001E-16</v>
      </c>
      <c r="CA43" s="6">
        <f>IF(Sort_IDAC!$B43="","",IF(Sort_IDAC!CA43=0,0,ROUND(Sort_IDAC!CA43,-1*INT(LOG10(Sort_IDAC!CA43))+2)))</f>
        <v>1.6000000000000001E-16</v>
      </c>
      <c r="CB43" s="6">
        <f>IF(Sort_IDAC!$B43="","",IF(Sort_IDAC!CB43=0,0,ROUND(Sort_IDAC!CB43,-1*INT(LOG10(Sort_IDAC!CB43))+2)))</f>
        <v>1.5700000000000001E-16</v>
      </c>
      <c r="CC43" s="6">
        <f>IF(Sort_IDAC!$B43="","",IF(Sort_IDAC!CC43=0,0,ROUND(Sort_IDAC!CC43,-1*INT(LOG10(Sort_IDAC!CC43))+2)))</f>
        <v>3.1900000000000001E-16</v>
      </c>
      <c r="CD43" s="6"/>
      <c r="CE43" s="6"/>
      <c r="CF43" s="6"/>
      <c r="CG43" s="6"/>
    </row>
    <row r="44" spans="2:85" x14ac:dyDescent="0.15">
      <c r="B44" s="5" t="s">
        <v>34</v>
      </c>
      <c r="C44" s="6">
        <f>IF(Sort_IDAC!$B44="","",IF(Sort_IDAC!C44=0,0,ROUND(Sort_IDAC!C44,-1*INT(LOG10(Sort_IDAC!C44))+2)))</f>
        <v>0</v>
      </c>
      <c r="D44" s="6">
        <f>IF(Sort_IDAC!$B44="","",IF(Sort_IDAC!D44=0,0,ROUND(Sort_IDAC!D44,-1*INT(LOG10(Sort_IDAC!D44))+2)))</f>
        <v>0</v>
      </c>
      <c r="E44" s="6">
        <f>IF(Sort_IDAC!$B44="","",IF(Sort_IDAC!E44=0,0,ROUND(Sort_IDAC!E44,-1*INT(LOG10(Sort_IDAC!E44))+2)))</f>
        <v>0</v>
      </c>
      <c r="F44" s="6">
        <f>IF(Sort_IDAC!$B44="","",IF(Sort_IDAC!F44=0,0,ROUND(Sort_IDAC!F44,-1*INT(LOG10(Sort_IDAC!F44))+2)))</f>
        <v>0</v>
      </c>
      <c r="G44" s="6">
        <f>IF(Sort_IDAC!$B44="","",IF(Sort_IDAC!G44=0,0,ROUND(Sort_IDAC!G44,-1*INT(LOG10(Sort_IDAC!G44))+2)))</f>
        <v>0</v>
      </c>
      <c r="H44" s="6">
        <f>IF(Sort_IDAC!$B44="","",IF(Sort_IDAC!H44=0,0,ROUND(Sort_IDAC!H44,-1*INT(LOG10(Sort_IDAC!H44))+2)))</f>
        <v>0</v>
      </c>
      <c r="I44" s="6">
        <f>IF(Sort_IDAC!$B44="","",IF(Sort_IDAC!I44=0,0,ROUND(Sort_IDAC!I44,-1*INT(LOG10(Sort_IDAC!I44))+2)))</f>
        <v>0</v>
      </c>
      <c r="J44" s="6">
        <f>IF(Sort_IDAC!$B44="","",IF(Sort_IDAC!J44=0,0,ROUND(Sort_IDAC!J44,-1*INT(LOG10(Sort_IDAC!J44))+2)))</f>
        <v>0</v>
      </c>
      <c r="K44" s="6">
        <f>IF(Sort_IDAC!$B44="","",IF(Sort_IDAC!K44=0,0,ROUND(Sort_IDAC!K44,-1*INT(LOG10(Sort_IDAC!K44))+2)))</f>
        <v>0</v>
      </c>
      <c r="L44" s="6">
        <f>IF(Sort_IDAC!$B44="","",IF(Sort_IDAC!L44=0,0,ROUND(Sort_IDAC!L44,-1*INT(LOG10(Sort_IDAC!L44))+2)))</f>
        <v>0</v>
      </c>
      <c r="M44" s="6">
        <f>IF(Sort_IDAC!$B44="","",IF(Sort_IDAC!M44=0,0,ROUND(Sort_IDAC!M44,-1*INT(LOG10(Sort_IDAC!M44))+2)))</f>
        <v>0</v>
      </c>
      <c r="N44" s="6">
        <f>IF(Sort_IDAC!$B44="","",IF(Sort_IDAC!N44=0,0,ROUND(Sort_IDAC!N44,-1*INT(LOG10(Sort_IDAC!N44))+2)))</f>
        <v>0</v>
      </c>
      <c r="O44" s="6">
        <f>IF(Sort_IDAC!$B44="","",IF(Sort_IDAC!O44=0,0,ROUND(Sort_IDAC!O44,-1*INT(LOG10(Sort_IDAC!O44))+2)))</f>
        <v>0</v>
      </c>
      <c r="P44" s="6">
        <f>IF(Sort_IDAC!$B44="","",IF(Sort_IDAC!P44=0,0,ROUND(Sort_IDAC!P44,-1*INT(LOG10(Sort_IDAC!P44))+2)))</f>
        <v>0</v>
      </c>
      <c r="Q44" s="6">
        <f>IF(Sort_IDAC!$B44="","",IF(Sort_IDAC!Q44=0,0,ROUND(Sort_IDAC!Q44,-1*INT(LOG10(Sort_IDAC!Q44))+2)))</f>
        <v>0</v>
      </c>
      <c r="R44" s="6">
        <f>IF(Sort_IDAC!$B44="","",IF(Sort_IDAC!R44=0,0,ROUND(Sort_IDAC!R44,-1*INT(LOG10(Sort_IDAC!R44))+2)))</f>
        <v>0</v>
      </c>
      <c r="S44" s="6">
        <f>IF(Sort_IDAC!$B44="","",IF(Sort_IDAC!S44=0,0,ROUND(Sort_IDAC!S44,-1*INT(LOG10(Sort_IDAC!S44))+2)))</f>
        <v>0</v>
      </c>
      <c r="T44" s="6">
        <f>IF(Sort_IDAC!$B44="","",IF(Sort_IDAC!T44=0,0,ROUND(Sort_IDAC!T44,-1*INT(LOG10(Sort_IDAC!T44))+2)))</f>
        <v>0</v>
      </c>
      <c r="U44" s="6">
        <f>IF(Sort_IDAC!$B44="","",IF(Sort_IDAC!U44=0,0,ROUND(Sort_IDAC!U44,-1*INT(LOG10(Sort_IDAC!U44))+2)))</f>
        <v>0</v>
      </c>
      <c r="V44" s="6">
        <f>IF(Sort_IDAC!$B44="","",IF(Sort_IDAC!V44=0,0,ROUND(Sort_IDAC!V44,-1*INT(LOG10(Sort_IDAC!V44))+2)))</f>
        <v>0</v>
      </c>
      <c r="W44" s="6">
        <f>IF(Sort_IDAC!$B44="","",IF(Sort_IDAC!W44=0,0,ROUND(Sort_IDAC!W44,-1*INT(LOG10(Sort_IDAC!W44))+2)))</f>
        <v>0</v>
      </c>
      <c r="X44" s="6">
        <f>IF(Sort_IDAC!$B44="","",IF(Sort_IDAC!X44=0,0,ROUND(Sort_IDAC!X44,-1*INT(LOG10(Sort_IDAC!X44))+2)))</f>
        <v>0</v>
      </c>
      <c r="Y44" s="6">
        <f>IF(Sort_IDAC!$B44="","",IF(Sort_IDAC!Y44=0,0,ROUND(Sort_IDAC!Y44,-1*INT(LOG10(Sort_IDAC!Y44))+2)))</f>
        <v>0</v>
      </c>
      <c r="Z44" s="6">
        <f>IF(Sort_IDAC!$B44="","",IF(Sort_IDAC!Z44=0,0,ROUND(Sort_IDAC!Z44,-1*INT(LOG10(Sort_IDAC!Z44))+2)))</f>
        <v>0</v>
      </c>
      <c r="AA44" s="6">
        <f>IF(Sort_IDAC!$B44="","",IF(Sort_IDAC!AA44=0,0,ROUND(Sort_IDAC!AA44,-1*INT(LOG10(Sort_IDAC!AA44))+2)))</f>
        <v>0</v>
      </c>
      <c r="AB44" s="6">
        <f>IF(Sort_IDAC!$B44="","",IF(Sort_IDAC!AB44=0,0,ROUND(Sort_IDAC!AB44,-1*INT(LOG10(Sort_IDAC!AB44))+2)))</f>
        <v>0</v>
      </c>
      <c r="AC44" s="6">
        <f>IF(Sort_IDAC!$B44="","",IF(Sort_IDAC!AC44=0,0,ROUND(Sort_IDAC!AC44,-1*INT(LOG10(Sort_IDAC!AC44))+2)))</f>
        <v>0</v>
      </c>
      <c r="AD44" s="6">
        <f>IF(Sort_IDAC!$B44="","",IF(Sort_IDAC!AD44=0,0,ROUND(Sort_IDAC!AD44,-1*INT(LOG10(Sort_IDAC!AD44))+2)))</f>
        <v>0</v>
      </c>
      <c r="AE44" s="6">
        <f>IF(Sort_IDAC!$B44="","",IF(Sort_IDAC!AE44=0,0,ROUND(Sort_IDAC!AE44,-1*INT(LOG10(Sort_IDAC!AE44))+2)))</f>
        <v>0</v>
      </c>
      <c r="AF44" s="6">
        <f>IF(Sort_IDAC!$B44="","",IF(Sort_IDAC!AF44=0,0,ROUND(Sort_IDAC!AF44,-1*INT(LOG10(Sort_IDAC!AF44))+2)))</f>
        <v>0</v>
      </c>
      <c r="AG44" s="6">
        <f>IF(Sort_IDAC!$B44="","",IF(Sort_IDAC!AG44=0,0,ROUND(Sort_IDAC!AG44,-1*INT(LOG10(Sort_IDAC!AG44))+2)))</f>
        <v>0</v>
      </c>
      <c r="AH44" s="6">
        <f>IF(Sort_IDAC!$B44="","",IF(Sort_IDAC!AH44=0,0,ROUND(Sort_IDAC!AH44,-1*INT(LOG10(Sort_IDAC!AH44))+2)))</f>
        <v>0</v>
      </c>
      <c r="AI44" s="6">
        <f>IF(Sort_IDAC!$B44="","",IF(Sort_IDAC!AI44=0,0,ROUND(Sort_IDAC!AI44,-1*INT(LOG10(Sort_IDAC!AI44))+2)))</f>
        <v>0</v>
      </c>
      <c r="AJ44" s="6">
        <f>IF(Sort_IDAC!$B44="","",IF(Sort_IDAC!AJ44=0,0,ROUND(Sort_IDAC!AJ44,-1*INT(LOG10(Sort_IDAC!AJ44))+2)))</f>
        <v>0</v>
      </c>
      <c r="AK44" s="6">
        <f>IF(Sort_IDAC!$B44="","",IF(Sort_IDAC!AK44=0,0,ROUND(Sort_IDAC!AK44,-1*INT(LOG10(Sort_IDAC!AK44))+2)))</f>
        <v>0</v>
      </c>
      <c r="AL44" s="6">
        <f>IF(Sort_IDAC!$B44="","",IF(Sort_IDAC!AL44=0,0,ROUND(Sort_IDAC!AL44,-1*INT(LOG10(Sort_IDAC!AL44))+2)))</f>
        <v>0</v>
      </c>
      <c r="AM44" s="6">
        <f>IF(Sort_IDAC!$B44="","",IF(Sort_IDAC!AM44=0,0,ROUND(Sort_IDAC!AM44,-1*INT(LOG10(Sort_IDAC!AM44))+2)))</f>
        <v>0</v>
      </c>
      <c r="AN44" s="6">
        <f>IF(Sort_IDAC!$B44="","",IF(Sort_IDAC!AN44=0,0,ROUND(Sort_IDAC!AN44,-1*INT(LOG10(Sort_IDAC!AN44))+2)))</f>
        <v>0</v>
      </c>
      <c r="AO44" s="6">
        <f>IF(Sort_IDAC!$B44="","",IF(Sort_IDAC!AO44=0,0,ROUND(Sort_IDAC!AO44,-1*INT(LOG10(Sort_IDAC!AO44))+2)))</f>
        <v>0</v>
      </c>
      <c r="AP44" s="6">
        <f>IF(Sort_IDAC!$B44="","",IF(Sort_IDAC!AP44=0,0,ROUND(Sort_IDAC!AP44,-1*INT(LOG10(Sort_IDAC!AP44))+2)))</f>
        <v>0</v>
      </c>
      <c r="AQ44" s="6">
        <f>IF(Sort_IDAC!$B44="","",IF(Sort_IDAC!AQ44=0,0,ROUND(Sort_IDAC!AQ44,-1*INT(LOG10(Sort_IDAC!AQ44))+2)))</f>
        <v>0</v>
      </c>
      <c r="AR44" s="6">
        <f>IF(Sort_IDAC!$B44="","",IF(Sort_IDAC!AR44=0,0,ROUND(Sort_IDAC!AR44,-1*INT(LOG10(Sort_IDAC!AR44))+2)))</f>
        <v>0</v>
      </c>
      <c r="AS44" s="6">
        <f>IF(Sort_IDAC!$B44="","",IF(Sort_IDAC!AS44=0,0,ROUND(Sort_IDAC!AS44,-1*INT(LOG10(Sort_IDAC!AS44))+2)))</f>
        <v>0</v>
      </c>
      <c r="AT44" s="6">
        <f>IF(Sort_IDAC!$B44="","",IF(Sort_IDAC!AT44=0,0,ROUND(Sort_IDAC!AT44,-1*INT(LOG10(Sort_IDAC!AT44))+2)))</f>
        <v>0</v>
      </c>
      <c r="AU44" s="6">
        <f>IF(Sort_IDAC!$B44="","",IF(Sort_IDAC!AU44=0,0,ROUND(Sort_IDAC!AU44,-1*INT(LOG10(Sort_IDAC!AU44))+2)))</f>
        <v>0</v>
      </c>
      <c r="AV44" s="6">
        <f>IF(Sort_IDAC!$B44="","",IF(Sort_IDAC!AV44=0,0,ROUND(Sort_IDAC!AV44,-1*INT(LOG10(Sort_IDAC!AV44))+2)))</f>
        <v>0</v>
      </c>
      <c r="AW44" s="6">
        <f>IF(Sort_IDAC!$B44="","",IF(Sort_IDAC!AW44=0,0,ROUND(Sort_IDAC!AW44,-1*INT(LOG10(Sort_IDAC!AW44))+2)))</f>
        <v>0</v>
      </c>
      <c r="AX44" s="6">
        <f>IF(Sort_IDAC!$B44="","",IF(Sort_IDAC!AX44=0,0,ROUND(Sort_IDAC!AX44,-1*INT(LOG10(Sort_IDAC!AX44))+2)))</f>
        <v>0</v>
      </c>
      <c r="AY44" s="6">
        <f>IF(Sort_IDAC!$B44="","",IF(Sort_IDAC!AY44=0,0,ROUND(Sort_IDAC!AY44,-1*INT(LOG10(Sort_IDAC!AY44))+2)))</f>
        <v>0</v>
      </c>
      <c r="AZ44" s="6">
        <f>IF(Sort_IDAC!$B44="","",IF(Sort_IDAC!AZ44=0,0,ROUND(Sort_IDAC!AZ44,-1*INT(LOG10(Sort_IDAC!AZ44))+2)))</f>
        <v>0</v>
      </c>
      <c r="BA44" s="6">
        <f>IF(Sort_IDAC!$B44="","",IF(Sort_IDAC!BA44=0,0,ROUND(Sort_IDAC!BA44,-1*INT(LOG10(Sort_IDAC!BA44))+2)))</f>
        <v>0</v>
      </c>
      <c r="BB44" s="6">
        <f>IF(Sort_IDAC!$B44="","",IF(Sort_IDAC!BB44=0,0,ROUND(Sort_IDAC!BB44,-1*INT(LOG10(Sort_IDAC!BB44))+2)))</f>
        <v>0</v>
      </c>
      <c r="BC44" s="6">
        <f>IF(Sort_IDAC!$B44="","",IF(Sort_IDAC!BC44=0,0,ROUND(Sort_IDAC!BC44,-1*INT(LOG10(Sort_IDAC!BC44))+2)))</f>
        <v>0</v>
      </c>
      <c r="BD44" s="6">
        <f>IF(Sort_IDAC!$B44="","",IF(Sort_IDAC!BD44=0,0,ROUND(Sort_IDAC!BD44,-1*INT(LOG10(Sort_IDAC!BD44))+2)))</f>
        <v>0</v>
      </c>
      <c r="BE44" s="6">
        <f>IF(Sort_IDAC!$B44="","",IF(Sort_IDAC!BE44=0,0,ROUND(Sort_IDAC!BE44,-1*INT(LOG10(Sort_IDAC!BE44))+2)))</f>
        <v>0</v>
      </c>
      <c r="BF44" s="6">
        <f>IF(Sort_IDAC!$B44="","",IF(Sort_IDAC!BF44=0,0,ROUND(Sort_IDAC!BF44,-1*INT(LOG10(Sort_IDAC!BF44))+2)))</f>
        <v>0</v>
      </c>
      <c r="BG44" s="6">
        <f>IF(Sort_IDAC!$B44="","",IF(Sort_IDAC!BG44=0,0,ROUND(Sort_IDAC!BG44,-1*INT(LOG10(Sort_IDAC!BG44))+2)))</f>
        <v>0</v>
      </c>
      <c r="BH44" s="6">
        <f>IF(Sort_IDAC!$B44="","",IF(Sort_IDAC!BH44=0,0,ROUND(Sort_IDAC!BH44,-1*INT(LOG10(Sort_IDAC!BH44))+2)))</f>
        <v>0</v>
      </c>
      <c r="BI44" s="6">
        <f>IF(Sort_IDAC!$B44="","",IF(Sort_IDAC!BI44=0,0,ROUND(Sort_IDAC!BI44,-1*INT(LOG10(Sort_IDAC!BI44))+2)))</f>
        <v>0</v>
      </c>
      <c r="BJ44" s="6">
        <f>IF(Sort_IDAC!$B44="","",IF(Sort_IDAC!BJ44=0,0,ROUND(Sort_IDAC!BJ44,-1*INT(LOG10(Sort_IDAC!BJ44))+2)))</f>
        <v>0</v>
      </c>
      <c r="BK44" s="6">
        <f>IF(Sort_IDAC!$B44="","",IF(Sort_IDAC!BK44=0,0,ROUND(Sort_IDAC!BK44,-1*INT(LOG10(Sort_IDAC!BK44))+2)))</f>
        <v>0</v>
      </c>
      <c r="BL44" s="6">
        <f>IF(Sort_IDAC!$B44="","",IF(Sort_IDAC!BL44=0,0,ROUND(Sort_IDAC!BL44,-1*INT(LOG10(Sort_IDAC!BL44))+2)))</f>
        <v>0</v>
      </c>
      <c r="BM44" s="6">
        <f>IF(Sort_IDAC!$B44="","",IF(Sort_IDAC!BM44=0,0,ROUND(Sort_IDAC!BM44,-1*INT(LOG10(Sort_IDAC!BM44))+2)))</f>
        <v>0</v>
      </c>
      <c r="BN44" s="6">
        <f>IF(Sort_IDAC!$B44="","",IF(Sort_IDAC!BN44=0,0,ROUND(Sort_IDAC!BN44,-1*INT(LOG10(Sort_IDAC!BN44))+2)))</f>
        <v>0</v>
      </c>
      <c r="BO44" s="6">
        <f>IF(Sort_IDAC!$B44="","",IF(Sort_IDAC!BO44=0,0,ROUND(Sort_IDAC!BO44,-1*INT(LOG10(Sort_IDAC!BO44))+2)))</f>
        <v>0</v>
      </c>
      <c r="BP44" s="6">
        <f>IF(Sort_IDAC!$B44="","",IF(Sort_IDAC!BP44=0,0,ROUND(Sort_IDAC!BP44,-1*INT(LOG10(Sort_IDAC!BP44))+2)))</f>
        <v>0</v>
      </c>
      <c r="BQ44" s="6">
        <f>IF(Sort_IDAC!$B44="","",IF(Sort_IDAC!BQ44=0,0,ROUND(Sort_IDAC!BQ44,-1*INT(LOG10(Sort_IDAC!BQ44))+2)))</f>
        <v>0</v>
      </c>
      <c r="BR44" s="6">
        <f>IF(Sort_IDAC!$B44="","",IF(Sort_IDAC!BR44=0,0,ROUND(Sort_IDAC!BR44,-1*INT(LOG10(Sort_IDAC!BR44))+2)))</f>
        <v>0</v>
      </c>
      <c r="BS44" s="6">
        <f>IF(Sort_IDAC!$B44="","",IF(Sort_IDAC!BS44=0,0,ROUND(Sort_IDAC!BS44,-1*INT(LOG10(Sort_IDAC!BS44))+2)))</f>
        <v>0</v>
      </c>
      <c r="BT44" s="6">
        <f>IF(Sort_IDAC!$B44="","",IF(Sort_IDAC!BT44=0,0,ROUND(Sort_IDAC!BT44,-1*INT(LOG10(Sort_IDAC!BT44))+2)))</f>
        <v>0</v>
      </c>
      <c r="BU44" s="6">
        <f>IF(Sort_IDAC!$B44="","",IF(Sort_IDAC!BU44=0,0,ROUND(Sort_IDAC!BU44,-1*INT(LOG10(Sort_IDAC!BU44))+2)))</f>
        <v>0</v>
      </c>
      <c r="BV44" s="6">
        <f>IF(Sort_IDAC!$B44="","",IF(Sort_IDAC!BV44=0,0,ROUND(Sort_IDAC!BV44,-1*INT(LOG10(Sort_IDAC!BV44))+2)))</f>
        <v>0</v>
      </c>
      <c r="BW44" s="6">
        <f>IF(Sort_IDAC!$B44="","",IF(Sort_IDAC!BW44=0,0,ROUND(Sort_IDAC!BW44,-1*INT(LOG10(Sort_IDAC!BW44))+2)))</f>
        <v>0</v>
      </c>
      <c r="BX44" s="6">
        <f>IF(Sort_IDAC!$B44="","",IF(Sort_IDAC!BX44=0,0,ROUND(Sort_IDAC!BX44,-1*INT(LOG10(Sort_IDAC!BX44))+2)))</f>
        <v>0</v>
      </c>
      <c r="BY44" s="6">
        <f>IF(Sort_IDAC!$B44="","",IF(Sort_IDAC!BY44=0,0,ROUND(Sort_IDAC!BY44,-1*INT(LOG10(Sort_IDAC!BY44))+2)))</f>
        <v>0</v>
      </c>
      <c r="BZ44" s="6">
        <f>IF(Sort_IDAC!$B44="","",IF(Sort_IDAC!BZ44=0,0,ROUND(Sort_IDAC!BZ44,-1*INT(LOG10(Sort_IDAC!BZ44))+2)))</f>
        <v>0</v>
      </c>
      <c r="CA44" s="6">
        <f>IF(Sort_IDAC!$B44="","",IF(Sort_IDAC!CA44=0,0,ROUND(Sort_IDAC!CA44,-1*INT(LOG10(Sort_IDAC!CA44))+2)))</f>
        <v>0</v>
      </c>
      <c r="CB44" s="6">
        <f>IF(Sort_IDAC!$B44="","",IF(Sort_IDAC!CB44=0,0,ROUND(Sort_IDAC!CB44,-1*INT(LOG10(Sort_IDAC!CB44))+2)))</f>
        <v>0</v>
      </c>
      <c r="CC44" s="6">
        <f>IF(Sort_IDAC!$B44="","",IF(Sort_IDAC!CC44=0,0,ROUND(Sort_IDAC!CC44,-1*INT(LOG10(Sort_IDAC!CC44))+2)))</f>
        <v>0</v>
      </c>
      <c r="CD44" s="6"/>
      <c r="CE44" s="6"/>
      <c r="CF44" s="6"/>
      <c r="CG44" s="6"/>
    </row>
    <row r="45" spans="2:85" x14ac:dyDescent="0.15">
      <c r="B45" s="5" t="s">
        <v>35</v>
      </c>
      <c r="C45" s="6">
        <f>IF(Sort_IDAC!$B45="","",IF(Sort_IDAC!C45=0,0,ROUND(Sort_IDAC!C45,-1*INT(LOG10(Sort_IDAC!C45))+2)))</f>
        <v>6.2700000000000003E-16</v>
      </c>
      <c r="D45" s="6">
        <f>IF(Sort_IDAC!$B45="","",IF(Sort_IDAC!D45=0,0,ROUND(Sort_IDAC!D45,-1*INT(LOG10(Sort_IDAC!D45))+2)))</f>
        <v>5.0099999999999996E-16</v>
      </c>
      <c r="E45" s="6">
        <f>IF(Sort_IDAC!$B45="","",IF(Sort_IDAC!E45=0,0,ROUND(Sort_IDAC!E45,-1*INT(LOG10(Sort_IDAC!E45))+2)))</f>
        <v>5.8999999999999996E-15</v>
      </c>
      <c r="F45" s="6">
        <f>IF(Sort_IDAC!$B45="","",IF(Sort_IDAC!F45=0,0,ROUND(Sort_IDAC!F45,-1*INT(LOG10(Sort_IDAC!F45))+2)))</f>
        <v>7.3000000000000003E-16</v>
      </c>
      <c r="G45" s="6">
        <f>IF(Sort_IDAC!$B45="","",IF(Sort_IDAC!G45=0,0,ROUND(Sort_IDAC!G45,-1*INT(LOG10(Sort_IDAC!G45))+2)))</f>
        <v>3.0499999999999998E-16</v>
      </c>
      <c r="H45" s="6">
        <f>IF(Sort_IDAC!$B45="","",IF(Sort_IDAC!H45=0,0,ROUND(Sort_IDAC!H45,-1*INT(LOG10(Sort_IDAC!H45))+2)))</f>
        <v>2.6300000000000001E-15</v>
      </c>
      <c r="I45" s="6">
        <f>IF(Sort_IDAC!$B45="","",IF(Sort_IDAC!I45=0,0,ROUND(Sort_IDAC!I45,-1*INT(LOG10(Sort_IDAC!I45))+2)))</f>
        <v>1.7199999999999999E-14</v>
      </c>
      <c r="J45" s="6">
        <f>IF(Sort_IDAC!$B45="","",IF(Sort_IDAC!J45=0,0,ROUND(Sort_IDAC!J45,-1*INT(LOG10(Sort_IDAC!J45))+2)))</f>
        <v>1.7199999999999999E-14</v>
      </c>
      <c r="K45" s="6">
        <f>IF(Sort_IDAC!$B45="","",IF(Sort_IDAC!K45=0,0,ROUND(Sort_IDAC!K45,-1*INT(LOG10(Sort_IDAC!K45))+2)))</f>
        <v>1.7199999999999999E-14</v>
      </c>
      <c r="L45" s="6">
        <f>IF(Sort_IDAC!$B45="","",IF(Sort_IDAC!L45=0,0,ROUND(Sort_IDAC!L45,-1*INT(LOG10(Sort_IDAC!L45))+2)))</f>
        <v>5.8999999999999996E-15</v>
      </c>
      <c r="M45" s="6">
        <f>IF(Sort_IDAC!$B45="","",IF(Sort_IDAC!M45=0,0,ROUND(Sort_IDAC!M45,-1*INT(LOG10(Sort_IDAC!M45))+2)))</f>
        <v>5.8999999999999996E-15</v>
      </c>
      <c r="N45" s="6">
        <f>IF(Sort_IDAC!$B45="","",IF(Sort_IDAC!N45=0,0,ROUND(Sort_IDAC!N45,-1*INT(LOG10(Sort_IDAC!N45))+2)))</f>
        <v>5.8999999999999996E-15</v>
      </c>
      <c r="O45" s="6">
        <f>IF(Sort_IDAC!$B45="","",IF(Sort_IDAC!O45=0,0,ROUND(Sort_IDAC!O45,-1*INT(LOG10(Sort_IDAC!O45))+2)))</f>
        <v>1.07E-15</v>
      </c>
      <c r="P45" s="6">
        <f>IF(Sort_IDAC!$B45="","",IF(Sort_IDAC!P45=0,0,ROUND(Sort_IDAC!P45,-1*INT(LOG10(Sort_IDAC!P45))+2)))</f>
        <v>1.2399999999999999E-16</v>
      </c>
      <c r="Q45" s="6">
        <f>IF(Sort_IDAC!$B45="","",IF(Sort_IDAC!Q45=0,0,ROUND(Sort_IDAC!Q45,-1*INT(LOG10(Sort_IDAC!Q45))+2)))</f>
        <v>9.5599999999999995E-16</v>
      </c>
      <c r="R45" s="6">
        <f>IF(Sort_IDAC!$B45="","",IF(Sort_IDAC!R45=0,0,ROUND(Sort_IDAC!R45,-1*INT(LOG10(Sort_IDAC!R45))+2)))</f>
        <v>9.5599999999999995E-16</v>
      </c>
      <c r="S45" s="6">
        <f>IF(Sort_IDAC!$B45="","",IF(Sort_IDAC!S45=0,0,ROUND(Sort_IDAC!S45,-1*INT(LOG10(Sort_IDAC!S45))+2)))</f>
        <v>7.6000000000000002E-16</v>
      </c>
      <c r="T45" s="6">
        <f>IF(Sort_IDAC!$B45="","",IF(Sort_IDAC!T45=0,0,ROUND(Sort_IDAC!T45,-1*INT(LOG10(Sort_IDAC!T45))+2)))</f>
        <v>1.9299999999999998E-15</v>
      </c>
      <c r="U45" s="6">
        <f>IF(Sort_IDAC!$B45="","",IF(Sort_IDAC!U45=0,0,ROUND(Sort_IDAC!U45,-1*INT(LOG10(Sort_IDAC!U45))+2)))</f>
        <v>1.9299999999999998E-15</v>
      </c>
      <c r="V45" s="6">
        <f>IF(Sort_IDAC!$B45="","",IF(Sort_IDAC!V45=0,0,ROUND(Sort_IDAC!V45,-1*INT(LOG10(Sort_IDAC!V45))+2)))</f>
        <v>1.9299999999999998E-15</v>
      </c>
      <c r="W45" s="6">
        <f>IF(Sort_IDAC!$B45="","",IF(Sort_IDAC!W45=0,0,ROUND(Sort_IDAC!W45,-1*INT(LOG10(Sort_IDAC!W45))+2)))</f>
        <v>1.9299999999999998E-15</v>
      </c>
      <c r="X45" s="6">
        <f>IF(Sort_IDAC!$B45="","",IF(Sort_IDAC!X45=0,0,ROUND(Sort_IDAC!X45,-1*INT(LOG10(Sort_IDAC!X45))+2)))</f>
        <v>1.9299999999999998E-15</v>
      </c>
      <c r="Y45" s="6">
        <f>IF(Sort_IDAC!$B45="","",IF(Sort_IDAC!Y45=0,0,ROUND(Sort_IDAC!Y45,-1*INT(LOG10(Sort_IDAC!Y45))+2)))</f>
        <v>4.9099999999999999E-16</v>
      </c>
      <c r="Z45" s="6">
        <f>IF(Sort_IDAC!$B45="","",IF(Sort_IDAC!Z45=0,0,ROUND(Sort_IDAC!Z45,-1*INT(LOG10(Sort_IDAC!Z45))+2)))</f>
        <v>4.7699999999999996E-16</v>
      </c>
      <c r="AA45" s="6">
        <f>IF(Sort_IDAC!$B45="","",IF(Sort_IDAC!AA45=0,0,ROUND(Sort_IDAC!AA45,-1*INT(LOG10(Sort_IDAC!AA45))+2)))</f>
        <v>4.7799999999999998E-16</v>
      </c>
      <c r="AB45" s="6">
        <f>IF(Sort_IDAC!$B45="","",IF(Sort_IDAC!AB45=0,0,ROUND(Sort_IDAC!AB45,-1*INT(LOG10(Sort_IDAC!AB45))+2)))</f>
        <v>7.7300000000000006E-15</v>
      </c>
      <c r="AC45" s="6">
        <f>IF(Sort_IDAC!$B45="","",IF(Sort_IDAC!AC45=0,0,ROUND(Sort_IDAC!AC45,-1*INT(LOG10(Sort_IDAC!AC45))+2)))</f>
        <v>2.6500000000000002E-16</v>
      </c>
      <c r="AD45" s="6">
        <f>IF(Sort_IDAC!$B45="","",IF(Sort_IDAC!AD45=0,0,ROUND(Sort_IDAC!AD45,-1*INT(LOG10(Sort_IDAC!AD45))+2)))</f>
        <v>5.6100000000000002E-17</v>
      </c>
      <c r="AE45" s="6">
        <f>IF(Sort_IDAC!$B45="","",IF(Sort_IDAC!AE45=0,0,ROUND(Sort_IDAC!AE45,-1*INT(LOG10(Sort_IDAC!AE45))+2)))</f>
        <v>5.29E-17</v>
      </c>
      <c r="AF45" s="6">
        <f>IF(Sort_IDAC!$B45="","",IF(Sort_IDAC!AF45=0,0,ROUND(Sort_IDAC!AF45,-1*INT(LOG10(Sort_IDAC!AF45))+2)))</f>
        <v>5.29E-17</v>
      </c>
      <c r="AG45" s="6">
        <f>IF(Sort_IDAC!$B45="","",IF(Sort_IDAC!AG45=0,0,ROUND(Sort_IDAC!AG45,-1*INT(LOG10(Sort_IDAC!AG45))+2)))</f>
        <v>7.9100000000000003E-16</v>
      </c>
      <c r="AH45" s="6">
        <f>IF(Sort_IDAC!$B45="","",IF(Sort_IDAC!AH45=0,0,ROUND(Sort_IDAC!AH45,-1*INT(LOG10(Sort_IDAC!AH45))+2)))</f>
        <v>6.2699999999999997E-15</v>
      </c>
      <c r="AI45" s="6">
        <f>IF(Sort_IDAC!$B45="","",IF(Sort_IDAC!AI45=0,0,ROUND(Sort_IDAC!AI45,-1*INT(LOG10(Sort_IDAC!AI45))+2)))</f>
        <v>5.7000000000000003E-15</v>
      </c>
      <c r="AJ45" s="6">
        <f>IF(Sort_IDAC!$B45="","",IF(Sort_IDAC!AJ45=0,0,ROUND(Sort_IDAC!AJ45,-1*INT(LOG10(Sort_IDAC!AJ45))+2)))</f>
        <v>3.0200000000000002E-15</v>
      </c>
      <c r="AK45" s="6">
        <f>IF(Sort_IDAC!$B45="","",IF(Sort_IDAC!AK45=0,0,ROUND(Sort_IDAC!AK45,-1*INT(LOG10(Sort_IDAC!AK45))+2)))</f>
        <v>4.4299999999999998E-15</v>
      </c>
      <c r="AL45" s="6">
        <f>IF(Sort_IDAC!$B45="","",IF(Sort_IDAC!AL45=0,0,ROUND(Sort_IDAC!AL45,-1*INT(LOG10(Sort_IDAC!AL45))+2)))</f>
        <v>1.96E-14</v>
      </c>
      <c r="AM45" s="6">
        <f>IF(Sort_IDAC!$B45="","",IF(Sort_IDAC!AM45=0,0,ROUND(Sort_IDAC!AM45,-1*INT(LOG10(Sort_IDAC!AM45))+2)))</f>
        <v>6.7400000000000001E-16</v>
      </c>
      <c r="AN45" s="6">
        <f>IF(Sort_IDAC!$B45="","",IF(Sort_IDAC!AN45=0,0,ROUND(Sort_IDAC!AN45,-1*INT(LOG10(Sort_IDAC!AN45))+2)))</f>
        <v>1.04E-14</v>
      </c>
      <c r="AO45" s="6">
        <f>IF(Sort_IDAC!$B45="","",IF(Sort_IDAC!AO45=0,0,ROUND(Sort_IDAC!AO45,-1*INT(LOG10(Sort_IDAC!AO45))+2)))</f>
        <v>1.04E-14</v>
      </c>
      <c r="AP45" s="6">
        <f>IF(Sort_IDAC!$B45="","",IF(Sort_IDAC!AP45=0,0,ROUND(Sort_IDAC!AP45,-1*INT(LOG10(Sort_IDAC!AP45))+2)))</f>
        <v>1.04E-14</v>
      </c>
      <c r="AQ45" s="6">
        <f>IF(Sort_IDAC!$B45="","",IF(Sort_IDAC!AQ45=0,0,ROUND(Sort_IDAC!AQ45,-1*INT(LOG10(Sort_IDAC!AQ45))+2)))</f>
        <v>1.69E-15</v>
      </c>
      <c r="AR45" s="6">
        <f>IF(Sort_IDAC!$B45="","",IF(Sort_IDAC!AR45=0,0,ROUND(Sort_IDAC!AR45,-1*INT(LOG10(Sort_IDAC!AR45))+2)))</f>
        <v>1.69E-15</v>
      </c>
      <c r="AS45" s="6">
        <f>IF(Sort_IDAC!$B45="","",IF(Sort_IDAC!AS45=0,0,ROUND(Sort_IDAC!AS45,-1*INT(LOG10(Sort_IDAC!AS45))+2)))</f>
        <v>1.1E-17</v>
      </c>
      <c r="AT45" s="6">
        <f>IF(Sort_IDAC!$B45="","",IF(Sort_IDAC!AT45=0,0,ROUND(Sort_IDAC!AT45,-1*INT(LOG10(Sort_IDAC!AT45))+2)))</f>
        <v>2.91E-16</v>
      </c>
      <c r="AU45" s="6">
        <f>IF(Sort_IDAC!$B45="","",IF(Sort_IDAC!AU45=0,0,ROUND(Sort_IDAC!AU45,-1*INT(LOG10(Sort_IDAC!AU45))+2)))</f>
        <v>6.6699999999999999E-16</v>
      </c>
      <c r="AV45" s="6">
        <f>IF(Sort_IDAC!$B45="","",IF(Sort_IDAC!AV45=0,0,ROUND(Sort_IDAC!AV45,-1*INT(LOG10(Sort_IDAC!AV45))+2)))</f>
        <v>0</v>
      </c>
      <c r="AW45" s="6">
        <f>IF(Sort_IDAC!$B45="","",IF(Sort_IDAC!AW45=0,0,ROUND(Sort_IDAC!AW45,-1*INT(LOG10(Sort_IDAC!AW45))+2)))</f>
        <v>1.5799999999999999E-17</v>
      </c>
      <c r="AX45" s="6">
        <f>IF(Sort_IDAC!$B45="","",IF(Sort_IDAC!AX45=0,0,ROUND(Sort_IDAC!AX45,-1*INT(LOG10(Sort_IDAC!AX45))+2)))</f>
        <v>1.36E-17</v>
      </c>
      <c r="AY45" s="6">
        <f>IF(Sort_IDAC!$B45="","",IF(Sort_IDAC!AY45=0,0,ROUND(Sort_IDAC!AY45,-1*INT(LOG10(Sort_IDAC!AY45))+2)))</f>
        <v>1.36E-17</v>
      </c>
      <c r="AZ45" s="6">
        <f>IF(Sort_IDAC!$B45="","",IF(Sort_IDAC!AZ45=0,0,ROUND(Sort_IDAC!AZ45,-1*INT(LOG10(Sort_IDAC!AZ45))+2)))</f>
        <v>2.6099999999999998E-15</v>
      </c>
      <c r="BA45" s="6">
        <f>IF(Sort_IDAC!$B45="","",IF(Sort_IDAC!BA45=0,0,ROUND(Sort_IDAC!BA45,-1*INT(LOG10(Sort_IDAC!BA45))+2)))</f>
        <v>5.9700000000000004E-15</v>
      </c>
      <c r="BB45" s="6">
        <f>IF(Sort_IDAC!$B45="","",IF(Sort_IDAC!BB45=0,0,ROUND(Sort_IDAC!BB45,-1*INT(LOG10(Sort_IDAC!BB45))+2)))</f>
        <v>8.7200000000000004E-17</v>
      </c>
      <c r="BC45" s="6">
        <f>IF(Sort_IDAC!$B45="","",IF(Sort_IDAC!BC45=0,0,ROUND(Sort_IDAC!BC45,-1*INT(LOG10(Sort_IDAC!BC45))+2)))</f>
        <v>7.7500000000000002E-17</v>
      </c>
      <c r="BD45" s="6">
        <f>IF(Sort_IDAC!$B45="","",IF(Sort_IDAC!BD45=0,0,ROUND(Sort_IDAC!BD45,-1*INT(LOG10(Sort_IDAC!BD45))+2)))</f>
        <v>7.7500000000000002E-17</v>
      </c>
      <c r="BE45" s="6">
        <f>IF(Sort_IDAC!$B45="","",IF(Sort_IDAC!BE45=0,0,ROUND(Sort_IDAC!BE45,-1*INT(LOG10(Sort_IDAC!BE45))+2)))</f>
        <v>1.41E-15</v>
      </c>
      <c r="BF45" s="6">
        <f>IF(Sort_IDAC!$B45="","",IF(Sort_IDAC!BF45=0,0,ROUND(Sort_IDAC!BF45,-1*INT(LOG10(Sort_IDAC!BF45))+2)))</f>
        <v>4.4799999999999998E-16</v>
      </c>
      <c r="BG45" s="6">
        <f>IF(Sort_IDAC!$B45="","",IF(Sort_IDAC!BG45=0,0,ROUND(Sort_IDAC!BG45,-1*INT(LOG10(Sort_IDAC!BG45))+2)))</f>
        <v>1.26E-16</v>
      </c>
      <c r="BH45" s="6">
        <f>IF(Sort_IDAC!$B45="","",IF(Sort_IDAC!BH45=0,0,ROUND(Sort_IDAC!BH45,-1*INT(LOG10(Sort_IDAC!BH45))+2)))</f>
        <v>1.06E-16</v>
      </c>
      <c r="BI45" s="6">
        <f>IF(Sort_IDAC!$B45="","",IF(Sort_IDAC!BI45=0,0,ROUND(Sort_IDAC!BI45,-1*INT(LOG10(Sort_IDAC!BI45))+2)))</f>
        <v>1.06E-16</v>
      </c>
      <c r="BJ45" s="6">
        <f>IF(Sort_IDAC!$B45="","",IF(Sort_IDAC!BJ45=0,0,ROUND(Sort_IDAC!BJ45,-1*INT(LOG10(Sort_IDAC!BJ45))+2)))</f>
        <v>1.06E-16</v>
      </c>
      <c r="BK45" s="6">
        <f>IF(Sort_IDAC!$B45="","",IF(Sort_IDAC!BK45=0,0,ROUND(Sort_IDAC!BK45,-1*INT(LOG10(Sort_IDAC!BK45))+2)))</f>
        <v>5.58E-16</v>
      </c>
      <c r="BL45" s="6">
        <f>IF(Sort_IDAC!$B45="","",IF(Sort_IDAC!BL45=0,0,ROUND(Sort_IDAC!BL45,-1*INT(LOG10(Sort_IDAC!BL45))+2)))</f>
        <v>5.3199999999999997E-16</v>
      </c>
      <c r="BM45" s="6">
        <f>IF(Sort_IDAC!$B45="","",IF(Sort_IDAC!BM45=0,0,ROUND(Sort_IDAC!BM45,-1*INT(LOG10(Sort_IDAC!BM45))+2)))</f>
        <v>4.5000000000000002E-16</v>
      </c>
      <c r="BN45" s="6">
        <f>IF(Sort_IDAC!$B45="","",IF(Sort_IDAC!BN45=0,0,ROUND(Sort_IDAC!BN45,-1*INT(LOG10(Sort_IDAC!BN45))+2)))</f>
        <v>4.5000000000000002E-16</v>
      </c>
      <c r="BO45" s="6">
        <f>IF(Sort_IDAC!$B45="","",IF(Sort_IDAC!BO45=0,0,ROUND(Sort_IDAC!BO45,-1*INT(LOG10(Sort_IDAC!BO45))+2)))</f>
        <v>1.4399999999999999E-15</v>
      </c>
      <c r="BP45" s="6">
        <f>IF(Sort_IDAC!$B45="","",IF(Sort_IDAC!BP45=0,0,ROUND(Sort_IDAC!BP45,-1*INT(LOG10(Sort_IDAC!BP45))+2)))</f>
        <v>1.4399999999999999E-15</v>
      </c>
      <c r="BQ45" s="6">
        <f>IF(Sort_IDAC!$B45="","",IF(Sort_IDAC!BQ45=0,0,ROUND(Sort_IDAC!BQ45,-1*INT(LOG10(Sort_IDAC!BQ45))+2)))</f>
        <v>0</v>
      </c>
      <c r="BR45" s="6">
        <f>IF(Sort_IDAC!$B45="","",IF(Sort_IDAC!BR45=0,0,ROUND(Sort_IDAC!BR45,-1*INT(LOG10(Sort_IDAC!BR45))+2)))</f>
        <v>2.0199999999999999E-12</v>
      </c>
      <c r="BS45" s="6">
        <f>IF(Sort_IDAC!$B45="","",IF(Sort_IDAC!BS45=0,0,ROUND(Sort_IDAC!BS45,-1*INT(LOG10(Sort_IDAC!BS45))+2)))</f>
        <v>1.9499999999999999E-14</v>
      </c>
      <c r="BT45" s="6">
        <f>IF(Sort_IDAC!$B45="","",IF(Sort_IDAC!BT45=0,0,ROUND(Sort_IDAC!BT45,-1*INT(LOG10(Sort_IDAC!BT45))+2)))</f>
        <v>1.7299999999999999E-15</v>
      </c>
      <c r="BU45" s="6">
        <f>IF(Sort_IDAC!$B45="","",IF(Sort_IDAC!BU45=0,0,ROUND(Sort_IDAC!BU45,-1*INT(LOG10(Sort_IDAC!BU45))+2)))</f>
        <v>1.2099999999999999E-15</v>
      </c>
      <c r="BV45" s="6">
        <f>IF(Sort_IDAC!$B45="","",IF(Sort_IDAC!BV45=0,0,ROUND(Sort_IDAC!BV45,-1*INT(LOG10(Sort_IDAC!BV45))+2)))</f>
        <v>1.47E-15</v>
      </c>
      <c r="BW45" s="6">
        <f>IF(Sort_IDAC!$B45="","",IF(Sort_IDAC!BW45=0,0,ROUND(Sort_IDAC!BW45,-1*INT(LOG10(Sort_IDAC!BW45))+2)))</f>
        <v>1.1200000000000001E-15</v>
      </c>
      <c r="BX45" s="6">
        <f>IF(Sort_IDAC!$B45="","",IF(Sort_IDAC!BX45=0,0,ROUND(Sort_IDAC!BX45,-1*INT(LOG10(Sort_IDAC!BX45))+2)))</f>
        <v>1.1200000000000001E-15</v>
      </c>
      <c r="BY45" s="6">
        <f>IF(Sort_IDAC!$B45="","",IF(Sort_IDAC!BY45=0,0,ROUND(Sort_IDAC!BY45,-1*INT(LOG10(Sort_IDAC!BY45))+2)))</f>
        <v>1.01E-16</v>
      </c>
      <c r="BZ45" s="6">
        <f>IF(Sort_IDAC!$B45="","",IF(Sort_IDAC!BZ45=0,0,ROUND(Sort_IDAC!BZ45,-1*INT(LOG10(Sort_IDAC!BZ45))+2)))</f>
        <v>1.3999999999999999E-17</v>
      </c>
      <c r="CA45" s="6">
        <f>IF(Sort_IDAC!$B45="","",IF(Sort_IDAC!CA45=0,0,ROUND(Sort_IDAC!CA45,-1*INT(LOG10(Sort_IDAC!CA45))+2)))</f>
        <v>1.36E-17</v>
      </c>
      <c r="CB45" s="6">
        <f>IF(Sort_IDAC!$B45="","",IF(Sort_IDAC!CB45=0,0,ROUND(Sort_IDAC!CB45,-1*INT(LOG10(Sort_IDAC!CB45))+2)))</f>
        <v>1.2600000000000001E-17</v>
      </c>
      <c r="CC45" s="6">
        <f>IF(Sort_IDAC!$B45="","",IF(Sort_IDAC!CC45=0,0,ROUND(Sort_IDAC!CC45,-1*INT(LOG10(Sort_IDAC!CC45))+2)))</f>
        <v>7.4499999999999998E-16</v>
      </c>
      <c r="CD45" s="6"/>
      <c r="CE45" s="6"/>
      <c r="CF45" s="6"/>
      <c r="CG45" s="6"/>
    </row>
    <row r="46" spans="2:85" x14ac:dyDescent="0.15">
      <c r="B46" s="5" t="s">
        <v>36</v>
      </c>
      <c r="C46" s="6">
        <f>IF(Sort_IDAC!$B46="","",IF(Sort_IDAC!C46=0,0,ROUND(Sort_IDAC!C46,-1*INT(LOG10(Sort_IDAC!C46))+2)))</f>
        <v>5.9100000000000004E-16</v>
      </c>
      <c r="D46" s="6">
        <f>IF(Sort_IDAC!$B46="","",IF(Sort_IDAC!D46=0,0,ROUND(Sort_IDAC!D46,-1*INT(LOG10(Sort_IDAC!D46))+2)))</f>
        <v>2.5000000000000002E-16</v>
      </c>
      <c r="E46" s="6">
        <f>IF(Sort_IDAC!$B46="","",IF(Sort_IDAC!E46=0,0,ROUND(Sort_IDAC!E46,-1*INT(LOG10(Sort_IDAC!E46))+2)))</f>
        <v>2.62E-15</v>
      </c>
      <c r="F46" s="6">
        <f>IF(Sort_IDAC!$B46="","",IF(Sort_IDAC!F46=0,0,ROUND(Sort_IDAC!F46,-1*INT(LOG10(Sort_IDAC!F46))+2)))</f>
        <v>2.3499999999999999E-15</v>
      </c>
      <c r="G46" s="6">
        <f>IF(Sort_IDAC!$B46="","",IF(Sort_IDAC!G46=0,0,ROUND(Sort_IDAC!G46,-1*INT(LOG10(Sort_IDAC!G46))+2)))</f>
        <v>6.5899999999999996E-16</v>
      </c>
      <c r="H46" s="6">
        <f>IF(Sort_IDAC!$B46="","",IF(Sort_IDAC!H46=0,0,ROUND(Sort_IDAC!H46,-1*INT(LOG10(Sort_IDAC!H46))+2)))</f>
        <v>1.13E-15</v>
      </c>
      <c r="I46" s="6">
        <f>IF(Sort_IDAC!$B46="","",IF(Sort_IDAC!I46=0,0,ROUND(Sort_IDAC!I46,-1*INT(LOG10(Sort_IDAC!I46))+2)))</f>
        <v>3.09E-14</v>
      </c>
      <c r="J46" s="6">
        <f>IF(Sort_IDAC!$B46="","",IF(Sort_IDAC!J46=0,0,ROUND(Sort_IDAC!J46,-1*INT(LOG10(Sort_IDAC!J46))+2)))</f>
        <v>3.09E-14</v>
      </c>
      <c r="K46" s="6">
        <f>IF(Sort_IDAC!$B46="","",IF(Sort_IDAC!K46=0,0,ROUND(Sort_IDAC!K46,-1*INT(LOG10(Sort_IDAC!K46))+2)))</f>
        <v>3.09E-14</v>
      </c>
      <c r="L46" s="6">
        <f>IF(Sort_IDAC!$B46="","",IF(Sort_IDAC!L46=0,0,ROUND(Sort_IDAC!L46,-1*INT(LOG10(Sort_IDAC!L46))+2)))</f>
        <v>2.62E-15</v>
      </c>
      <c r="M46" s="6">
        <f>IF(Sort_IDAC!$B46="","",IF(Sort_IDAC!M46=0,0,ROUND(Sort_IDAC!M46,-1*INT(LOG10(Sort_IDAC!M46))+2)))</f>
        <v>2.62E-15</v>
      </c>
      <c r="N46" s="6">
        <f>IF(Sort_IDAC!$B46="","",IF(Sort_IDAC!N46=0,0,ROUND(Sort_IDAC!N46,-1*INT(LOG10(Sort_IDAC!N46))+2)))</f>
        <v>2.62E-15</v>
      </c>
      <c r="O46" s="6">
        <f>IF(Sort_IDAC!$B46="","",IF(Sort_IDAC!O46=0,0,ROUND(Sort_IDAC!O46,-1*INT(LOG10(Sort_IDAC!O46))+2)))</f>
        <v>1.26E-15</v>
      </c>
      <c r="P46" s="6">
        <f>IF(Sort_IDAC!$B46="","",IF(Sort_IDAC!P46=0,0,ROUND(Sort_IDAC!P46,-1*INT(LOG10(Sort_IDAC!P46))+2)))</f>
        <v>8.0600000000000006E-17</v>
      </c>
      <c r="Q46" s="6">
        <f>IF(Sort_IDAC!$B46="","",IF(Sort_IDAC!Q46=0,0,ROUND(Sort_IDAC!Q46,-1*INT(LOG10(Sort_IDAC!Q46))+2)))</f>
        <v>1.0000000000000001E-15</v>
      </c>
      <c r="R46" s="6">
        <f>IF(Sort_IDAC!$B46="","",IF(Sort_IDAC!R46=0,0,ROUND(Sort_IDAC!R46,-1*INT(LOG10(Sort_IDAC!R46))+2)))</f>
        <v>1.0000000000000001E-15</v>
      </c>
      <c r="S46" s="6">
        <f>IF(Sort_IDAC!$B46="","",IF(Sort_IDAC!S46=0,0,ROUND(Sort_IDAC!S46,-1*INT(LOG10(Sort_IDAC!S46))+2)))</f>
        <v>1.1599999999999999E-15</v>
      </c>
      <c r="T46" s="6">
        <f>IF(Sort_IDAC!$B46="","",IF(Sort_IDAC!T46=0,0,ROUND(Sort_IDAC!T46,-1*INT(LOG10(Sort_IDAC!T46))+2)))</f>
        <v>7.4700000000000003E-15</v>
      </c>
      <c r="U46" s="6">
        <f>IF(Sort_IDAC!$B46="","",IF(Sort_IDAC!U46=0,0,ROUND(Sort_IDAC!U46,-1*INT(LOG10(Sort_IDAC!U46))+2)))</f>
        <v>7.4700000000000003E-15</v>
      </c>
      <c r="V46" s="6">
        <f>IF(Sort_IDAC!$B46="","",IF(Sort_IDAC!V46=0,0,ROUND(Sort_IDAC!V46,-1*INT(LOG10(Sort_IDAC!V46))+2)))</f>
        <v>7.4700000000000003E-15</v>
      </c>
      <c r="W46" s="6">
        <f>IF(Sort_IDAC!$B46="","",IF(Sort_IDAC!W46=0,0,ROUND(Sort_IDAC!W46,-1*INT(LOG10(Sort_IDAC!W46))+2)))</f>
        <v>7.4700000000000003E-15</v>
      </c>
      <c r="X46" s="6">
        <f>IF(Sort_IDAC!$B46="","",IF(Sort_IDAC!X46=0,0,ROUND(Sort_IDAC!X46,-1*INT(LOG10(Sort_IDAC!X46))+2)))</f>
        <v>7.4700000000000003E-15</v>
      </c>
      <c r="Y46" s="6">
        <f>IF(Sort_IDAC!$B46="","",IF(Sort_IDAC!Y46=0,0,ROUND(Sort_IDAC!Y46,-1*INT(LOG10(Sort_IDAC!Y46))+2)))</f>
        <v>7.3999999999999999E-16</v>
      </c>
      <c r="Z46" s="6">
        <f>IF(Sort_IDAC!$B46="","",IF(Sort_IDAC!Z46=0,0,ROUND(Sort_IDAC!Z46,-1*INT(LOG10(Sort_IDAC!Z46))+2)))</f>
        <v>2.3100000000000001E-16</v>
      </c>
      <c r="AA46" s="6">
        <f>IF(Sort_IDAC!$B46="","",IF(Sort_IDAC!AA46=0,0,ROUND(Sort_IDAC!AA46,-1*INT(LOG10(Sort_IDAC!AA46))+2)))</f>
        <v>2.4E-16</v>
      </c>
      <c r="AB46" s="6">
        <f>IF(Sort_IDAC!$B46="","",IF(Sort_IDAC!AB46=0,0,ROUND(Sort_IDAC!AB46,-1*INT(LOG10(Sort_IDAC!AB46))+2)))</f>
        <v>1.7800000000000001E-15</v>
      </c>
      <c r="AC46" s="6">
        <f>IF(Sort_IDAC!$B46="","",IF(Sort_IDAC!AC46=0,0,ROUND(Sort_IDAC!AC46,-1*INT(LOG10(Sort_IDAC!AC46))+2)))</f>
        <v>1.38E-16</v>
      </c>
      <c r="AD46" s="6">
        <f>IF(Sort_IDAC!$B46="","",IF(Sort_IDAC!AD46=0,0,ROUND(Sort_IDAC!AD46,-1*INT(LOG10(Sort_IDAC!AD46))+2)))</f>
        <v>3.1400000000000002E-17</v>
      </c>
      <c r="AE46" s="6">
        <f>IF(Sort_IDAC!$B46="","",IF(Sort_IDAC!AE46=0,0,ROUND(Sort_IDAC!AE46,-1*INT(LOG10(Sort_IDAC!AE46))+2)))</f>
        <v>2.8599999999999999E-17</v>
      </c>
      <c r="AF46" s="6">
        <f>IF(Sort_IDAC!$B46="","",IF(Sort_IDAC!AF46=0,0,ROUND(Sort_IDAC!AF46,-1*INT(LOG10(Sort_IDAC!AF46))+2)))</f>
        <v>2.8599999999999999E-17</v>
      </c>
      <c r="AG46" s="6">
        <f>IF(Sort_IDAC!$B46="","",IF(Sort_IDAC!AG46=0,0,ROUND(Sort_IDAC!AG46,-1*INT(LOG10(Sort_IDAC!AG46))+2)))</f>
        <v>3.79E-16</v>
      </c>
      <c r="AH46" s="6">
        <f>IF(Sort_IDAC!$B46="","",IF(Sort_IDAC!AH46=0,0,ROUND(Sort_IDAC!AH46,-1*INT(LOG10(Sort_IDAC!AH46))+2)))</f>
        <v>3.5600000000000003E-15</v>
      </c>
      <c r="AI46" s="6">
        <f>IF(Sort_IDAC!$B46="","",IF(Sort_IDAC!AI46=0,0,ROUND(Sort_IDAC!AI46,-1*INT(LOG10(Sort_IDAC!AI46))+2)))</f>
        <v>2.5300000000000001E-15</v>
      </c>
      <c r="AJ46" s="6">
        <f>IF(Sort_IDAC!$B46="","",IF(Sort_IDAC!AJ46=0,0,ROUND(Sort_IDAC!AJ46,-1*INT(LOG10(Sort_IDAC!AJ46))+2)))</f>
        <v>1.3100000000000001E-14</v>
      </c>
      <c r="AK46" s="6">
        <f>IF(Sort_IDAC!$B46="","",IF(Sort_IDAC!AK46=0,0,ROUND(Sort_IDAC!AK46,-1*INT(LOG10(Sort_IDAC!AK46))+2)))</f>
        <v>3.0900000000000001E-15</v>
      </c>
      <c r="AL46" s="6">
        <f>IF(Sort_IDAC!$B46="","",IF(Sort_IDAC!AL46=0,0,ROUND(Sort_IDAC!AL46,-1*INT(LOG10(Sort_IDAC!AL46))+2)))</f>
        <v>5.4099999999999998E-14</v>
      </c>
      <c r="AM46" s="6">
        <f>IF(Sort_IDAC!$B46="","",IF(Sort_IDAC!AM46=0,0,ROUND(Sort_IDAC!AM46,-1*INT(LOG10(Sort_IDAC!AM46))+2)))</f>
        <v>9.0599999999999993E-16</v>
      </c>
      <c r="AN46" s="6">
        <f>IF(Sort_IDAC!$B46="","",IF(Sort_IDAC!AN46=0,0,ROUND(Sort_IDAC!AN46,-1*INT(LOG10(Sort_IDAC!AN46))+2)))</f>
        <v>2.23E-14</v>
      </c>
      <c r="AO46" s="6">
        <f>IF(Sort_IDAC!$B46="","",IF(Sort_IDAC!AO46=0,0,ROUND(Sort_IDAC!AO46,-1*INT(LOG10(Sort_IDAC!AO46))+2)))</f>
        <v>2.23E-14</v>
      </c>
      <c r="AP46" s="6">
        <f>IF(Sort_IDAC!$B46="","",IF(Sort_IDAC!AP46=0,0,ROUND(Sort_IDAC!AP46,-1*INT(LOG10(Sort_IDAC!AP46))+2)))</f>
        <v>2.23E-14</v>
      </c>
      <c r="AQ46" s="6">
        <f>IF(Sort_IDAC!$B46="","",IF(Sort_IDAC!AQ46=0,0,ROUND(Sort_IDAC!AQ46,-1*INT(LOG10(Sort_IDAC!AQ46))+2)))</f>
        <v>4.4699999999999997E-15</v>
      </c>
      <c r="AR46" s="6">
        <f>IF(Sort_IDAC!$B46="","",IF(Sort_IDAC!AR46=0,0,ROUND(Sort_IDAC!AR46,-1*INT(LOG10(Sort_IDAC!AR46))+2)))</f>
        <v>4.4699999999999997E-15</v>
      </c>
      <c r="AS46" s="6">
        <f>IF(Sort_IDAC!$B46="","",IF(Sort_IDAC!AS46=0,0,ROUND(Sort_IDAC!AS46,-1*INT(LOG10(Sort_IDAC!AS46))+2)))</f>
        <v>5.3699999999999999E-18</v>
      </c>
      <c r="AT46" s="6">
        <f>IF(Sort_IDAC!$B46="","",IF(Sort_IDAC!AT46=0,0,ROUND(Sort_IDAC!AT46,-1*INT(LOG10(Sort_IDAC!AT46))+2)))</f>
        <v>1.4499999999999999E-16</v>
      </c>
      <c r="AU46" s="6">
        <f>IF(Sort_IDAC!$B46="","",IF(Sort_IDAC!AU46=0,0,ROUND(Sort_IDAC!AU46,-1*INT(LOG10(Sort_IDAC!AU46))+2)))</f>
        <v>1.49E-15</v>
      </c>
      <c r="AV46" s="6">
        <f>IF(Sort_IDAC!$B46="","",IF(Sort_IDAC!AV46=0,0,ROUND(Sort_IDAC!AV46,-1*INT(LOG10(Sort_IDAC!AV46))+2)))</f>
        <v>0</v>
      </c>
      <c r="AW46" s="6">
        <f>IF(Sort_IDAC!$B46="","",IF(Sort_IDAC!AW46=0,0,ROUND(Sort_IDAC!AW46,-1*INT(LOG10(Sort_IDAC!AW46))+2)))</f>
        <v>7.0100000000000004E-18</v>
      </c>
      <c r="AX46" s="6">
        <f>IF(Sort_IDAC!$B46="","",IF(Sort_IDAC!AX46=0,0,ROUND(Sort_IDAC!AX46,-1*INT(LOG10(Sort_IDAC!AX46))+2)))</f>
        <v>6.6899999999999998E-18</v>
      </c>
      <c r="AY46" s="6">
        <f>IF(Sort_IDAC!$B46="","",IF(Sort_IDAC!AY46=0,0,ROUND(Sort_IDAC!AY46,-1*INT(LOG10(Sort_IDAC!AY46))+2)))</f>
        <v>6.6899999999999998E-18</v>
      </c>
      <c r="AZ46" s="6">
        <f>IF(Sort_IDAC!$B46="","",IF(Sort_IDAC!AZ46=0,0,ROUND(Sort_IDAC!AZ46,-1*INT(LOG10(Sort_IDAC!AZ46))+2)))</f>
        <v>1.77E-15</v>
      </c>
      <c r="BA46" s="6">
        <f>IF(Sort_IDAC!$B46="","",IF(Sort_IDAC!BA46=0,0,ROUND(Sort_IDAC!BA46,-1*INT(LOG10(Sort_IDAC!BA46))+2)))</f>
        <v>2.94E-15</v>
      </c>
      <c r="BB46" s="6">
        <f>IF(Sort_IDAC!$B46="","",IF(Sort_IDAC!BB46=0,0,ROUND(Sort_IDAC!BB46,-1*INT(LOG10(Sort_IDAC!BB46))+2)))</f>
        <v>4.4399999999999998E-17</v>
      </c>
      <c r="BC46" s="6">
        <f>IF(Sort_IDAC!$B46="","",IF(Sort_IDAC!BC46=0,0,ROUND(Sort_IDAC!BC46,-1*INT(LOG10(Sort_IDAC!BC46))+2)))</f>
        <v>4.58E-17</v>
      </c>
      <c r="BD46" s="6">
        <f>IF(Sort_IDAC!$B46="","",IF(Sort_IDAC!BD46=0,0,ROUND(Sort_IDAC!BD46,-1*INT(LOG10(Sort_IDAC!BD46))+2)))</f>
        <v>4.58E-17</v>
      </c>
      <c r="BE46" s="6">
        <f>IF(Sort_IDAC!$B46="","",IF(Sort_IDAC!BE46=0,0,ROUND(Sort_IDAC!BE46,-1*INT(LOG10(Sort_IDAC!BE46))+2)))</f>
        <v>4.3500000000000001E-15</v>
      </c>
      <c r="BF46" s="6">
        <f>IF(Sort_IDAC!$B46="","",IF(Sort_IDAC!BF46=0,0,ROUND(Sort_IDAC!BF46,-1*INT(LOG10(Sort_IDAC!BF46))+2)))</f>
        <v>4.9900000000000002E-16</v>
      </c>
      <c r="BG46" s="6">
        <f>IF(Sort_IDAC!$B46="","",IF(Sort_IDAC!BG46=0,0,ROUND(Sort_IDAC!BG46,-1*INT(LOG10(Sort_IDAC!BG46))+2)))</f>
        <v>6.78E-17</v>
      </c>
      <c r="BH46" s="6">
        <f>IF(Sort_IDAC!$B46="","",IF(Sort_IDAC!BH46=0,0,ROUND(Sort_IDAC!BH46,-1*INT(LOG10(Sort_IDAC!BH46))+2)))</f>
        <v>5.5900000000000006E-17</v>
      </c>
      <c r="BI46" s="6">
        <f>IF(Sort_IDAC!$B46="","",IF(Sort_IDAC!BI46=0,0,ROUND(Sort_IDAC!BI46,-1*INT(LOG10(Sort_IDAC!BI46))+2)))</f>
        <v>5.5900000000000006E-17</v>
      </c>
      <c r="BJ46" s="6">
        <f>IF(Sort_IDAC!$B46="","",IF(Sort_IDAC!BJ46=0,0,ROUND(Sort_IDAC!BJ46,-1*INT(LOG10(Sort_IDAC!BJ46))+2)))</f>
        <v>5.5900000000000006E-17</v>
      </c>
      <c r="BK46" s="6">
        <f>IF(Sort_IDAC!$B46="","",IF(Sort_IDAC!BK46=0,0,ROUND(Sort_IDAC!BK46,-1*INT(LOG10(Sort_IDAC!BK46))+2)))</f>
        <v>3.1900000000000001E-16</v>
      </c>
      <c r="BL46" s="6">
        <f>IF(Sort_IDAC!$B46="","",IF(Sort_IDAC!BL46=0,0,ROUND(Sort_IDAC!BL46,-1*INT(LOG10(Sort_IDAC!BL46))+2)))</f>
        <v>2.7799999999999998E-16</v>
      </c>
      <c r="BM46" s="6">
        <f>IF(Sort_IDAC!$B46="","",IF(Sort_IDAC!BM46=0,0,ROUND(Sort_IDAC!BM46,-1*INT(LOG10(Sort_IDAC!BM46))+2)))</f>
        <v>2.3700000000000001E-16</v>
      </c>
      <c r="BN46" s="6">
        <f>IF(Sort_IDAC!$B46="","",IF(Sort_IDAC!BN46=0,0,ROUND(Sort_IDAC!BN46,-1*INT(LOG10(Sort_IDAC!BN46))+2)))</f>
        <v>2.3700000000000001E-16</v>
      </c>
      <c r="BO46" s="6">
        <f>IF(Sort_IDAC!$B46="","",IF(Sort_IDAC!BO46=0,0,ROUND(Sort_IDAC!BO46,-1*INT(LOG10(Sort_IDAC!BO46))+2)))</f>
        <v>2.8700000000000001E-15</v>
      </c>
      <c r="BP46" s="6">
        <f>IF(Sort_IDAC!$B46="","",IF(Sort_IDAC!BP46=0,0,ROUND(Sort_IDAC!BP46,-1*INT(LOG10(Sort_IDAC!BP46))+2)))</f>
        <v>2.8700000000000001E-15</v>
      </c>
      <c r="BQ46" s="6">
        <f>IF(Sort_IDAC!$B46="","",IF(Sort_IDAC!BQ46=0,0,ROUND(Sort_IDAC!BQ46,-1*INT(LOG10(Sort_IDAC!BQ46))+2)))</f>
        <v>0</v>
      </c>
      <c r="BR46" s="6">
        <f>IF(Sort_IDAC!$B46="","",IF(Sort_IDAC!BR46=0,0,ROUND(Sort_IDAC!BR46,-1*INT(LOG10(Sort_IDAC!BR46))+2)))</f>
        <v>1.96E-14</v>
      </c>
      <c r="BS46" s="6">
        <f>IF(Sort_IDAC!$B46="","",IF(Sort_IDAC!BS46=0,0,ROUND(Sort_IDAC!BS46,-1*INT(LOG10(Sort_IDAC!BS46))+2)))</f>
        <v>2.13E-12</v>
      </c>
      <c r="BT46" s="6">
        <f>IF(Sort_IDAC!$B46="","",IF(Sort_IDAC!BT46=0,0,ROUND(Sort_IDAC!BT46,-1*INT(LOG10(Sort_IDAC!BT46))+2)))</f>
        <v>4.83E-15</v>
      </c>
      <c r="BU46" s="6">
        <f>IF(Sort_IDAC!$B46="","",IF(Sort_IDAC!BU46=0,0,ROUND(Sort_IDAC!BU46,-1*INT(LOG10(Sort_IDAC!BU46))+2)))</f>
        <v>3.4100000000000002E-15</v>
      </c>
      <c r="BV46" s="6">
        <f>IF(Sort_IDAC!$B46="","",IF(Sort_IDAC!BV46=0,0,ROUND(Sort_IDAC!BV46,-1*INT(LOG10(Sort_IDAC!BV46))+2)))</f>
        <v>1.02E-15</v>
      </c>
      <c r="BW46" s="6">
        <f>IF(Sort_IDAC!$B46="","",IF(Sort_IDAC!BW46=0,0,ROUND(Sort_IDAC!BW46,-1*INT(LOG10(Sort_IDAC!BW46))+2)))</f>
        <v>9.8600000000000005E-16</v>
      </c>
      <c r="BX46" s="6">
        <f>IF(Sort_IDAC!$B46="","",IF(Sort_IDAC!BX46=0,0,ROUND(Sort_IDAC!BX46,-1*INT(LOG10(Sort_IDAC!BX46))+2)))</f>
        <v>9.8600000000000005E-16</v>
      </c>
      <c r="BY46" s="6">
        <f>IF(Sort_IDAC!$B46="","",IF(Sort_IDAC!BY46=0,0,ROUND(Sort_IDAC!BY46,-1*INT(LOG10(Sort_IDAC!BY46))+2)))</f>
        <v>4.8499999999999999E-17</v>
      </c>
      <c r="BZ46" s="6">
        <f>IF(Sort_IDAC!$B46="","",IF(Sort_IDAC!BZ46=0,0,ROUND(Sort_IDAC!BZ46,-1*INT(LOG10(Sort_IDAC!BZ46))+2)))</f>
        <v>7.3199999999999996E-18</v>
      </c>
      <c r="CA46" s="6">
        <f>IF(Sort_IDAC!$B46="","",IF(Sort_IDAC!CA46=0,0,ROUND(Sort_IDAC!CA46,-1*INT(LOG10(Sort_IDAC!CA46))+2)))</f>
        <v>7.2799999999999998E-18</v>
      </c>
      <c r="CB46" s="6">
        <f>IF(Sort_IDAC!$B46="","",IF(Sort_IDAC!CB46=0,0,ROUND(Sort_IDAC!CB46,-1*INT(LOG10(Sort_IDAC!CB46))+2)))</f>
        <v>6.5299999999999999E-18</v>
      </c>
      <c r="CC46" s="6">
        <f>IF(Sort_IDAC!$B46="","",IF(Sort_IDAC!CC46=0,0,ROUND(Sort_IDAC!CC46,-1*INT(LOG10(Sort_IDAC!CC46))+2)))</f>
        <v>5.3299999999999998E-16</v>
      </c>
      <c r="CD46" s="6"/>
      <c r="CE46" s="6"/>
      <c r="CF46" s="6"/>
      <c r="CG46" s="6"/>
    </row>
    <row r="47" spans="2:85" x14ac:dyDescent="0.15">
      <c r="B47" s="5" t="s">
        <v>37</v>
      </c>
      <c r="C47" s="6">
        <f>IF(Sort_IDAC!$B47="","",IF(Sort_IDAC!C47=0,0,ROUND(Sort_IDAC!C47,-1*INT(LOG10(Sort_IDAC!C47))+2)))</f>
        <v>4.7699999999999996E-16</v>
      </c>
      <c r="D47" s="6">
        <f>IF(Sort_IDAC!$B47="","",IF(Sort_IDAC!D47=0,0,ROUND(Sort_IDAC!D47,-1*INT(LOG10(Sort_IDAC!D47))+2)))</f>
        <v>1.0500000000000001E-16</v>
      </c>
      <c r="E47" s="6">
        <f>IF(Sort_IDAC!$B47="","",IF(Sort_IDAC!E47=0,0,ROUND(Sort_IDAC!E47,-1*INT(LOG10(Sort_IDAC!E47))+2)))</f>
        <v>6.19E-16</v>
      </c>
      <c r="F47" s="6">
        <f>IF(Sort_IDAC!$B47="","",IF(Sort_IDAC!F47=0,0,ROUND(Sort_IDAC!F47,-1*INT(LOG10(Sort_IDAC!F47))+2)))</f>
        <v>9.6000000000000002E-16</v>
      </c>
      <c r="G47" s="6">
        <f>IF(Sort_IDAC!$B47="","",IF(Sort_IDAC!G47=0,0,ROUND(Sort_IDAC!G47,-1*INT(LOG10(Sort_IDAC!G47))+2)))</f>
        <v>2.7500000000000001E-15</v>
      </c>
      <c r="H47" s="6">
        <f>IF(Sort_IDAC!$B47="","",IF(Sort_IDAC!H47=0,0,ROUND(Sort_IDAC!H47,-1*INT(LOG10(Sort_IDAC!H47))+2)))</f>
        <v>7.3500000000000001E-16</v>
      </c>
      <c r="I47" s="6">
        <f>IF(Sort_IDAC!$B47="","",IF(Sort_IDAC!I47=0,0,ROUND(Sort_IDAC!I47,-1*INT(LOG10(Sort_IDAC!I47))+2)))</f>
        <v>2.33E-15</v>
      </c>
      <c r="J47" s="6">
        <f>IF(Sort_IDAC!$B47="","",IF(Sort_IDAC!J47=0,0,ROUND(Sort_IDAC!J47,-1*INT(LOG10(Sort_IDAC!J47))+2)))</f>
        <v>2.33E-15</v>
      </c>
      <c r="K47" s="6">
        <f>IF(Sort_IDAC!$B47="","",IF(Sort_IDAC!K47=0,0,ROUND(Sort_IDAC!K47,-1*INT(LOG10(Sort_IDAC!K47))+2)))</f>
        <v>2.33E-15</v>
      </c>
      <c r="L47" s="6">
        <f>IF(Sort_IDAC!$B47="","",IF(Sort_IDAC!L47=0,0,ROUND(Sort_IDAC!L47,-1*INT(LOG10(Sort_IDAC!L47))+2)))</f>
        <v>6.19E-16</v>
      </c>
      <c r="M47" s="6">
        <f>IF(Sort_IDAC!$B47="","",IF(Sort_IDAC!M47=0,0,ROUND(Sort_IDAC!M47,-1*INT(LOG10(Sort_IDAC!M47))+2)))</f>
        <v>6.19E-16</v>
      </c>
      <c r="N47" s="6">
        <f>IF(Sort_IDAC!$B47="","",IF(Sort_IDAC!N47=0,0,ROUND(Sort_IDAC!N47,-1*INT(LOG10(Sort_IDAC!N47))+2)))</f>
        <v>6.19E-16</v>
      </c>
      <c r="O47" s="6">
        <f>IF(Sort_IDAC!$B47="","",IF(Sort_IDAC!O47=0,0,ROUND(Sort_IDAC!O47,-1*INT(LOG10(Sort_IDAC!O47))+2)))</f>
        <v>1.37E-15</v>
      </c>
      <c r="P47" s="6">
        <f>IF(Sort_IDAC!$B47="","",IF(Sort_IDAC!P47=0,0,ROUND(Sort_IDAC!P47,-1*INT(LOG10(Sort_IDAC!P47))+2)))</f>
        <v>3.6599999999999999E-17</v>
      </c>
      <c r="Q47" s="6">
        <f>IF(Sort_IDAC!$B47="","",IF(Sort_IDAC!Q47=0,0,ROUND(Sort_IDAC!Q47,-1*INT(LOG10(Sort_IDAC!Q47))+2)))</f>
        <v>1.6300000000000001E-15</v>
      </c>
      <c r="R47" s="6">
        <f>IF(Sort_IDAC!$B47="","",IF(Sort_IDAC!R47=0,0,ROUND(Sort_IDAC!R47,-1*INT(LOG10(Sort_IDAC!R47))+2)))</f>
        <v>1.6300000000000001E-15</v>
      </c>
      <c r="S47" s="6">
        <f>IF(Sort_IDAC!$B47="","",IF(Sort_IDAC!S47=0,0,ROUND(Sort_IDAC!S47,-1*INT(LOG10(Sort_IDAC!S47))+2)))</f>
        <v>1.25E-14</v>
      </c>
      <c r="T47" s="6">
        <f>IF(Sort_IDAC!$B47="","",IF(Sort_IDAC!T47=0,0,ROUND(Sort_IDAC!T47,-1*INT(LOG10(Sort_IDAC!T47))+2)))</f>
        <v>3.85E-14</v>
      </c>
      <c r="U47" s="6">
        <f>IF(Sort_IDAC!$B47="","",IF(Sort_IDAC!U47=0,0,ROUND(Sort_IDAC!U47,-1*INT(LOG10(Sort_IDAC!U47))+2)))</f>
        <v>3.85E-14</v>
      </c>
      <c r="V47" s="6">
        <f>IF(Sort_IDAC!$B47="","",IF(Sort_IDAC!V47=0,0,ROUND(Sort_IDAC!V47,-1*INT(LOG10(Sort_IDAC!V47))+2)))</f>
        <v>3.85E-14</v>
      </c>
      <c r="W47" s="6">
        <f>IF(Sort_IDAC!$B47="","",IF(Sort_IDAC!W47=0,0,ROUND(Sort_IDAC!W47,-1*INT(LOG10(Sort_IDAC!W47))+2)))</f>
        <v>3.85E-14</v>
      </c>
      <c r="X47" s="6">
        <f>IF(Sort_IDAC!$B47="","",IF(Sort_IDAC!X47=0,0,ROUND(Sort_IDAC!X47,-1*INT(LOG10(Sort_IDAC!X47))+2)))</f>
        <v>3.85E-14</v>
      </c>
      <c r="Y47" s="6">
        <f>IF(Sort_IDAC!$B47="","",IF(Sort_IDAC!Y47=0,0,ROUND(Sort_IDAC!Y47,-1*INT(LOG10(Sort_IDAC!Y47))+2)))</f>
        <v>5.6599999999999997E-15</v>
      </c>
      <c r="Z47" s="6">
        <f>IF(Sort_IDAC!$B47="","",IF(Sort_IDAC!Z47=0,0,ROUND(Sort_IDAC!Z47,-1*INT(LOG10(Sort_IDAC!Z47))+2)))</f>
        <v>1.12E-16</v>
      </c>
      <c r="AA47" s="6">
        <f>IF(Sort_IDAC!$B47="","",IF(Sort_IDAC!AA47=0,0,ROUND(Sort_IDAC!AA47,-1*INT(LOG10(Sort_IDAC!AA47))+2)))</f>
        <v>1.17E-16</v>
      </c>
      <c r="AB47" s="6">
        <f>IF(Sort_IDAC!$B47="","",IF(Sort_IDAC!AB47=0,0,ROUND(Sort_IDAC!AB47,-1*INT(LOG10(Sort_IDAC!AB47))+2)))</f>
        <v>5.0400000000000001E-16</v>
      </c>
      <c r="AC47" s="6">
        <f>IF(Sort_IDAC!$B47="","",IF(Sort_IDAC!AC47=0,0,ROUND(Sort_IDAC!AC47,-1*INT(LOG10(Sort_IDAC!AC47))+2)))</f>
        <v>6.2299999999999997E-17</v>
      </c>
      <c r="AD47" s="6">
        <f>IF(Sort_IDAC!$B47="","",IF(Sort_IDAC!AD47=0,0,ROUND(Sort_IDAC!AD47,-1*INT(LOG10(Sort_IDAC!AD47))+2)))</f>
        <v>1.68E-17</v>
      </c>
      <c r="AE47" s="6">
        <f>IF(Sort_IDAC!$B47="","",IF(Sort_IDAC!AE47=0,0,ROUND(Sort_IDAC!AE47,-1*INT(LOG10(Sort_IDAC!AE47))+2)))</f>
        <v>1.6600000000000001E-17</v>
      </c>
      <c r="AF47" s="6">
        <f>IF(Sort_IDAC!$B47="","",IF(Sort_IDAC!AF47=0,0,ROUND(Sort_IDAC!AF47,-1*INT(LOG10(Sort_IDAC!AF47))+2)))</f>
        <v>1.6600000000000001E-17</v>
      </c>
      <c r="AG47" s="6">
        <f>IF(Sort_IDAC!$B47="","",IF(Sort_IDAC!AG47=0,0,ROUND(Sort_IDAC!AG47,-1*INT(LOG10(Sort_IDAC!AG47))+2)))</f>
        <v>1.6600000000000001E-16</v>
      </c>
      <c r="AH47" s="6">
        <f>IF(Sort_IDAC!$B47="","",IF(Sort_IDAC!AH47=0,0,ROUND(Sort_IDAC!AH47,-1*INT(LOG10(Sort_IDAC!AH47))+2)))</f>
        <v>6.7699999999999996E-16</v>
      </c>
      <c r="AI47" s="6">
        <f>IF(Sort_IDAC!$B47="","",IF(Sort_IDAC!AI47=0,0,ROUND(Sort_IDAC!AI47,-1*INT(LOG10(Sort_IDAC!AI47))+2)))</f>
        <v>6.1199999999999999E-16</v>
      </c>
      <c r="AJ47" s="6">
        <f>IF(Sort_IDAC!$B47="","",IF(Sort_IDAC!AJ47=0,0,ROUND(Sort_IDAC!AJ47,-1*INT(LOG10(Sort_IDAC!AJ47))+2)))</f>
        <v>5.1099999999999998E-14</v>
      </c>
      <c r="AK47" s="6">
        <f>IF(Sort_IDAC!$B47="","",IF(Sort_IDAC!AK47=0,0,ROUND(Sort_IDAC!AK47,-1*INT(LOG10(Sort_IDAC!AK47))+2)))</f>
        <v>6.6400000000000004E-16</v>
      </c>
      <c r="AL47" s="6">
        <f>IF(Sort_IDAC!$B47="","",IF(Sort_IDAC!AL47=0,0,ROUND(Sort_IDAC!AL47,-1*INT(LOG10(Sort_IDAC!AL47))+2)))</f>
        <v>2.67E-15</v>
      </c>
      <c r="AM47" s="6">
        <f>IF(Sort_IDAC!$B47="","",IF(Sort_IDAC!AM47=0,0,ROUND(Sort_IDAC!AM47,-1*INT(LOG10(Sort_IDAC!AM47))+2)))</f>
        <v>5.2300000000000002E-16</v>
      </c>
      <c r="AN47" s="6">
        <f>IF(Sort_IDAC!$B47="","",IF(Sort_IDAC!AN47=0,0,ROUND(Sort_IDAC!AN47,-1*INT(LOG10(Sort_IDAC!AN47))+2)))</f>
        <v>2.4100000000000001E-15</v>
      </c>
      <c r="AO47" s="6">
        <f>IF(Sort_IDAC!$B47="","",IF(Sort_IDAC!AO47=0,0,ROUND(Sort_IDAC!AO47,-1*INT(LOG10(Sort_IDAC!AO47))+2)))</f>
        <v>2.4100000000000001E-15</v>
      </c>
      <c r="AP47" s="6">
        <f>IF(Sort_IDAC!$B47="","",IF(Sort_IDAC!AP47=0,0,ROUND(Sort_IDAC!AP47,-1*INT(LOG10(Sort_IDAC!AP47))+2)))</f>
        <v>2.4100000000000001E-15</v>
      </c>
      <c r="AQ47" s="6">
        <f>IF(Sort_IDAC!$B47="","",IF(Sort_IDAC!AQ47=0,0,ROUND(Sort_IDAC!AQ47,-1*INT(LOG10(Sort_IDAC!AQ47))+2)))</f>
        <v>6.0600000000000004E-13</v>
      </c>
      <c r="AR47" s="6">
        <f>IF(Sort_IDAC!$B47="","",IF(Sort_IDAC!AR47=0,0,ROUND(Sort_IDAC!AR47,-1*INT(LOG10(Sort_IDAC!AR47))+2)))</f>
        <v>6.0600000000000004E-13</v>
      </c>
      <c r="AS47" s="6">
        <f>IF(Sort_IDAC!$B47="","",IF(Sort_IDAC!AS47=0,0,ROUND(Sort_IDAC!AS47,-1*INT(LOG10(Sort_IDAC!AS47))+2)))</f>
        <v>3.5800000000000002E-18</v>
      </c>
      <c r="AT47" s="6">
        <f>IF(Sort_IDAC!$B47="","",IF(Sort_IDAC!AT47=0,0,ROUND(Sort_IDAC!AT47,-1*INT(LOG10(Sort_IDAC!AT47))+2)))</f>
        <v>7.7399999999999998E-17</v>
      </c>
      <c r="AU47" s="6">
        <f>IF(Sort_IDAC!$B47="","",IF(Sort_IDAC!AU47=0,0,ROUND(Sort_IDAC!AU47,-1*INT(LOG10(Sort_IDAC!AU47))+2)))</f>
        <v>8.7799999999999999E-15</v>
      </c>
      <c r="AV47" s="6">
        <f>IF(Sort_IDAC!$B47="","",IF(Sort_IDAC!AV47=0,0,ROUND(Sort_IDAC!AV47,-1*INT(LOG10(Sort_IDAC!AV47))+2)))</f>
        <v>0</v>
      </c>
      <c r="AW47" s="6">
        <f>IF(Sort_IDAC!$B47="","",IF(Sort_IDAC!AW47=0,0,ROUND(Sort_IDAC!AW47,-1*INT(LOG10(Sort_IDAC!AW47))+2)))</f>
        <v>4.7600000000000001E-18</v>
      </c>
      <c r="AX47" s="6">
        <f>IF(Sort_IDAC!$B47="","",IF(Sort_IDAC!AX47=0,0,ROUND(Sort_IDAC!AX47,-1*INT(LOG10(Sort_IDAC!AX47))+2)))</f>
        <v>3.9499999999999998E-18</v>
      </c>
      <c r="AY47" s="6">
        <f>IF(Sort_IDAC!$B47="","",IF(Sort_IDAC!AY47=0,0,ROUND(Sort_IDAC!AY47,-1*INT(LOG10(Sort_IDAC!AY47))+2)))</f>
        <v>3.9499999999999998E-18</v>
      </c>
      <c r="AZ47" s="6">
        <f>IF(Sort_IDAC!$B47="","",IF(Sort_IDAC!AZ47=0,0,ROUND(Sort_IDAC!AZ47,-1*INT(LOG10(Sort_IDAC!AZ47))+2)))</f>
        <v>1.32E-15</v>
      </c>
      <c r="BA47" s="6">
        <f>IF(Sort_IDAC!$B47="","",IF(Sort_IDAC!BA47=0,0,ROUND(Sort_IDAC!BA47,-1*INT(LOG10(Sort_IDAC!BA47))+2)))</f>
        <v>9.6799999999999995E-16</v>
      </c>
      <c r="BB47" s="6">
        <f>IF(Sort_IDAC!$B47="","",IF(Sort_IDAC!BB47=0,0,ROUND(Sort_IDAC!BB47,-1*INT(LOG10(Sort_IDAC!BB47))+2)))</f>
        <v>2.4500000000000001E-17</v>
      </c>
      <c r="BC47" s="6">
        <f>IF(Sort_IDAC!$B47="","",IF(Sort_IDAC!BC47=0,0,ROUND(Sort_IDAC!BC47,-1*INT(LOG10(Sort_IDAC!BC47))+2)))</f>
        <v>2.3699999999999999E-17</v>
      </c>
      <c r="BD47" s="6">
        <f>IF(Sort_IDAC!$B47="","",IF(Sort_IDAC!BD47=0,0,ROUND(Sort_IDAC!BD47,-1*INT(LOG10(Sort_IDAC!BD47))+2)))</f>
        <v>2.3699999999999999E-17</v>
      </c>
      <c r="BE47" s="6">
        <f>IF(Sort_IDAC!$B47="","",IF(Sort_IDAC!BE47=0,0,ROUND(Sort_IDAC!BE47,-1*INT(LOG10(Sort_IDAC!BE47))+2)))</f>
        <v>1.9700000000000001E-14</v>
      </c>
      <c r="BF47" s="6">
        <f>IF(Sort_IDAC!$B47="","",IF(Sort_IDAC!BF47=0,0,ROUND(Sort_IDAC!BF47,-1*INT(LOG10(Sort_IDAC!BF47))+2)))</f>
        <v>4.1100000000000002E-16</v>
      </c>
      <c r="BG47" s="6">
        <f>IF(Sort_IDAC!$B47="","",IF(Sort_IDAC!BG47=0,0,ROUND(Sort_IDAC!BG47,-1*INT(LOG10(Sort_IDAC!BG47))+2)))</f>
        <v>3.5900000000000002E-17</v>
      </c>
      <c r="BH47" s="6">
        <f>IF(Sort_IDAC!$B47="","",IF(Sort_IDAC!BH47=0,0,ROUND(Sort_IDAC!BH47,-1*INT(LOG10(Sort_IDAC!BH47))+2)))</f>
        <v>2.8599999999999999E-17</v>
      </c>
      <c r="BI47" s="6">
        <f>IF(Sort_IDAC!$B47="","",IF(Sort_IDAC!BI47=0,0,ROUND(Sort_IDAC!BI47,-1*INT(LOG10(Sort_IDAC!BI47))+2)))</f>
        <v>2.8599999999999999E-17</v>
      </c>
      <c r="BJ47" s="6">
        <f>IF(Sort_IDAC!$B47="","",IF(Sort_IDAC!BJ47=0,0,ROUND(Sort_IDAC!BJ47,-1*INT(LOG10(Sort_IDAC!BJ47))+2)))</f>
        <v>2.8599999999999999E-17</v>
      </c>
      <c r="BK47" s="6">
        <f>IF(Sort_IDAC!$B47="","",IF(Sort_IDAC!BK47=0,0,ROUND(Sort_IDAC!BK47,-1*INT(LOG10(Sort_IDAC!BK47))+2)))</f>
        <v>1.35E-16</v>
      </c>
      <c r="BL47" s="6">
        <f>IF(Sort_IDAC!$B47="","",IF(Sort_IDAC!BL47=0,0,ROUND(Sort_IDAC!BL47,-1*INT(LOG10(Sort_IDAC!BL47))+2)))</f>
        <v>1.2500000000000001E-16</v>
      </c>
      <c r="BM47" s="6">
        <f>IF(Sort_IDAC!$B47="","",IF(Sort_IDAC!BM47=0,0,ROUND(Sort_IDAC!BM47,-1*INT(LOG10(Sort_IDAC!BM47))+2)))</f>
        <v>1.14E-16</v>
      </c>
      <c r="BN47" s="6">
        <f>IF(Sort_IDAC!$B47="","",IF(Sort_IDAC!BN47=0,0,ROUND(Sort_IDAC!BN47,-1*INT(LOG10(Sort_IDAC!BN47))+2)))</f>
        <v>1.14E-16</v>
      </c>
      <c r="BO47" s="6">
        <f>IF(Sort_IDAC!$B47="","",IF(Sort_IDAC!BO47=0,0,ROUND(Sort_IDAC!BO47,-1*INT(LOG10(Sort_IDAC!BO47))+2)))</f>
        <v>5.8199999999999994E-14</v>
      </c>
      <c r="BP47" s="6">
        <f>IF(Sort_IDAC!$B47="","",IF(Sort_IDAC!BP47=0,0,ROUND(Sort_IDAC!BP47,-1*INT(LOG10(Sort_IDAC!BP47))+2)))</f>
        <v>5.8199999999999994E-14</v>
      </c>
      <c r="BQ47" s="6">
        <f>IF(Sort_IDAC!$B47="","",IF(Sort_IDAC!BQ47=0,0,ROUND(Sort_IDAC!BQ47,-1*INT(LOG10(Sort_IDAC!BQ47))+2)))</f>
        <v>0</v>
      </c>
      <c r="BR47" s="6">
        <f>IF(Sort_IDAC!$B47="","",IF(Sort_IDAC!BR47=0,0,ROUND(Sort_IDAC!BR47,-1*INT(LOG10(Sort_IDAC!BR47))+2)))</f>
        <v>1.75E-15</v>
      </c>
      <c r="BS47" s="6">
        <f>IF(Sort_IDAC!$B47="","",IF(Sort_IDAC!BS47=0,0,ROUND(Sort_IDAC!BS47,-1*INT(LOG10(Sort_IDAC!BS47))+2)))</f>
        <v>4.8200000000000002E-15</v>
      </c>
      <c r="BT47" s="6">
        <f>IF(Sort_IDAC!$B47="","",IF(Sort_IDAC!BT47=0,0,ROUND(Sort_IDAC!BT47,-1*INT(LOG10(Sort_IDAC!BT47))+2)))</f>
        <v>7.6299999999999998E-13</v>
      </c>
      <c r="BU47" s="6">
        <f>IF(Sort_IDAC!$B47="","",IF(Sort_IDAC!BU47=0,0,ROUND(Sort_IDAC!BU47,-1*INT(LOG10(Sort_IDAC!BU47))+2)))</f>
        <v>6.9100000000000003E-14</v>
      </c>
      <c r="BV47" s="6">
        <f>IF(Sort_IDAC!$B47="","",IF(Sort_IDAC!BV47=0,0,ROUND(Sort_IDAC!BV47,-1*INT(LOG10(Sort_IDAC!BV47))+2)))</f>
        <v>9.8199999999999998E-16</v>
      </c>
      <c r="BW47" s="6">
        <f>IF(Sort_IDAC!$B47="","",IF(Sort_IDAC!BW47=0,0,ROUND(Sort_IDAC!BW47,-1*INT(LOG10(Sort_IDAC!BW47))+2)))</f>
        <v>1.7199999999999999E-15</v>
      </c>
      <c r="BX47" s="6">
        <f>IF(Sort_IDAC!$B47="","",IF(Sort_IDAC!BX47=0,0,ROUND(Sort_IDAC!BX47,-1*INT(LOG10(Sort_IDAC!BX47))+2)))</f>
        <v>1.7199999999999999E-15</v>
      </c>
      <c r="BY47" s="6">
        <f>IF(Sort_IDAC!$B47="","",IF(Sort_IDAC!BY47=0,0,ROUND(Sort_IDAC!BY47,-1*INT(LOG10(Sort_IDAC!BY47))+2)))</f>
        <v>2.66E-17</v>
      </c>
      <c r="BZ47" s="6">
        <f>IF(Sort_IDAC!$B47="","",IF(Sort_IDAC!BZ47=0,0,ROUND(Sort_IDAC!BZ47,-1*INT(LOG10(Sort_IDAC!BZ47))+2)))</f>
        <v>4.8199999999999998E-18</v>
      </c>
      <c r="CA47" s="6">
        <f>IF(Sort_IDAC!$B47="","",IF(Sort_IDAC!CA47=0,0,ROUND(Sort_IDAC!CA47,-1*INT(LOG10(Sort_IDAC!CA47))+2)))</f>
        <v>4.0999999999999998E-18</v>
      </c>
      <c r="CB47" s="6">
        <f>IF(Sort_IDAC!$B47="","",IF(Sort_IDAC!CB47=0,0,ROUND(Sort_IDAC!CB47,-1*INT(LOG10(Sort_IDAC!CB47))+2)))</f>
        <v>3.6399999999999999E-18</v>
      </c>
      <c r="CC47" s="6">
        <f>IF(Sort_IDAC!$B47="","",IF(Sort_IDAC!CC47=0,0,ROUND(Sort_IDAC!CC47,-1*INT(LOG10(Sort_IDAC!CC47))+2)))</f>
        <v>6.7899999999999999E-16</v>
      </c>
      <c r="CD47" s="6"/>
      <c r="CE47" s="6"/>
      <c r="CF47" s="6"/>
      <c r="CG47" s="6"/>
    </row>
    <row r="48" spans="2:85" x14ac:dyDescent="0.15">
      <c r="B48" s="5" t="s">
        <v>38</v>
      </c>
      <c r="C48" s="6">
        <f>IF(Sort_IDAC!$B48="","",IF(Sort_IDAC!C48=0,0,ROUND(Sort_IDAC!C48,-1*INT(LOG10(Sort_IDAC!C48))+2)))</f>
        <v>5.9100000000000004E-16</v>
      </c>
      <c r="D48" s="6">
        <f>IF(Sort_IDAC!$B48="","",IF(Sort_IDAC!D48=0,0,ROUND(Sort_IDAC!D48,-1*INT(LOG10(Sort_IDAC!D48))+2)))</f>
        <v>7.5899999999999998E-17</v>
      </c>
      <c r="E48" s="6">
        <f>IF(Sort_IDAC!$B48="","",IF(Sort_IDAC!E48=0,0,ROUND(Sort_IDAC!E48,-1*INT(LOG10(Sort_IDAC!E48))+2)))</f>
        <v>4.8899999999999996E-16</v>
      </c>
      <c r="F48" s="6">
        <f>IF(Sort_IDAC!$B48="","",IF(Sort_IDAC!F48=0,0,ROUND(Sort_IDAC!F48,-1*INT(LOG10(Sort_IDAC!F48))+2)))</f>
        <v>4.3200000000000002E-16</v>
      </c>
      <c r="G48" s="6">
        <f>IF(Sort_IDAC!$B48="","",IF(Sort_IDAC!G48=0,0,ROUND(Sort_IDAC!G48,-1*INT(LOG10(Sort_IDAC!G48))+2)))</f>
        <v>3.8899999999999997E-15</v>
      </c>
      <c r="H48" s="6">
        <f>IF(Sort_IDAC!$B48="","",IF(Sort_IDAC!H48=0,0,ROUND(Sort_IDAC!H48,-1*INT(LOG10(Sort_IDAC!H48))+2)))</f>
        <v>5.58E-16</v>
      </c>
      <c r="I48" s="6">
        <f>IF(Sort_IDAC!$B48="","",IF(Sort_IDAC!I48=0,0,ROUND(Sort_IDAC!I48,-1*INT(LOG10(Sort_IDAC!I48))+2)))</f>
        <v>1.6E-15</v>
      </c>
      <c r="J48" s="6">
        <f>IF(Sort_IDAC!$B48="","",IF(Sort_IDAC!J48=0,0,ROUND(Sort_IDAC!J48,-1*INT(LOG10(Sort_IDAC!J48))+2)))</f>
        <v>1.6E-15</v>
      </c>
      <c r="K48" s="6">
        <f>IF(Sort_IDAC!$B48="","",IF(Sort_IDAC!K48=0,0,ROUND(Sort_IDAC!K48,-1*INT(LOG10(Sort_IDAC!K48))+2)))</f>
        <v>1.6E-15</v>
      </c>
      <c r="L48" s="6">
        <f>IF(Sort_IDAC!$B48="","",IF(Sort_IDAC!L48=0,0,ROUND(Sort_IDAC!L48,-1*INT(LOG10(Sort_IDAC!L48))+2)))</f>
        <v>4.8899999999999996E-16</v>
      </c>
      <c r="M48" s="6">
        <f>IF(Sort_IDAC!$B48="","",IF(Sort_IDAC!M48=0,0,ROUND(Sort_IDAC!M48,-1*INT(LOG10(Sort_IDAC!M48))+2)))</f>
        <v>4.8899999999999996E-16</v>
      </c>
      <c r="N48" s="6">
        <f>IF(Sort_IDAC!$B48="","",IF(Sort_IDAC!N48=0,0,ROUND(Sort_IDAC!N48,-1*INT(LOG10(Sort_IDAC!N48))+2)))</f>
        <v>4.8899999999999996E-16</v>
      </c>
      <c r="O48" s="6">
        <f>IF(Sort_IDAC!$B48="","",IF(Sort_IDAC!O48=0,0,ROUND(Sort_IDAC!O48,-1*INT(LOG10(Sort_IDAC!O48))+2)))</f>
        <v>1.0999999999999999E-15</v>
      </c>
      <c r="P48" s="6">
        <f>IF(Sort_IDAC!$B48="","",IF(Sort_IDAC!P48=0,0,ROUND(Sort_IDAC!P48,-1*INT(LOG10(Sort_IDAC!P48))+2)))</f>
        <v>2.8400000000000003E-17</v>
      </c>
      <c r="Q48" s="6">
        <f>IF(Sort_IDAC!$B48="","",IF(Sort_IDAC!Q48=0,0,ROUND(Sort_IDAC!Q48,-1*INT(LOG10(Sort_IDAC!Q48))+2)))</f>
        <v>1.8300000000000002E-15</v>
      </c>
      <c r="R48" s="6">
        <f>IF(Sort_IDAC!$B48="","",IF(Sort_IDAC!R48=0,0,ROUND(Sort_IDAC!R48,-1*INT(LOG10(Sort_IDAC!R48))+2)))</f>
        <v>1.8300000000000002E-15</v>
      </c>
      <c r="S48" s="6">
        <f>IF(Sort_IDAC!$B48="","",IF(Sort_IDAC!S48=0,0,ROUND(Sort_IDAC!S48,-1*INT(LOG10(Sort_IDAC!S48))+2)))</f>
        <v>8.7500000000000006E-15</v>
      </c>
      <c r="T48" s="6">
        <f>IF(Sort_IDAC!$B48="","",IF(Sort_IDAC!T48=0,0,ROUND(Sort_IDAC!T48,-1*INT(LOG10(Sort_IDAC!T48))+2)))</f>
        <v>4.4299999999999998E-14</v>
      </c>
      <c r="U48" s="6">
        <f>IF(Sort_IDAC!$B48="","",IF(Sort_IDAC!U48=0,0,ROUND(Sort_IDAC!U48,-1*INT(LOG10(Sort_IDAC!U48))+2)))</f>
        <v>4.4299999999999998E-14</v>
      </c>
      <c r="V48" s="6">
        <f>IF(Sort_IDAC!$B48="","",IF(Sort_IDAC!V48=0,0,ROUND(Sort_IDAC!V48,-1*INT(LOG10(Sort_IDAC!V48))+2)))</f>
        <v>4.4299999999999998E-14</v>
      </c>
      <c r="W48" s="6">
        <f>IF(Sort_IDAC!$B48="","",IF(Sort_IDAC!W48=0,0,ROUND(Sort_IDAC!W48,-1*INT(LOG10(Sort_IDAC!W48))+2)))</f>
        <v>4.4299999999999998E-14</v>
      </c>
      <c r="X48" s="6">
        <f>IF(Sort_IDAC!$B48="","",IF(Sort_IDAC!X48=0,0,ROUND(Sort_IDAC!X48,-1*INT(LOG10(Sort_IDAC!X48))+2)))</f>
        <v>4.4299999999999998E-14</v>
      </c>
      <c r="Y48" s="6">
        <f>IF(Sort_IDAC!$B48="","",IF(Sort_IDAC!Y48=0,0,ROUND(Sort_IDAC!Y48,-1*INT(LOG10(Sort_IDAC!Y48))+2)))</f>
        <v>5.8100000000000001E-15</v>
      </c>
      <c r="Z48" s="6">
        <f>IF(Sort_IDAC!$B48="","",IF(Sort_IDAC!Z48=0,0,ROUND(Sort_IDAC!Z48,-1*INT(LOG10(Sort_IDAC!Z48))+2)))</f>
        <v>8.9999999999999996E-17</v>
      </c>
      <c r="AA48" s="6">
        <f>IF(Sort_IDAC!$B48="","",IF(Sort_IDAC!AA48=0,0,ROUND(Sort_IDAC!AA48,-1*INT(LOG10(Sort_IDAC!AA48))+2)))</f>
        <v>9.2000000000000004E-17</v>
      </c>
      <c r="AB48" s="6">
        <f>IF(Sort_IDAC!$B48="","",IF(Sort_IDAC!AB48=0,0,ROUND(Sort_IDAC!AB48,-1*INT(LOG10(Sort_IDAC!AB48))+2)))</f>
        <v>3.9899999999999998E-16</v>
      </c>
      <c r="AC48" s="6">
        <f>IF(Sort_IDAC!$B48="","",IF(Sort_IDAC!AC48=0,0,ROUND(Sort_IDAC!AC48,-1*INT(LOG10(Sort_IDAC!AC48))+2)))</f>
        <v>5.3299999999999998E-17</v>
      </c>
      <c r="AD48" s="6">
        <f>IF(Sort_IDAC!$B48="","",IF(Sort_IDAC!AD48=0,0,ROUND(Sort_IDAC!AD48,-1*INT(LOG10(Sort_IDAC!AD48))+2)))</f>
        <v>1.68E-17</v>
      </c>
      <c r="AE48" s="6">
        <f>IF(Sort_IDAC!$B48="","",IF(Sort_IDAC!AE48=0,0,ROUND(Sort_IDAC!AE48,-1*INT(LOG10(Sort_IDAC!AE48))+2)))</f>
        <v>1.25E-17</v>
      </c>
      <c r="AF48" s="6">
        <f>IF(Sort_IDAC!$B48="","",IF(Sort_IDAC!AF48=0,0,ROUND(Sort_IDAC!AF48,-1*INT(LOG10(Sort_IDAC!AF48))+2)))</f>
        <v>1.3999999999999999E-17</v>
      </c>
      <c r="AG48" s="6">
        <f>IF(Sort_IDAC!$B48="","",IF(Sort_IDAC!AG48=0,0,ROUND(Sort_IDAC!AG48,-1*INT(LOG10(Sort_IDAC!AG48))+2)))</f>
        <v>1.4199999999999999E-16</v>
      </c>
      <c r="AH48" s="6">
        <f>IF(Sort_IDAC!$B48="","",IF(Sort_IDAC!AH48=0,0,ROUND(Sort_IDAC!AH48,-1*INT(LOG10(Sort_IDAC!AH48))+2)))</f>
        <v>5.2599999999999997E-16</v>
      </c>
      <c r="AI48" s="6">
        <f>IF(Sort_IDAC!$B48="","",IF(Sort_IDAC!AI48=0,0,ROUND(Sort_IDAC!AI48,-1*INT(LOG10(Sort_IDAC!AI48))+2)))</f>
        <v>4.9699999999999999E-16</v>
      </c>
      <c r="AJ48" s="6">
        <f>IF(Sort_IDAC!$B48="","",IF(Sort_IDAC!AJ48=0,0,ROUND(Sort_IDAC!AJ48,-1*INT(LOG10(Sort_IDAC!AJ48))+2)))</f>
        <v>1.92E-14</v>
      </c>
      <c r="AK48" s="6">
        <f>IF(Sort_IDAC!$B48="","",IF(Sort_IDAC!AK48=0,0,ROUND(Sort_IDAC!AK48,-1*INT(LOG10(Sort_IDAC!AK48))+2)))</f>
        <v>6.5899999999999996E-16</v>
      </c>
      <c r="AL48" s="6">
        <f>IF(Sort_IDAC!$B48="","",IF(Sort_IDAC!AL48=0,0,ROUND(Sort_IDAC!AL48,-1*INT(LOG10(Sort_IDAC!AL48))+2)))</f>
        <v>1.8599999999999999E-15</v>
      </c>
      <c r="AM48" s="6">
        <f>IF(Sort_IDAC!$B48="","",IF(Sort_IDAC!AM48=0,0,ROUND(Sort_IDAC!AM48,-1*INT(LOG10(Sort_IDAC!AM48))+2)))</f>
        <v>6.5899999999999996E-16</v>
      </c>
      <c r="AN48" s="6">
        <f>IF(Sort_IDAC!$B48="","",IF(Sort_IDAC!AN48=0,0,ROUND(Sort_IDAC!AN48,-1*INT(LOG10(Sort_IDAC!AN48))+2)))</f>
        <v>1.6800000000000001E-15</v>
      </c>
      <c r="AO48" s="6">
        <f>IF(Sort_IDAC!$B48="","",IF(Sort_IDAC!AO48=0,0,ROUND(Sort_IDAC!AO48,-1*INT(LOG10(Sort_IDAC!AO48))+2)))</f>
        <v>1.6800000000000001E-15</v>
      </c>
      <c r="AP48" s="6">
        <f>IF(Sort_IDAC!$B48="","",IF(Sort_IDAC!AP48=0,0,ROUND(Sort_IDAC!AP48,-1*INT(LOG10(Sort_IDAC!AP48))+2)))</f>
        <v>1.6800000000000001E-15</v>
      </c>
      <c r="AQ48" s="6">
        <f>IF(Sort_IDAC!$B48="","",IF(Sort_IDAC!AQ48=0,0,ROUND(Sort_IDAC!AQ48,-1*INT(LOG10(Sort_IDAC!AQ48))+2)))</f>
        <v>7.4400000000000004E-14</v>
      </c>
      <c r="AR48" s="6">
        <f>IF(Sort_IDAC!$B48="","",IF(Sort_IDAC!AR48=0,0,ROUND(Sort_IDAC!AR48,-1*INT(LOG10(Sort_IDAC!AR48))+2)))</f>
        <v>7.4400000000000004E-14</v>
      </c>
      <c r="AS48" s="6">
        <f>IF(Sort_IDAC!$B48="","",IF(Sort_IDAC!AS48=0,0,ROUND(Sort_IDAC!AS48,-1*INT(LOG10(Sort_IDAC!AS48))+2)))</f>
        <v>3.7899999999999999E-18</v>
      </c>
      <c r="AT48" s="6">
        <f>IF(Sort_IDAC!$B48="","",IF(Sort_IDAC!AT48=0,0,ROUND(Sort_IDAC!AT48,-1*INT(LOG10(Sort_IDAC!AT48))+2)))</f>
        <v>5.8099999999999997E-17</v>
      </c>
      <c r="AU48" s="6">
        <f>IF(Sort_IDAC!$B48="","",IF(Sort_IDAC!AU48=0,0,ROUND(Sort_IDAC!AU48,-1*INT(LOG10(Sort_IDAC!AU48))+2)))</f>
        <v>1.42E-14</v>
      </c>
      <c r="AV48" s="6">
        <f>IF(Sort_IDAC!$B48="","",IF(Sort_IDAC!AV48=0,0,ROUND(Sort_IDAC!AV48,-1*INT(LOG10(Sort_IDAC!AV48))+2)))</f>
        <v>0</v>
      </c>
      <c r="AW48" s="6">
        <f>IF(Sort_IDAC!$B48="","",IF(Sort_IDAC!AW48=0,0,ROUND(Sort_IDAC!AW48,-1*INT(LOG10(Sort_IDAC!AW48))+2)))</f>
        <v>3.5700000000000001E-19</v>
      </c>
      <c r="AX48" s="6">
        <f>IF(Sort_IDAC!$B48="","",IF(Sort_IDAC!AX48=0,0,ROUND(Sort_IDAC!AX48,-1*INT(LOG10(Sort_IDAC!AX48))+2)))</f>
        <v>2.2599999999999999E-18</v>
      </c>
      <c r="AY48" s="6">
        <f>IF(Sort_IDAC!$B48="","",IF(Sort_IDAC!AY48=0,0,ROUND(Sort_IDAC!AY48,-1*INT(LOG10(Sort_IDAC!AY48))+2)))</f>
        <v>2.2599999999999999E-18</v>
      </c>
      <c r="AZ48" s="6">
        <f>IF(Sort_IDAC!$B48="","",IF(Sort_IDAC!AZ48=0,0,ROUND(Sort_IDAC!AZ48,-1*INT(LOG10(Sort_IDAC!AZ48))+2)))</f>
        <v>1.3299999999999999E-15</v>
      </c>
      <c r="BA48" s="6">
        <f>IF(Sort_IDAC!$B48="","",IF(Sort_IDAC!BA48=0,0,ROUND(Sort_IDAC!BA48,-1*INT(LOG10(Sort_IDAC!BA48))+2)))</f>
        <v>8.8399999999999997E-16</v>
      </c>
      <c r="BB48" s="6">
        <f>IF(Sort_IDAC!$B48="","",IF(Sort_IDAC!BB48=0,0,ROUND(Sort_IDAC!BB48,-1*INT(LOG10(Sort_IDAC!BB48))+2)))</f>
        <v>1.7500000000000001E-17</v>
      </c>
      <c r="BC48" s="6">
        <f>IF(Sort_IDAC!$B48="","",IF(Sort_IDAC!BC48=0,0,ROUND(Sort_IDAC!BC48,-1*INT(LOG10(Sort_IDAC!BC48))+2)))</f>
        <v>1.5700000000000001E-17</v>
      </c>
      <c r="BD48" s="6">
        <f>IF(Sort_IDAC!$B48="","",IF(Sort_IDAC!BD48=0,0,ROUND(Sort_IDAC!BD48,-1*INT(LOG10(Sort_IDAC!BD48))+2)))</f>
        <v>1.5700000000000001E-17</v>
      </c>
      <c r="BE48" s="6">
        <f>IF(Sort_IDAC!$B48="","",IF(Sort_IDAC!BE48=0,0,ROUND(Sort_IDAC!BE48,-1*INT(LOG10(Sort_IDAC!BE48))+2)))</f>
        <v>1.9000000000000001E-14</v>
      </c>
      <c r="BF48" s="6">
        <f>IF(Sort_IDAC!$B48="","",IF(Sort_IDAC!BF48=0,0,ROUND(Sort_IDAC!BF48,-1*INT(LOG10(Sort_IDAC!BF48))+2)))</f>
        <v>3.6299999999999998E-16</v>
      </c>
      <c r="BG48" s="6">
        <f>IF(Sort_IDAC!$B48="","",IF(Sort_IDAC!BG48=0,0,ROUND(Sort_IDAC!BG48,-1*INT(LOG10(Sort_IDAC!BG48))+2)))</f>
        <v>2.32E-17</v>
      </c>
      <c r="BH48" s="6">
        <f>IF(Sort_IDAC!$B48="","",IF(Sort_IDAC!BH48=0,0,ROUND(Sort_IDAC!BH48,-1*INT(LOG10(Sort_IDAC!BH48))+2)))</f>
        <v>2.3099999999999999E-17</v>
      </c>
      <c r="BI48" s="6">
        <f>IF(Sort_IDAC!$B48="","",IF(Sort_IDAC!BI48=0,0,ROUND(Sort_IDAC!BI48,-1*INT(LOG10(Sort_IDAC!BI48))+2)))</f>
        <v>2.3399999999999999E-17</v>
      </c>
      <c r="BJ48" s="6">
        <f>IF(Sort_IDAC!$B48="","",IF(Sort_IDAC!BJ48=0,0,ROUND(Sort_IDAC!BJ48,-1*INT(LOG10(Sort_IDAC!BJ48))+2)))</f>
        <v>2.3099999999999999E-17</v>
      </c>
      <c r="BK48" s="6">
        <f>IF(Sort_IDAC!$B48="","",IF(Sort_IDAC!BK48=0,0,ROUND(Sort_IDAC!BK48,-1*INT(LOG10(Sort_IDAC!BK48))+2)))</f>
        <v>1.09E-16</v>
      </c>
      <c r="BL48" s="6">
        <f>IF(Sort_IDAC!$B48="","",IF(Sort_IDAC!BL48=0,0,ROUND(Sort_IDAC!BL48,-1*INT(LOG10(Sort_IDAC!BL48))+2)))</f>
        <v>9.4299999999999999E-17</v>
      </c>
      <c r="BM48" s="6">
        <f>IF(Sort_IDAC!$B48="","",IF(Sort_IDAC!BM48=0,0,ROUND(Sort_IDAC!BM48,-1*INT(LOG10(Sort_IDAC!BM48))+2)))</f>
        <v>9.3399999999999999E-17</v>
      </c>
      <c r="BN48" s="6">
        <f>IF(Sort_IDAC!$B48="","",IF(Sort_IDAC!BN48=0,0,ROUND(Sort_IDAC!BN48,-1*INT(LOG10(Sort_IDAC!BN48))+2)))</f>
        <v>9.3399999999999999E-17</v>
      </c>
      <c r="BO48" s="6">
        <f>IF(Sort_IDAC!$B48="","",IF(Sort_IDAC!BO48=0,0,ROUND(Sort_IDAC!BO48,-1*INT(LOG10(Sort_IDAC!BO48))+2)))</f>
        <v>2.9600000000000001E-14</v>
      </c>
      <c r="BP48" s="6">
        <f>IF(Sort_IDAC!$B48="","",IF(Sort_IDAC!BP48=0,0,ROUND(Sort_IDAC!BP48,-1*INT(LOG10(Sort_IDAC!BP48))+2)))</f>
        <v>2.9600000000000001E-14</v>
      </c>
      <c r="BQ48" s="6">
        <f>IF(Sort_IDAC!$B48="","",IF(Sort_IDAC!BQ48=0,0,ROUND(Sort_IDAC!BQ48,-1*INT(LOG10(Sort_IDAC!BQ48))+2)))</f>
        <v>0</v>
      </c>
      <c r="BR48" s="6">
        <f>IF(Sort_IDAC!$B48="","",IF(Sort_IDAC!BR48=0,0,ROUND(Sort_IDAC!BR48,-1*INT(LOG10(Sort_IDAC!BR48))+2)))</f>
        <v>1.2E-15</v>
      </c>
      <c r="BS48" s="6">
        <f>IF(Sort_IDAC!$B48="","",IF(Sort_IDAC!BS48=0,0,ROUND(Sort_IDAC!BS48,-1*INT(LOG10(Sort_IDAC!BS48))+2)))</f>
        <v>3.3899999999999999E-15</v>
      </c>
      <c r="BT48" s="6">
        <f>IF(Sort_IDAC!$B48="","",IF(Sort_IDAC!BT48=0,0,ROUND(Sort_IDAC!BT48,-1*INT(LOG10(Sort_IDAC!BT48))+2)))</f>
        <v>6.9300000000000005E-14</v>
      </c>
      <c r="BU48" s="6">
        <f>IF(Sort_IDAC!$B48="","",IF(Sort_IDAC!BU48=0,0,ROUND(Sort_IDAC!BU48,-1*INT(LOG10(Sort_IDAC!BU48))+2)))</f>
        <v>1.2200000000000001E-11</v>
      </c>
      <c r="BV48" s="6">
        <f>IF(Sort_IDAC!$B48="","",IF(Sort_IDAC!BV48=0,0,ROUND(Sort_IDAC!BV48,-1*INT(LOG10(Sort_IDAC!BV48))+2)))</f>
        <v>1.0399999999999999E-15</v>
      </c>
      <c r="BW48" s="6">
        <f>IF(Sort_IDAC!$B48="","",IF(Sort_IDAC!BW48=0,0,ROUND(Sort_IDAC!BW48,-1*INT(LOG10(Sort_IDAC!BW48))+2)))</f>
        <v>1.8300000000000002E-15</v>
      </c>
      <c r="BX48" s="6">
        <f>IF(Sort_IDAC!$B48="","",IF(Sort_IDAC!BX48=0,0,ROUND(Sort_IDAC!BX48,-1*INT(LOG10(Sort_IDAC!BX48))+2)))</f>
        <v>1.8300000000000002E-15</v>
      </c>
      <c r="BY48" s="6">
        <f>IF(Sort_IDAC!$B48="","",IF(Sort_IDAC!BY48=0,0,ROUND(Sort_IDAC!BY48,-1*INT(LOG10(Sort_IDAC!BY48))+2)))</f>
        <v>2.0699999999999999E-17</v>
      </c>
      <c r="BZ48" s="6">
        <f>IF(Sort_IDAC!$B48="","",IF(Sort_IDAC!BZ48=0,0,ROUND(Sort_IDAC!BZ48,-1*INT(LOG10(Sort_IDAC!BZ48))+2)))</f>
        <v>8.8300000000000004E-19</v>
      </c>
      <c r="CA48" s="6">
        <f>IF(Sort_IDAC!$B48="","",IF(Sort_IDAC!CA48=0,0,ROUND(Sort_IDAC!CA48,-1*INT(LOG10(Sort_IDAC!CA48))+2)))</f>
        <v>3.33E-18</v>
      </c>
      <c r="CB48" s="6">
        <f>IF(Sort_IDAC!$B48="","",IF(Sort_IDAC!CB48=0,0,ROUND(Sort_IDAC!CB48,-1*INT(LOG10(Sort_IDAC!CB48))+2)))</f>
        <v>2.1899999999999999E-18</v>
      </c>
      <c r="CC48" s="6">
        <f>IF(Sort_IDAC!$B48="","",IF(Sort_IDAC!CC48=0,0,ROUND(Sort_IDAC!CC48,-1*INT(LOG10(Sort_IDAC!CC48))+2)))</f>
        <v>6.6599999999999998E-16</v>
      </c>
      <c r="CD48" s="6"/>
      <c r="CE48" s="6"/>
      <c r="CF48" s="6"/>
      <c r="CG48" s="6"/>
    </row>
    <row r="49" spans="2:85" x14ac:dyDescent="0.15">
      <c r="B49" s="5" t="s">
        <v>39</v>
      </c>
      <c r="C49" s="6">
        <f>IF(Sort_IDAC!$B49="","",IF(Sort_IDAC!C49=0,0,ROUND(Sort_IDAC!C49,-1*INT(LOG10(Sort_IDAC!C49))+2)))</f>
        <v>1.03E-15</v>
      </c>
      <c r="D49" s="6">
        <f>IF(Sort_IDAC!$B49="","",IF(Sort_IDAC!D49=0,0,ROUND(Sort_IDAC!D49,-1*INT(LOG10(Sort_IDAC!D49))+2)))</f>
        <v>3.23E-15</v>
      </c>
      <c r="E49" s="6">
        <f>IF(Sort_IDAC!$B49="","",IF(Sort_IDAC!E49=0,0,ROUND(Sort_IDAC!E49,-1*INT(LOG10(Sort_IDAC!E49))+2)))</f>
        <v>2.6599999999999998E-16</v>
      </c>
      <c r="F49" s="6">
        <f>IF(Sort_IDAC!$B49="","",IF(Sort_IDAC!F49=0,0,ROUND(Sort_IDAC!F49,-1*INT(LOG10(Sort_IDAC!F49))+2)))</f>
        <v>6.3900000000000003E-16</v>
      </c>
      <c r="G49" s="6">
        <f>IF(Sort_IDAC!$B49="","",IF(Sort_IDAC!G49=0,0,ROUND(Sort_IDAC!G49,-1*INT(LOG10(Sort_IDAC!G49))+2)))</f>
        <v>7.9599999999999992E-18</v>
      </c>
      <c r="H49" s="6">
        <f>IF(Sort_IDAC!$B49="","",IF(Sort_IDAC!H49=0,0,ROUND(Sort_IDAC!H49,-1*INT(LOG10(Sort_IDAC!H49))+2)))</f>
        <v>1.99E-16</v>
      </c>
      <c r="I49" s="6">
        <f>IF(Sort_IDAC!$B49="","",IF(Sort_IDAC!I49=0,0,ROUND(Sort_IDAC!I49,-1*INT(LOG10(Sort_IDAC!I49))+2)))</f>
        <v>1.4000000000000001E-16</v>
      </c>
      <c r="J49" s="6">
        <f>IF(Sort_IDAC!$B49="","",IF(Sort_IDAC!J49=0,0,ROUND(Sort_IDAC!J49,-1*INT(LOG10(Sort_IDAC!J49))+2)))</f>
        <v>1.4000000000000001E-16</v>
      </c>
      <c r="K49" s="6">
        <f>IF(Sort_IDAC!$B49="","",IF(Sort_IDAC!K49=0,0,ROUND(Sort_IDAC!K49,-1*INT(LOG10(Sort_IDAC!K49))+2)))</f>
        <v>1.4000000000000001E-16</v>
      </c>
      <c r="L49" s="6">
        <f>IF(Sort_IDAC!$B49="","",IF(Sort_IDAC!L49=0,0,ROUND(Sort_IDAC!L49,-1*INT(LOG10(Sort_IDAC!L49))+2)))</f>
        <v>2.6599999999999998E-16</v>
      </c>
      <c r="M49" s="6">
        <f>IF(Sort_IDAC!$B49="","",IF(Sort_IDAC!M49=0,0,ROUND(Sort_IDAC!M49,-1*INT(LOG10(Sort_IDAC!M49))+2)))</f>
        <v>2.6599999999999998E-16</v>
      </c>
      <c r="N49" s="6">
        <f>IF(Sort_IDAC!$B49="","",IF(Sort_IDAC!N49=0,0,ROUND(Sort_IDAC!N49,-1*INT(LOG10(Sort_IDAC!N49))+2)))</f>
        <v>2.6599999999999998E-16</v>
      </c>
      <c r="O49" s="6">
        <f>IF(Sort_IDAC!$B49="","",IF(Sort_IDAC!O49=0,0,ROUND(Sort_IDAC!O49,-1*INT(LOG10(Sort_IDAC!O49))+2)))</f>
        <v>2.1799999999999999E-15</v>
      </c>
      <c r="P49" s="6">
        <f>IF(Sort_IDAC!$B49="","",IF(Sort_IDAC!P49=0,0,ROUND(Sort_IDAC!P49,-1*INT(LOG10(Sort_IDAC!P49))+2)))</f>
        <v>1.3100000000000001E-16</v>
      </c>
      <c r="Q49" s="6">
        <f>IF(Sort_IDAC!$B49="","",IF(Sort_IDAC!Q49=0,0,ROUND(Sort_IDAC!Q49,-1*INT(LOG10(Sort_IDAC!Q49))+2)))</f>
        <v>1.02E-15</v>
      </c>
      <c r="R49" s="6">
        <f>IF(Sort_IDAC!$B49="","",IF(Sort_IDAC!R49=0,0,ROUND(Sort_IDAC!R49,-1*INT(LOG10(Sort_IDAC!R49))+2)))</f>
        <v>1.02E-15</v>
      </c>
      <c r="S49" s="6">
        <f>IF(Sort_IDAC!$B49="","",IF(Sort_IDAC!S49=0,0,ROUND(Sort_IDAC!S49,-1*INT(LOG10(Sort_IDAC!S49))+2)))</f>
        <v>2.7900000000000001E-17</v>
      </c>
      <c r="T49" s="6">
        <f>IF(Sort_IDAC!$B49="","",IF(Sort_IDAC!T49=0,0,ROUND(Sort_IDAC!T49,-1*INT(LOG10(Sort_IDAC!T49))+2)))</f>
        <v>2.2700000000000001E-17</v>
      </c>
      <c r="U49" s="6">
        <f>IF(Sort_IDAC!$B49="","",IF(Sort_IDAC!U49=0,0,ROUND(Sort_IDAC!U49,-1*INT(LOG10(Sort_IDAC!U49))+2)))</f>
        <v>2.2700000000000001E-17</v>
      </c>
      <c r="V49" s="6">
        <f>IF(Sort_IDAC!$B49="","",IF(Sort_IDAC!V49=0,0,ROUND(Sort_IDAC!V49,-1*INT(LOG10(Sort_IDAC!V49))+2)))</f>
        <v>2.2700000000000001E-17</v>
      </c>
      <c r="W49" s="6">
        <f>IF(Sort_IDAC!$B49="","",IF(Sort_IDAC!W49=0,0,ROUND(Sort_IDAC!W49,-1*INT(LOG10(Sort_IDAC!W49))+2)))</f>
        <v>2.2700000000000001E-17</v>
      </c>
      <c r="X49" s="6">
        <f>IF(Sort_IDAC!$B49="","",IF(Sort_IDAC!X49=0,0,ROUND(Sort_IDAC!X49,-1*INT(LOG10(Sort_IDAC!X49))+2)))</f>
        <v>2.2700000000000001E-17</v>
      </c>
      <c r="Y49" s="6">
        <f>IF(Sort_IDAC!$B49="","",IF(Sort_IDAC!Y49=0,0,ROUND(Sort_IDAC!Y49,-1*INT(LOG10(Sort_IDAC!Y49))+2)))</f>
        <v>2.3600000000000001E-17</v>
      </c>
      <c r="Z49" s="6">
        <f>IF(Sort_IDAC!$B49="","",IF(Sort_IDAC!Z49=0,0,ROUND(Sort_IDAC!Z49,-1*INT(LOG10(Sort_IDAC!Z49))+2)))</f>
        <v>5.1900000000000003E-15</v>
      </c>
      <c r="AA49" s="6">
        <f>IF(Sort_IDAC!$B49="","",IF(Sort_IDAC!AA49=0,0,ROUND(Sort_IDAC!AA49,-1*INT(LOG10(Sort_IDAC!AA49))+2)))</f>
        <v>5.1499999999999997E-15</v>
      </c>
      <c r="AB49" s="6">
        <f>IF(Sort_IDAC!$B49="","",IF(Sort_IDAC!AB49=0,0,ROUND(Sort_IDAC!AB49,-1*INT(LOG10(Sort_IDAC!AB49))+2)))</f>
        <v>3.5399999999999998E-16</v>
      </c>
      <c r="AC49" s="6">
        <f>IF(Sort_IDAC!$B49="","",IF(Sort_IDAC!AC49=0,0,ROUND(Sort_IDAC!AC49,-1*INT(LOG10(Sort_IDAC!AC49))+2)))</f>
        <v>5.3600000000000003E-15</v>
      </c>
      <c r="AD49" s="6">
        <f>IF(Sort_IDAC!$B49="","",IF(Sort_IDAC!AD49=0,0,ROUND(Sort_IDAC!AD49,-1*INT(LOG10(Sort_IDAC!AD49))+2)))</f>
        <v>5.0499999999999996E-15</v>
      </c>
      <c r="AE49" s="6">
        <f>IF(Sort_IDAC!$B49="","",IF(Sort_IDAC!AE49=0,0,ROUND(Sort_IDAC!AE49,-1*INT(LOG10(Sort_IDAC!AE49))+2)))</f>
        <v>5.1799999999999998E-15</v>
      </c>
      <c r="AF49" s="6">
        <f>IF(Sort_IDAC!$B49="","",IF(Sort_IDAC!AF49=0,0,ROUND(Sort_IDAC!AF49,-1*INT(LOG10(Sort_IDAC!AF49))+2)))</f>
        <v>5.1799999999999998E-15</v>
      </c>
      <c r="AG49" s="6">
        <f>IF(Sort_IDAC!$B49="","",IF(Sort_IDAC!AG49=0,0,ROUND(Sort_IDAC!AG49,-1*INT(LOG10(Sort_IDAC!AG49))+2)))</f>
        <v>1.4600000000000001E-15</v>
      </c>
      <c r="AH49" s="6">
        <f>IF(Sort_IDAC!$B49="","",IF(Sort_IDAC!AH49=0,0,ROUND(Sort_IDAC!AH49,-1*INT(LOG10(Sort_IDAC!AH49))+2)))</f>
        <v>2.6200000000000002E-16</v>
      </c>
      <c r="AI49" s="6">
        <f>IF(Sort_IDAC!$B49="","",IF(Sort_IDAC!AI49=0,0,ROUND(Sort_IDAC!AI49,-1*INT(LOG10(Sort_IDAC!AI49))+2)))</f>
        <v>2.6299999999999998E-16</v>
      </c>
      <c r="AJ49" s="6">
        <f>IF(Sort_IDAC!$B49="","",IF(Sort_IDAC!AJ49=0,0,ROUND(Sort_IDAC!AJ49,-1*INT(LOG10(Sort_IDAC!AJ49))+2)))</f>
        <v>3.0099999999999999E-17</v>
      </c>
      <c r="AK49" s="6">
        <f>IF(Sort_IDAC!$B49="","",IF(Sort_IDAC!AK49=0,0,ROUND(Sort_IDAC!AK49,-1*INT(LOG10(Sort_IDAC!AK49))+2)))</f>
        <v>4.9500000000000004E-15</v>
      </c>
      <c r="AL49" s="6">
        <f>IF(Sort_IDAC!$B49="","",IF(Sort_IDAC!AL49=0,0,ROUND(Sort_IDAC!AL49,-1*INT(LOG10(Sort_IDAC!AL49))+2)))</f>
        <v>1.26E-16</v>
      </c>
      <c r="AM49" s="6">
        <f>IF(Sort_IDAC!$B49="","",IF(Sort_IDAC!AM49=0,0,ROUND(Sort_IDAC!AM49,-1*INT(LOG10(Sort_IDAC!AM49))+2)))</f>
        <v>1.0399999999999999E-15</v>
      </c>
      <c r="AN49" s="6">
        <f>IF(Sort_IDAC!$B49="","",IF(Sort_IDAC!AN49=0,0,ROUND(Sort_IDAC!AN49,-1*INT(LOG10(Sort_IDAC!AN49))+2)))</f>
        <v>2.67E-16</v>
      </c>
      <c r="AO49" s="6">
        <f>IF(Sort_IDAC!$B49="","",IF(Sort_IDAC!AO49=0,0,ROUND(Sort_IDAC!AO49,-1*INT(LOG10(Sort_IDAC!AO49))+2)))</f>
        <v>2.67E-16</v>
      </c>
      <c r="AP49" s="6">
        <f>IF(Sort_IDAC!$B49="","",IF(Sort_IDAC!AP49=0,0,ROUND(Sort_IDAC!AP49,-1*INT(LOG10(Sort_IDAC!AP49))+2)))</f>
        <v>2.67E-16</v>
      </c>
      <c r="AQ49" s="6">
        <f>IF(Sort_IDAC!$B49="","",IF(Sort_IDAC!AQ49=0,0,ROUND(Sort_IDAC!AQ49,-1*INT(LOG10(Sort_IDAC!AQ49))+2)))</f>
        <v>2.7800000000000003E-17</v>
      </c>
      <c r="AR49" s="6">
        <f>IF(Sort_IDAC!$B49="","",IF(Sort_IDAC!AR49=0,0,ROUND(Sort_IDAC!AR49,-1*INT(LOG10(Sort_IDAC!AR49))+2)))</f>
        <v>2.7800000000000003E-17</v>
      </c>
      <c r="AS49" s="6">
        <f>IF(Sort_IDAC!$B49="","",IF(Sort_IDAC!AS49=0,0,ROUND(Sort_IDAC!AS49,-1*INT(LOG10(Sort_IDAC!AS49))+2)))</f>
        <v>3.6099999999999999E-15</v>
      </c>
      <c r="AT49" s="6">
        <f>IF(Sort_IDAC!$B49="","",IF(Sort_IDAC!AT49=0,0,ROUND(Sort_IDAC!AT49,-1*INT(LOG10(Sort_IDAC!AT49))+2)))</f>
        <v>7.5699999999999996E-15</v>
      </c>
      <c r="AU49" s="6">
        <f>IF(Sort_IDAC!$B49="","",IF(Sort_IDAC!AU49=0,0,ROUND(Sort_IDAC!AU49,-1*INT(LOG10(Sort_IDAC!AU49))+2)))</f>
        <v>1.1099999999999999E-17</v>
      </c>
      <c r="AV49" s="6">
        <f>IF(Sort_IDAC!$B49="","",IF(Sort_IDAC!AV49=0,0,ROUND(Sort_IDAC!AV49,-1*INT(LOG10(Sort_IDAC!AV49))+2)))</f>
        <v>0</v>
      </c>
      <c r="AW49" s="6">
        <f>IF(Sort_IDAC!$B49="","",IF(Sort_IDAC!AW49=0,0,ROUND(Sort_IDAC!AW49,-1*INT(LOG10(Sort_IDAC!AW49))+2)))</f>
        <v>5.2499999999999997E-15</v>
      </c>
      <c r="AX49" s="6">
        <f>IF(Sort_IDAC!$B49="","",IF(Sort_IDAC!AX49=0,0,ROUND(Sort_IDAC!AX49,-1*INT(LOG10(Sort_IDAC!AX49))+2)))</f>
        <v>4.9900000000000002E-15</v>
      </c>
      <c r="AY49" s="6">
        <f>IF(Sort_IDAC!$B49="","",IF(Sort_IDAC!AY49=0,0,ROUND(Sort_IDAC!AY49,-1*INT(LOG10(Sort_IDAC!AY49))+2)))</f>
        <v>4.9900000000000002E-15</v>
      </c>
      <c r="AZ49" s="6">
        <f>IF(Sort_IDAC!$B49="","",IF(Sort_IDAC!AZ49=0,0,ROUND(Sort_IDAC!AZ49,-1*INT(LOG10(Sort_IDAC!AZ49))+2)))</f>
        <v>3.3300000000000001E-15</v>
      </c>
      <c r="BA49" s="6">
        <f>IF(Sort_IDAC!$B49="","",IF(Sort_IDAC!BA49=0,0,ROUND(Sort_IDAC!BA49,-1*INT(LOG10(Sort_IDAC!BA49))+2)))</f>
        <v>2.6200000000000002E-16</v>
      </c>
      <c r="BB49" s="6">
        <f>IF(Sort_IDAC!$B49="","",IF(Sort_IDAC!BB49=0,0,ROUND(Sort_IDAC!BB49,-1*INT(LOG10(Sort_IDAC!BB49))+2)))</f>
        <v>4.9399999999999998E-15</v>
      </c>
      <c r="BC49" s="6">
        <f>IF(Sort_IDAC!$B49="","",IF(Sort_IDAC!BC49=0,0,ROUND(Sort_IDAC!BC49,-1*INT(LOG10(Sort_IDAC!BC49))+2)))</f>
        <v>5.0699999999999999E-15</v>
      </c>
      <c r="BD49" s="6">
        <f>IF(Sort_IDAC!$B49="","",IF(Sort_IDAC!BD49=0,0,ROUND(Sort_IDAC!BD49,-1*INT(LOG10(Sort_IDAC!BD49))+2)))</f>
        <v>5.0699999999999999E-15</v>
      </c>
      <c r="BE49" s="6">
        <f>IF(Sort_IDAC!$B49="","",IF(Sort_IDAC!BE49=0,0,ROUND(Sort_IDAC!BE49,-1*INT(LOG10(Sort_IDAC!BE49))+2)))</f>
        <v>2.1899999999999999E-17</v>
      </c>
      <c r="BF49" s="6">
        <f>IF(Sort_IDAC!$B49="","",IF(Sort_IDAC!BF49=0,0,ROUND(Sort_IDAC!BF49,-1*INT(LOG10(Sort_IDAC!BF49))+2)))</f>
        <v>3.34E-16</v>
      </c>
      <c r="BG49" s="6">
        <f>IF(Sort_IDAC!$B49="","",IF(Sort_IDAC!BG49=0,0,ROUND(Sort_IDAC!BG49,-1*INT(LOG10(Sort_IDAC!BG49))+2)))</f>
        <v>6.7499999999999996E-15</v>
      </c>
      <c r="BH49" s="6">
        <f>IF(Sort_IDAC!$B49="","",IF(Sort_IDAC!BH49=0,0,ROUND(Sort_IDAC!BH49,-1*INT(LOG10(Sort_IDAC!BH49))+2)))</f>
        <v>8.8699999999999994E-15</v>
      </c>
      <c r="BI49" s="6">
        <f>IF(Sort_IDAC!$B49="","",IF(Sort_IDAC!BI49=0,0,ROUND(Sort_IDAC!BI49,-1*INT(LOG10(Sort_IDAC!BI49))+2)))</f>
        <v>8.8699999999999994E-15</v>
      </c>
      <c r="BJ49" s="6">
        <f>IF(Sort_IDAC!$B49="","",IF(Sort_IDAC!BJ49=0,0,ROUND(Sort_IDAC!BJ49,-1*INT(LOG10(Sort_IDAC!BJ49))+2)))</f>
        <v>8.8699999999999994E-15</v>
      </c>
      <c r="BK49" s="6">
        <f>IF(Sort_IDAC!$B49="","",IF(Sort_IDAC!BK49=0,0,ROUND(Sort_IDAC!BK49,-1*INT(LOG10(Sort_IDAC!BK49))+2)))</f>
        <v>9.5100000000000007E-16</v>
      </c>
      <c r="BL49" s="6">
        <f>IF(Sort_IDAC!$B49="","",IF(Sort_IDAC!BL49=0,0,ROUND(Sort_IDAC!BL49,-1*INT(LOG10(Sort_IDAC!BL49))+2)))</f>
        <v>1.5599999999999999E-15</v>
      </c>
      <c r="BM49" s="6">
        <f>IF(Sort_IDAC!$B49="","",IF(Sort_IDAC!BM49=0,0,ROUND(Sort_IDAC!BM49,-1*INT(LOG10(Sort_IDAC!BM49))+2)))</f>
        <v>2.0500000000000002E-15</v>
      </c>
      <c r="BN49" s="6">
        <f>IF(Sort_IDAC!$B49="","",IF(Sort_IDAC!BN49=0,0,ROUND(Sort_IDAC!BN49,-1*INT(LOG10(Sort_IDAC!BN49))+2)))</f>
        <v>2.0500000000000002E-15</v>
      </c>
      <c r="BO49" s="6">
        <f>IF(Sort_IDAC!$B49="","",IF(Sort_IDAC!BO49=0,0,ROUND(Sort_IDAC!BO49,-1*INT(LOG10(Sort_IDAC!BO49))+2)))</f>
        <v>3.0000000000000001E-17</v>
      </c>
      <c r="BP49" s="6">
        <f>IF(Sort_IDAC!$B49="","",IF(Sort_IDAC!BP49=0,0,ROUND(Sort_IDAC!BP49,-1*INT(LOG10(Sort_IDAC!BP49))+2)))</f>
        <v>3.0000000000000001E-17</v>
      </c>
      <c r="BQ49" s="6">
        <f>IF(Sort_IDAC!$B49="","",IF(Sort_IDAC!BQ49=0,0,ROUND(Sort_IDAC!BQ49,-1*INT(LOG10(Sort_IDAC!BQ49))+2)))</f>
        <v>0</v>
      </c>
      <c r="BR49" s="6">
        <f>IF(Sort_IDAC!$B49="","",IF(Sort_IDAC!BR49=0,0,ROUND(Sort_IDAC!BR49,-1*INT(LOG10(Sort_IDAC!BR49))+2)))</f>
        <v>1.0500000000000001E-16</v>
      </c>
      <c r="BS49" s="6">
        <f>IF(Sort_IDAC!$B49="","",IF(Sort_IDAC!BS49=0,0,ROUND(Sort_IDAC!BS49,-1*INT(LOG10(Sort_IDAC!BS49))+2)))</f>
        <v>5.5999999999999998E-17</v>
      </c>
      <c r="BT49" s="6">
        <f>IF(Sort_IDAC!$B49="","",IF(Sort_IDAC!BT49=0,0,ROUND(Sort_IDAC!BT49,-1*INT(LOG10(Sort_IDAC!BT49))+2)))</f>
        <v>2.7600000000000001E-17</v>
      </c>
      <c r="BU49" s="6">
        <f>IF(Sort_IDAC!$B49="","",IF(Sort_IDAC!BU49=0,0,ROUND(Sort_IDAC!BU49,-1*INT(LOG10(Sort_IDAC!BU49))+2)))</f>
        <v>2.0300000000000001E-17</v>
      </c>
      <c r="BV49" s="6">
        <f>IF(Sort_IDAC!$B49="","",IF(Sort_IDAC!BV49=0,0,ROUND(Sort_IDAC!BV49,-1*INT(LOG10(Sort_IDAC!BV49))+2)))</f>
        <v>1.99E-15</v>
      </c>
      <c r="BW49" s="6">
        <f>IF(Sort_IDAC!$B49="","",IF(Sort_IDAC!BW49=0,0,ROUND(Sort_IDAC!BW49,-1*INT(LOG10(Sort_IDAC!BW49))+2)))</f>
        <v>1.7400000000000001E-15</v>
      </c>
      <c r="BX49" s="6">
        <f>IF(Sort_IDAC!$B49="","",IF(Sort_IDAC!BX49=0,0,ROUND(Sort_IDAC!BX49,-1*INT(LOG10(Sort_IDAC!BX49))+2)))</f>
        <v>1.7400000000000001E-15</v>
      </c>
      <c r="BY49" s="6">
        <f>IF(Sort_IDAC!$B49="","",IF(Sort_IDAC!BY49=0,0,ROUND(Sort_IDAC!BY49,-1*INT(LOG10(Sort_IDAC!BY49))+2)))</f>
        <v>2.3499999999999999E-12</v>
      </c>
      <c r="BZ49" s="6">
        <f>IF(Sort_IDAC!$B49="","",IF(Sort_IDAC!BZ49=0,0,ROUND(Sort_IDAC!BZ49,-1*INT(LOG10(Sort_IDAC!BZ49))+2)))</f>
        <v>4.5399999999999996E-15</v>
      </c>
      <c r="CA49" s="6">
        <f>IF(Sort_IDAC!$B49="","",IF(Sort_IDAC!CA49=0,0,ROUND(Sort_IDAC!CA49,-1*INT(LOG10(Sort_IDAC!CA49))+2)))</f>
        <v>6.1500000000000001E-15</v>
      </c>
      <c r="CB49" s="6">
        <f>IF(Sort_IDAC!$B49="","",IF(Sort_IDAC!CB49=0,0,ROUND(Sort_IDAC!CB49,-1*INT(LOG10(Sort_IDAC!CB49))+2)))</f>
        <v>4.1199999999999999E-15</v>
      </c>
      <c r="CC49" s="6">
        <f>IF(Sort_IDAC!$B49="","",IF(Sort_IDAC!CC49=0,0,ROUND(Sort_IDAC!CC49,-1*INT(LOG10(Sort_IDAC!CC49))+2)))</f>
        <v>1.0499999999999999E-15</v>
      </c>
      <c r="CD49" s="6"/>
      <c r="CE49" s="6"/>
      <c r="CF49" s="6"/>
      <c r="CG49" s="6"/>
    </row>
    <row r="50" spans="2:85" x14ac:dyDescent="0.15">
      <c r="B50" s="5" t="s">
        <v>40</v>
      </c>
      <c r="C50" s="6">
        <f>IF(Sort_IDAC!$B50="","",IF(Sort_IDAC!C50=0,0,ROUND(Sort_IDAC!C50,-1*INT(LOG10(Sort_IDAC!C50))+2)))</f>
        <v>9.0599999999999993E-16</v>
      </c>
      <c r="D50" s="6">
        <f>IF(Sort_IDAC!$B50="","",IF(Sort_IDAC!D50=0,0,ROUND(Sort_IDAC!D50,-1*INT(LOG10(Sort_IDAC!D50))+2)))</f>
        <v>1.4199999999999999E-16</v>
      </c>
      <c r="E50" s="6">
        <f>IF(Sort_IDAC!$B50="","",IF(Sort_IDAC!E50=0,0,ROUND(Sort_IDAC!E50,-1*INT(LOG10(Sort_IDAC!E50))+2)))</f>
        <v>2.9700000000000001E-17</v>
      </c>
      <c r="F50" s="6">
        <f>IF(Sort_IDAC!$B50="","",IF(Sort_IDAC!F50=0,0,ROUND(Sort_IDAC!F50,-1*INT(LOG10(Sort_IDAC!F50))+2)))</f>
        <v>6.6300000000000003E-16</v>
      </c>
      <c r="G50" s="6">
        <f>IF(Sort_IDAC!$B50="","",IF(Sort_IDAC!G50=0,0,ROUND(Sort_IDAC!G50,-1*INT(LOG10(Sort_IDAC!G50))+2)))</f>
        <v>1.7900000000000001E-18</v>
      </c>
      <c r="H50" s="6">
        <f>IF(Sort_IDAC!$B50="","",IF(Sort_IDAC!H50=0,0,ROUND(Sort_IDAC!H50,-1*INT(LOG10(Sort_IDAC!H50))+2)))</f>
        <v>2.41E-17</v>
      </c>
      <c r="I50" s="6">
        <f>IF(Sort_IDAC!$B50="","",IF(Sort_IDAC!I50=0,0,ROUND(Sort_IDAC!I50,-1*INT(LOG10(Sort_IDAC!I50))+2)))</f>
        <v>1.56E-17</v>
      </c>
      <c r="J50" s="6">
        <f>IF(Sort_IDAC!$B50="","",IF(Sort_IDAC!J50=0,0,ROUND(Sort_IDAC!J50,-1*INT(LOG10(Sort_IDAC!J50))+2)))</f>
        <v>1.56E-17</v>
      </c>
      <c r="K50" s="6">
        <f>IF(Sort_IDAC!$B50="","",IF(Sort_IDAC!K50=0,0,ROUND(Sort_IDAC!K50,-1*INT(LOG10(Sort_IDAC!K50))+2)))</f>
        <v>1.56E-17</v>
      </c>
      <c r="L50" s="6">
        <f>IF(Sort_IDAC!$B50="","",IF(Sort_IDAC!L50=0,0,ROUND(Sort_IDAC!L50,-1*INT(LOG10(Sort_IDAC!L50))+2)))</f>
        <v>2.9700000000000001E-17</v>
      </c>
      <c r="M50" s="6">
        <f>IF(Sort_IDAC!$B50="","",IF(Sort_IDAC!M50=0,0,ROUND(Sort_IDAC!M50,-1*INT(LOG10(Sort_IDAC!M50))+2)))</f>
        <v>2.9700000000000001E-17</v>
      </c>
      <c r="N50" s="6">
        <f>IF(Sort_IDAC!$B50="","",IF(Sort_IDAC!N50=0,0,ROUND(Sort_IDAC!N50,-1*INT(LOG10(Sort_IDAC!N50))+2)))</f>
        <v>2.9700000000000001E-17</v>
      </c>
      <c r="O50" s="6">
        <f>IF(Sort_IDAC!$B50="","",IF(Sort_IDAC!O50=0,0,ROUND(Sort_IDAC!O50,-1*INT(LOG10(Sort_IDAC!O50))+2)))</f>
        <v>1.0499999999999999E-15</v>
      </c>
      <c r="P50" s="6">
        <f>IF(Sort_IDAC!$B50="","",IF(Sort_IDAC!P50=0,0,ROUND(Sort_IDAC!P50,-1*INT(LOG10(Sort_IDAC!P50))+2)))</f>
        <v>2.43E-16</v>
      </c>
      <c r="Q50" s="6">
        <f>IF(Sort_IDAC!$B50="","",IF(Sort_IDAC!Q50=0,0,ROUND(Sort_IDAC!Q50,-1*INT(LOG10(Sort_IDAC!Q50))+2)))</f>
        <v>8.0300000000000003E-16</v>
      </c>
      <c r="R50" s="6">
        <f>IF(Sort_IDAC!$B50="","",IF(Sort_IDAC!R50=0,0,ROUND(Sort_IDAC!R50,-1*INT(LOG10(Sort_IDAC!R50))+2)))</f>
        <v>8.0300000000000003E-16</v>
      </c>
      <c r="S50" s="6">
        <f>IF(Sort_IDAC!$B50="","",IF(Sort_IDAC!S50=0,0,ROUND(Sort_IDAC!S50,-1*INT(LOG10(Sort_IDAC!S50))+2)))</f>
        <v>6.2799999999999997E-18</v>
      </c>
      <c r="T50" s="6">
        <f>IF(Sort_IDAC!$B50="","",IF(Sort_IDAC!T50=0,0,ROUND(Sort_IDAC!T50,-1*INT(LOG10(Sort_IDAC!T50))+2)))</f>
        <v>3.9799999999999996E-18</v>
      </c>
      <c r="U50" s="6">
        <f>IF(Sort_IDAC!$B50="","",IF(Sort_IDAC!U50=0,0,ROUND(Sort_IDAC!U50,-1*INT(LOG10(Sort_IDAC!U50))+2)))</f>
        <v>3.9799999999999996E-18</v>
      </c>
      <c r="V50" s="6">
        <f>IF(Sort_IDAC!$B50="","",IF(Sort_IDAC!V50=0,0,ROUND(Sort_IDAC!V50,-1*INT(LOG10(Sort_IDAC!V50))+2)))</f>
        <v>3.9799999999999996E-18</v>
      </c>
      <c r="W50" s="6">
        <f>IF(Sort_IDAC!$B50="","",IF(Sort_IDAC!W50=0,0,ROUND(Sort_IDAC!W50,-1*INT(LOG10(Sort_IDAC!W50))+2)))</f>
        <v>3.9799999999999996E-18</v>
      </c>
      <c r="X50" s="6">
        <f>IF(Sort_IDAC!$B50="","",IF(Sort_IDAC!X50=0,0,ROUND(Sort_IDAC!X50,-1*INT(LOG10(Sort_IDAC!X50))+2)))</f>
        <v>3.9799999999999996E-18</v>
      </c>
      <c r="Y50" s="6">
        <f>IF(Sort_IDAC!$B50="","",IF(Sort_IDAC!Y50=0,0,ROUND(Sort_IDAC!Y50,-1*INT(LOG10(Sort_IDAC!Y50))+2)))</f>
        <v>5.3899999999999998E-18</v>
      </c>
      <c r="Z50" s="6">
        <f>IF(Sort_IDAC!$B50="","",IF(Sort_IDAC!Z50=0,0,ROUND(Sort_IDAC!Z50,-1*INT(LOG10(Sort_IDAC!Z50))+2)))</f>
        <v>1.7200000000000001E-16</v>
      </c>
      <c r="AA50" s="6">
        <f>IF(Sort_IDAC!$B50="","",IF(Sort_IDAC!AA50=0,0,ROUND(Sort_IDAC!AA50,-1*INT(LOG10(Sort_IDAC!AA50))+2)))</f>
        <v>1.7200000000000001E-16</v>
      </c>
      <c r="AB50" s="6">
        <f>IF(Sort_IDAC!$B50="","",IF(Sort_IDAC!AB50=0,0,ROUND(Sort_IDAC!AB50,-1*INT(LOG10(Sort_IDAC!AB50))+2)))</f>
        <v>3.6299999999999999E-17</v>
      </c>
      <c r="AC50" s="6">
        <f>IF(Sort_IDAC!$B50="","",IF(Sort_IDAC!AC50=0,0,ROUND(Sort_IDAC!AC50,-1*INT(LOG10(Sort_IDAC!AC50))+2)))</f>
        <v>2.5300000000000002E-16</v>
      </c>
      <c r="AD50" s="6">
        <f>IF(Sort_IDAC!$B50="","",IF(Sort_IDAC!AD50=0,0,ROUND(Sort_IDAC!AD50,-1*INT(LOG10(Sort_IDAC!AD50))+2)))</f>
        <v>1.8500000000000001E-15</v>
      </c>
      <c r="AE50" s="6">
        <f>IF(Sort_IDAC!$B50="","",IF(Sort_IDAC!AE50=0,0,ROUND(Sort_IDAC!AE50,-1*INT(LOG10(Sort_IDAC!AE50))+2)))</f>
        <v>2.16E-15</v>
      </c>
      <c r="AF50" s="6">
        <f>IF(Sort_IDAC!$B50="","",IF(Sort_IDAC!AF50=0,0,ROUND(Sort_IDAC!AF50,-1*INT(LOG10(Sort_IDAC!AF50))+2)))</f>
        <v>2.16E-15</v>
      </c>
      <c r="AG50" s="6">
        <f>IF(Sort_IDAC!$B50="","",IF(Sort_IDAC!AG50=0,0,ROUND(Sort_IDAC!AG50,-1*INT(LOG10(Sort_IDAC!AG50))+2)))</f>
        <v>1.09E-16</v>
      </c>
      <c r="AH50" s="6">
        <f>IF(Sort_IDAC!$B50="","",IF(Sort_IDAC!AH50=0,0,ROUND(Sort_IDAC!AH50,-1*INT(LOG10(Sort_IDAC!AH50))+2)))</f>
        <v>2.9300000000000003E-17</v>
      </c>
      <c r="AI50" s="6">
        <f>IF(Sort_IDAC!$B50="","",IF(Sort_IDAC!AI50=0,0,ROUND(Sort_IDAC!AI50,-1*INT(LOG10(Sort_IDAC!AI50))+2)))</f>
        <v>2.9000000000000003E-17</v>
      </c>
      <c r="AJ50" s="6">
        <f>IF(Sort_IDAC!$B50="","",IF(Sort_IDAC!AJ50=0,0,ROUND(Sort_IDAC!AJ50,-1*INT(LOG10(Sort_IDAC!AJ50))+2)))</f>
        <v>5.3100000000000002E-18</v>
      </c>
      <c r="AK50" s="6">
        <f>IF(Sort_IDAC!$B50="","",IF(Sort_IDAC!AK50=0,0,ROUND(Sort_IDAC!AK50,-1*INT(LOG10(Sort_IDAC!AK50))+2)))</f>
        <v>2.4699999999999999E-15</v>
      </c>
      <c r="AL50" s="6">
        <f>IF(Sort_IDAC!$B50="","",IF(Sort_IDAC!AL50=0,0,ROUND(Sort_IDAC!AL50,-1*INT(LOG10(Sort_IDAC!AL50))+2)))</f>
        <v>1.4299999999999999E-17</v>
      </c>
      <c r="AM50" s="6">
        <f>IF(Sort_IDAC!$B50="","",IF(Sort_IDAC!AM50=0,0,ROUND(Sort_IDAC!AM50,-1*INT(LOG10(Sort_IDAC!AM50))+2)))</f>
        <v>9.7799999999999992E-16</v>
      </c>
      <c r="AN50" s="6">
        <f>IF(Sort_IDAC!$B50="","",IF(Sort_IDAC!AN50=0,0,ROUND(Sort_IDAC!AN50,-1*INT(LOG10(Sort_IDAC!AN50))+2)))</f>
        <v>2.5500000000000001E-17</v>
      </c>
      <c r="AO50" s="6">
        <f>IF(Sort_IDAC!$B50="","",IF(Sort_IDAC!AO50=0,0,ROUND(Sort_IDAC!AO50,-1*INT(LOG10(Sort_IDAC!AO50))+2)))</f>
        <v>2.5500000000000001E-17</v>
      </c>
      <c r="AP50" s="6">
        <f>IF(Sort_IDAC!$B50="","",IF(Sort_IDAC!AP50=0,0,ROUND(Sort_IDAC!AP50,-1*INT(LOG10(Sort_IDAC!AP50))+2)))</f>
        <v>2.5500000000000001E-17</v>
      </c>
      <c r="AQ50" s="6">
        <f>IF(Sort_IDAC!$B50="","",IF(Sort_IDAC!AQ50=0,0,ROUND(Sort_IDAC!AQ50,-1*INT(LOG10(Sort_IDAC!AQ50))+2)))</f>
        <v>5.2000000000000001E-18</v>
      </c>
      <c r="AR50" s="6">
        <f>IF(Sort_IDAC!$B50="","",IF(Sort_IDAC!AR50=0,0,ROUND(Sort_IDAC!AR50,-1*INT(LOG10(Sort_IDAC!AR50))+2)))</f>
        <v>5.2000000000000001E-18</v>
      </c>
      <c r="AS50" s="6">
        <f>IF(Sort_IDAC!$B50="","",IF(Sort_IDAC!AS50=0,0,ROUND(Sort_IDAC!AS50,-1*INT(LOG10(Sort_IDAC!AS50))+2)))</f>
        <v>1.21E-14</v>
      </c>
      <c r="AT50" s="6">
        <f>IF(Sort_IDAC!$B50="","",IF(Sort_IDAC!AT50=0,0,ROUND(Sort_IDAC!AT50,-1*INT(LOG10(Sort_IDAC!AT50))+2)))</f>
        <v>2.7100000000000002E-16</v>
      </c>
      <c r="AU50" s="6">
        <f>IF(Sort_IDAC!$B50="","",IF(Sort_IDAC!AU50=0,0,ROUND(Sort_IDAC!AU50,-1*INT(LOG10(Sort_IDAC!AU50))+2)))</f>
        <v>1.89E-18</v>
      </c>
      <c r="AV50" s="6">
        <f>IF(Sort_IDAC!$B50="","",IF(Sort_IDAC!AV50=0,0,ROUND(Sort_IDAC!AV50,-1*INT(LOG10(Sort_IDAC!AV50))+2)))</f>
        <v>0</v>
      </c>
      <c r="AW50" s="6">
        <f>IF(Sort_IDAC!$B50="","",IF(Sort_IDAC!AW50=0,0,ROUND(Sort_IDAC!AW50,-1*INT(LOG10(Sort_IDAC!AW50))+2)))</f>
        <v>9.6300000000000007E-15</v>
      </c>
      <c r="AX50" s="6">
        <f>IF(Sort_IDAC!$B50="","",IF(Sort_IDAC!AX50=0,0,ROUND(Sort_IDAC!AX50,-1*INT(LOG10(Sort_IDAC!AX50))+2)))</f>
        <v>1.25E-14</v>
      </c>
      <c r="AY50" s="6">
        <f>IF(Sort_IDAC!$B50="","",IF(Sort_IDAC!AY50=0,0,ROUND(Sort_IDAC!AY50,-1*INT(LOG10(Sort_IDAC!AY50))+2)))</f>
        <v>1.25E-14</v>
      </c>
      <c r="AZ50" s="6">
        <f>IF(Sort_IDAC!$B50="","",IF(Sort_IDAC!AZ50=0,0,ROUND(Sort_IDAC!AZ50,-1*INT(LOG10(Sort_IDAC!AZ50))+2)))</f>
        <v>1.64E-15</v>
      </c>
      <c r="BA50" s="6">
        <f>IF(Sort_IDAC!$B50="","",IF(Sort_IDAC!BA50=0,0,ROUND(Sort_IDAC!BA50,-1*INT(LOG10(Sort_IDAC!BA50))+2)))</f>
        <v>2.9300000000000003E-17</v>
      </c>
      <c r="BB50" s="6">
        <f>IF(Sort_IDAC!$B50="","",IF(Sort_IDAC!BB50=0,0,ROUND(Sort_IDAC!BB50,-1*INT(LOG10(Sort_IDAC!BB50))+2)))</f>
        <v>1.5100000000000001E-15</v>
      </c>
      <c r="BC50" s="6">
        <f>IF(Sort_IDAC!$B50="","",IF(Sort_IDAC!BC50=0,0,ROUND(Sort_IDAC!BC50,-1*INT(LOG10(Sort_IDAC!BC50))+2)))</f>
        <v>1.58E-15</v>
      </c>
      <c r="BD50" s="6">
        <f>IF(Sort_IDAC!$B50="","",IF(Sort_IDAC!BD50=0,0,ROUND(Sort_IDAC!BD50,-1*INT(LOG10(Sort_IDAC!BD50))+2)))</f>
        <v>1.58E-15</v>
      </c>
      <c r="BE50" s="6">
        <f>IF(Sort_IDAC!$B50="","",IF(Sort_IDAC!BE50=0,0,ROUND(Sort_IDAC!BE50,-1*INT(LOG10(Sort_IDAC!BE50))+2)))</f>
        <v>3.4899999999999999E-18</v>
      </c>
      <c r="BF50" s="6">
        <f>IF(Sort_IDAC!$B50="","",IF(Sort_IDAC!BF50=0,0,ROUND(Sort_IDAC!BF50,-1*INT(LOG10(Sort_IDAC!BF50))+2)))</f>
        <v>4.2900000000000002E-16</v>
      </c>
      <c r="BG50" s="6">
        <f>IF(Sort_IDAC!$B50="","",IF(Sort_IDAC!BG50=0,0,ROUND(Sort_IDAC!BG50,-1*INT(LOG10(Sort_IDAC!BG50))+2)))</f>
        <v>4.0400000000000002E-15</v>
      </c>
      <c r="BH50" s="6">
        <f>IF(Sort_IDAC!$B50="","",IF(Sort_IDAC!BH50=0,0,ROUND(Sort_IDAC!BH50,-1*INT(LOG10(Sort_IDAC!BH50))+2)))</f>
        <v>4.1400000000000002E-15</v>
      </c>
      <c r="BI50" s="6">
        <f>IF(Sort_IDAC!$B50="","",IF(Sort_IDAC!BI50=0,0,ROUND(Sort_IDAC!BI50,-1*INT(LOG10(Sort_IDAC!BI50))+2)))</f>
        <v>4.1400000000000002E-15</v>
      </c>
      <c r="BJ50" s="6">
        <f>IF(Sort_IDAC!$B50="","",IF(Sort_IDAC!BJ50=0,0,ROUND(Sort_IDAC!BJ50,-1*INT(LOG10(Sort_IDAC!BJ50))+2)))</f>
        <v>4.1400000000000002E-15</v>
      </c>
      <c r="BK50" s="6">
        <f>IF(Sort_IDAC!$B50="","",IF(Sort_IDAC!BK50=0,0,ROUND(Sort_IDAC!BK50,-1*INT(LOG10(Sort_IDAC!BK50))+2)))</f>
        <v>9.2499999999999999E-17</v>
      </c>
      <c r="BL50" s="6">
        <f>IF(Sort_IDAC!$B50="","",IF(Sort_IDAC!BL50=0,0,ROUND(Sort_IDAC!BL50,-1*INT(LOG10(Sort_IDAC!BL50))+2)))</f>
        <v>1.2800000000000001E-16</v>
      </c>
      <c r="BM50" s="6">
        <f>IF(Sort_IDAC!$B50="","",IF(Sort_IDAC!BM50=0,0,ROUND(Sort_IDAC!BM50,-1*INT(LOG10(Sort_IDAC!BM50))+2)))</f>
        <v>1.61E-16</v>
      </c>
      <c r="BN50" s="6">
        <f>IF(Sort_IDAC!$B50="","",IF(Sort_IDAC!BN50=0,0,ROUND(Sort_IDAC!BN50,-1*INT(LOG10(Sort_IDAC!BN50))+2)))</f>
        <v>1.61E-16</v>
      </c>
      <c r="BO50" s="6">
        <f>IF(Sort_IDAC!$B50="","",IF(Sort_IDAC!BO50=0,0,ROUND(Sort_IDAC!BO50,-1*INT(LOG10(Sort_IDAC!BO50))+2)))</f>
        <v>4.8700000000000003E-18</v>
      </c>
      <c r="BP50" s="6">
        <f>IF(Sort_IDAC!$B50="","",IF(Sort_IDAC!BP50=0,0,ROUND(Sort_IDAC!BP50,-1*INT(LOG10(Sort_IDAC!BP50))+2)))</f>
        <v>4.8700000000000003E-18</v>
      </c>
      <c r="BQ50" s="6">
        <f>IF(Sort_IDAC!$B50="","",IF(Sort_IDAC!BQ50=0,0,ROUND(Sort_IDAC!BQ50,-1*INT(LOG10(Sort_IDAC!BQ50))+2)))</f>
        <v>0</v>
      </c>
      <c r="BR50" s="6">
        <f>IF(Sort_IDAC!$B50="","",IF(Sort_IDAC!BR50=0,0,ROUND(Sort_IDAC!BR50,-1*INT(LOG10(Sort_IDAC!BR50))+2)))</f>
        <v>1.3900000000000002E-17</v>
      </c>
      <c r="BS50" s="6">
        <f>IF(Sort_IDAC!$B50="","",IF(Sort_IDAC!BS50=0,0,ROUND(Sort_IDAC!BS50,-1*INT(LOG10(Sort_IDAC!BS50))+2)))</f>
        <v>7.0199999999999996E-18</v>
      </c>
      <c r="BT50" s="6">
        <f>IF(Sort_IDAC!$B50="","",IF(Sort_IDAC!BT50=0,0,ROUND(Sort_IDAC!BT50,-1*INT(LOG10(Sort_IDAC!BT50))+2)))</f>
        <v>4.05E-18</v>
      </c>
      <c r="BU50" s="6">
        <f>IF(Sort_IDAC!$B50="","",IF(Sort_IDAC!BU50=0,0,ROUND(Sort_IDAC!BU50,-1*INT(LOG10(Sort_IDAC!BU50))+2)))</f>
        <v>3.33E-18</v>
      </c>
      <c r="BV50" s="6">
        <f>IF(Sort_IDAC!$B50="","",IF(Sort_IDAC!BV50=0,0,ROUND(Sort_IDAC!BV50,-1*INT(LOG10(Sort_IDAC!BV50))+2)))</f>
        <v>1.2800000000000001E-15</v>
      </c>
      <c r="BW50" s="6">
        <f>IF(Sort_IDAC!$B50="","",IF(Sort_IDAC!BW50=0,0,ROUND(Sort_IDAC!BW50,-1*INT(LOG10(Sort_IDAC!BW50))+2)))</f>
        <v>8.4500000000000002E-16</v>
      </c>
      <c r="BX50" s="6">
        <f>IF(Sort_IDAC!$B50="","",IF(Sort_IDAC!BX50=0,0,ROUND(Sort_IDAC!BX50,-1*INT(LOG10(Sort_IDAC!BX50))+2)))</f>
        <v>8.4500000000000002E-16</v>
      </c>
      <c r="BY50" s="6">
        <f>IF(Sort_IDAC!$B50="","",IF(Sort_IDAC!BY50=0,0,ROUND(Sort_IDAC!BY50,-1*INT(LOG10(Sort_IDAC!BY50))+2)))</f>
        <v>6.1599999999999999E-15</v>
      </c>
      <c r="BZ50" s="6">
        <f>IF(Sort_IDAC!$B50="","",IF(Sort_IDAC!BZ50=0,0,ROUND(Sort_IDAC!BZ50,-1*INT(LOG10(Sort_IDAC!BZ50))+2)))</f>
        <v>4.98E-14</v>
      </c>
      <c r="CA50" s="6">
        <f>IF(Sort_IDAC!$B50="","",IF(Sort_IDAC!CA50=0,0,ROUND(Sort_IDAC!CA50,-1*INT(LOG10(Sort_IDAC!CA50))+2)))</f>
        <v>9.01E-13</v>
      </c>
      <c r="CB50" s="6">
        <f>IF(Sort_IDAC!$B50="","",IF(Sort_IDAC!CB50=0,0,ROUND(Sort_IDAC!CB50,-1*INT(LOG10(Sort_IDAC!CB50))+2)))</f>
        <v>3.1499999999999998E-14</v>
      </c>
      <c r="CC50" s="6">
        <f>IF(Sort_IDAC!$B50="","",IF(Sort_IDAC!CC50=0,0,ROUND(Sort_IDAC!CC50,-1*INT(LOG10(Sort_IDAC!CC50))+2)))</f>
        <v>9.3199999999999996E-16</v>
      </c>
      <c r="CD50" s="6"/>
      <c r="CE50" s="6"/>
      <c r="CF50" s="6"/>
      <c r="CG50" s="6"/>
    </row>
    <row r="51" spans="2:85" x14ac:dyDescent="0.15">
      <c r="B51" s="5" t="s">
        <v>41</v>
      </c>
      <c r="C51" s="6">
        <f>IF(Sort_IDAC!$B51="","",IF(Sort_IDAC!C51=0,0,ROUND(Sort_IDAC!C51,-1*INT(LOG10(Sort_IDAC!C51))+2)))</f>
        <v>1.02E-15</v>
      </c>
      <c r="D51" s="6">
        <f>IF(Sort_IDAC!$B51="","",IF(Sort_IDAC!D51=0,0,ROUND(Sort_IDAC!D51,-1*INT(LOG10(Sort_IDAC!D51))+2)))</f>
        <v>1.5099999999999999E-16</v>
      </c>
      <c r="E51" s="6">
        <f>IF(Sort_IDAC!$B51="","",IF(Sort_IDAC!E51=0,0,ROUND(Sort_IDAC!E51,-1*INT(LOG10(Sort_IDAC!E51))+2)))</f>
        <v>2.9799999999999999E-17</v>
      </c>
      <c r="F51" s="6">
        <f>IF(Sort_IDAC!$B51="","",IF(Sort_IDAC!F51=0,0,ROUND(Sort_IDAC!F51,-1*INT(LOG10(Sort_IDAC!F51))+2)))</f>
        <v>5.0899999999999999E-16</v>
      </c>
      <c r="G51" s="6">
        <f>IF(Sort_IDAC!$B51="","",IF(Sort_IDAC!G51=0,0,ROUND(Sort_IDAC!G51,-1*INT(LOG10(Sort_IDAC!G51))+2)))</f>
        <v>1.1100000000000001E-18</v>
      </c>
      <c r="H51" s="6">
        <f>IF(Sort_IDAC!$B51="","",IF(Sort_IDAC!H51=0,0,ROUND(Sort_IDAC!H51,-1*INT(LOG10(Sort_IDAC!H51))+2)))</f>
        <v>2.3699999999999999E-17</v>
      </c>
      <c r="I51" s="6">
        <f>IF(Sort_IDAC!$B51="","",IF(Sort_IDAC!I51=0,0,ROUND(Sort_IDAC!I51,-1*INT(LOG10(Sort_IDAC!I51))+2)))</f>
        <v>1.71E-17</v>
      </c>
      <c r="J51" s="6">
        <f>IF(Sort_IDAC!$B51="","",IF(Sort_IDAC!J51=0,0,ROUND(Sort_IDAC!J51,-1*INT(LOG10(Sort_IDAC!J51))+2)))</f>
        <v>1.71E-17</v>
      </c>
      <c r="K51" s="6">
        <f>IF(Sort_IDAC!$B51="","",IF(Sort_IDAC!K51=0,0,ROUND(Sort_IDAC!K51,-1*INT(LOG10(Sort_IDAC!K51))+2)))</f>
        <v>1.71E-17</v>
      </c>
      <c r="L51" s="6">
        <f>IF(Sort_IDAC!$B51="","",IF(Sort_IDAC!L51=0,0,ROUND(Sort_IDAC!L51,-1*INT(LOG10(Sort_IDAC!L51))+2)))</f>
        <v>2.9799999999999999E-17</v>
      </c>
      <c r="M51" s="6">
        <f>IF(Sort_IDAC!$B51="","",IF(Sort_IDAC!M51=0,0,ROUND(Sort_IDAC!M51,-1*INT(LOG10(Sort_IDAC!M51))+2)))</f>
        <v>2.9799999999999999E-17</v>
      </c>
      <c r="N51" s="6">
        <f>IF(Sort_IDAC!$B51="","",IF(Sort_IDAC!N51=0,0,ROUND(Sort_IDAC!N51,-1*INT(LOG10(Sort_IDAC!N51))+2)))</f>
        <v>2.9799999999999999E-17</v>
      </c>
      <c r="O51" s="6">
        <f>IF(Sort_IDAC!$B51="","",IF(Sort_IDAC!O51=0,0,ROUND(Sort_IDAC!O51,-1*INT(LOG10(Sort_IDAC!O51))+2)))</f>
        <v>1.01E-15</v>
      </c>
      <c r="P51" s="6">
        <f>IF(Sort_IDAC!$B51="","",IF(Sort_IDAC!P51=0,0,ROUND(Sort_IDAC!P51,-1*INT(LOG10(Sort_IDAC!P51))+2)))</f>
        <v>2.73E-16</v>
      </c>
      <c r="Q51" s="6">
        <f>IF(Sort_IDAC!$B51="","",IF(Sort_IDAC!Q51=0,0,ROUND(Sort_IDAC!Q51,-1*INT(LOG10(Sort_IDAC!Q51))+2)))</f>
        <v>7.4399999999999996E-16</v>
      </c>
      <c r="R51" s="6">
        <f>IF(Sort_IDAC!$B51="","",IF(Sort_IDAC!R51=0,0,ROUND(Sort_IDAC!R51,-1*INT(LOG10(Sort_IDAC!R51))+2)))</f>
        <v>7.4399999999999996E-16</v>
      </c>
      <c r="S51" s="6">
        <f>IF(Sort_IDAC!$B51="","",IF(Sort_IDAC!S51=0,0,ROUND(Sort_IDAC!S51,-1*INT(LOG10(Sort_IDAC!S51))+2)))</f>
        <v>4.1400000000000003E-18</v>
      </c>
      <c r="T51" s="6">
        <f>IF(Sort_IDAC!$B51="","",IF(Sort_IDAC!T51=0,0,ROUND(Sort_IDAC!T51,-1*INT(LOG10(Sort_IDAC!T51))+2)))</f>
        <v>3.11E-18</v>
      </c>
      <c r="U51" s="6">
        <f>IF(Sort_IDAC!$B51="","",IF(Sort_IDAC!U51=0,0,ROUND(Sort_IDAC!U51,-1*INT(LOG10(Sort_IDAC!U51))+2)))</f>
        <v>3.11E-18</v>
      </c>
      <c r="V51" s="6">
        <f>IF(Sort_IDAC!$B51="","",IF(Sort_IDAC!V51=0,0,ROUND(Sort_IDAC!V51,-1*INT(LOG10(Sort_IDAC!V51))+2)))</f>
        <v>3.11E-18</v>
      </c>
      <c r="W51" s="6">
        <f>IF(Sort_IDAC!$B51="","",IF(Sort_IDAC!W51=0,0,ROUND(Sort_IDAC!W51,-1*INT(LOG10(Sort_IDAC!W51))+2)))</f>
        <v>3.11E-18</v>
      </c>
      <c r="X51" s="6">
        <f>IF(Sort_IDAC!$B51="","",IF(Sort_IDAC!X51=0,0,ROUND(Sort_IDAC!X51,-1*INT(LOG10(Sort_IDAC!X51))+2)))</f>
        <v>3.11E-18</v>
      </c>
      <c r="Y51" s="6">
        <f>IF(Sort_IDAC!$B51="","",IF(Sort_IDAC!Y51=0,0,ROUND(Sort_IDAC!Y51,-1*INT(LOG10(Sort_IDAC!Y51))+2)))</f>
        <v>3.76E-18</v>
      </c>
      <c r="Z51" s="6">
        <f>IF(Sort_IDAC!$B51="","",IF(Sort_IDAC!Z51=0,0,ROUND(Sort_IDAC!Z51,-1*INT(LOG10(Sort_IDAC!Z51))+2)))</f>
        <v>1.64E-16</v>
      </c>
      <c r="AA51" s="6">
        <f>IF(Sort_IDAC!$B51="","",IF(Sort_IDAC!AA51=0,0,ROUND(Sort_IDAC!AA51,-1*INT(LOG10(Sort_IDAC!AA51))+2)))</f>
        <v>1.64E-16</v>
      </c>
      <c r="AB51" s="6">
        <f>IF(Sort_IDAC!$B51="","",IF(Sort_IDAC!AB51=0,0,ROUND(Sort_IDAC!AB51,-1*INT(LOG10(Sort_IDAC!AB51))+2)))</f>
        <v>3.6500000000000001E-17</v>
      </c>
      <c r="AC51" s="6">
        <f>IF(Sort_IDAC!$B51="","",IF(Sort_IDAC!AC51=0,0,ROUND(Sort_IDAC!AC51,-1*INT(LOG10(Sort_IDAC!AC51))+2)))</f>
        <v>2.7499999999999998E-16</v>
      </c>
      <c r="AD51" s="6">
        <f>IF(Sort_IDAC!$B51="","",IF(Sort_IDAC!AD51=0,0,ROUND(Sort_IDAC!AD51,-1*INT(LOG10(Sort_IDAC!AD51))+2)))</f>
        <v>1.43E-15</v>
      </c>
      <c r="AE51" s="6">
        <f>IF(Sort_IDAC!$B51="","",IF(Sort_IDAC!AE51=0,0,ROUND(Sort_IDAC!AE51,-1*INT(LOG10(Sort_IDAC!AE51))+2)))</f>
        <v>1.6E-15</v>
      </c>
      <c r="AF51" s="6">
        <f>IF(Sort_IDAC!$B51="","",IF(Sort_IDAC!AF51=0,0,ROUND(Sort_IDAC!AF51,-1*INT(LOG10(Sort_IDAC!AF51))+2)))</f>
        <v>1.6E-15</v>
      </c>
      <c r="AG51" s="6">
        <f>IF(Sort_IDAC!$B51="","",IF(Sort_IDAC!AG51=0,0,ROUND(Sort_IDAC!AG51,-1*INT(LOG10(Sort_IDAC!AG51))+2)))</f>
        <v>1.1600000000000001E-16</v>
      </c>
      <c r="AH51" s="6">
        <f>IF(Sort_IDAC!$B51="","",IF(Sort_IDAC!AH51=0,0,ROUND(Sort_IDAC!AH51,-1*INT(LOG10(Sort_IDAC!AH51))+2)))</f>
        <v>2.9400000000000001E-17</v>
      </c>
      <c r="AI51" s="6">
        <f>IF(Sort_IDAC!$B51="","",IF(Sort_IDAC!AI51=0,0,ROUND(Sort_IDAC!AI51,-1*INT(LOG10(Sort_IDAC!AI51))+2)))</f>
        <v>3.09E-17</v>
      </c>
      <c r="AJ51" s="6">
        <f>IF(Sort_IDAC!$B51="","",IF(Sort_IDAC!AJ51=0,0,ROUND(Sort_IDAC!AJ51,-1*INT(LOG10(Sort_IDAC!AJ51))+2)))</f>
        <v>4.35E-18</v>
      </c>
      <c r="AK51" s="6">
        <f>IF(Sort_IDAC!$B51="","",IF(Sort_IDAC!AK51=0,0,ROUND(Sort_IDAC!AK51,-1*INT(LOG10(Sort_IDAC!AK51))+2)))</f>
        <v>3.1600000000000001E-15</v>
      </c>
      <c r="AL51" s="6">
        <f>IF(Sort_IDAC!$B51="","",IF(Sort_IDAC!AL51=0,0,ROUND(Sort_IDAC!AL51,-1*INT(LOG10(Sort_IDAC!AL51))+2)))</f>
        <v>1.5100000000000001E-17</v>
      </c>
      <c r="AM51" s="6">
        <f>IF(Sort_IDAC!$B51="","",IF(Sort_IDAC!AM51=0,0,ROUND(Sort_IDAC!AM51,-1*INT(LOG10(Sort_IDAC!AM51))+2)))</f>
        <v>1.09E-15</v>
      </c>
      <c r="AN51" s="6">
        <f>IF(Sort_IDAC!$B51="","",IF(Sort_IDAC!AN51=0,0,ROUND(Sort_IDAC!AN51,-1*INT(LOG10(Sort_IDAC!AN51))+2)))</f>
        <v>2.3699999999999999E-17</v>
      </c>
      <c r="AO51" s="6">
        <f>IF(Sort_IDAC!$B51="","",IF(Sort_IDAC!AO51=0,0,ROUND(Sort_IDAC!AO51,-1*INT(LOG10(Sort_IDAC!AO51))+2)))</f>
        <v>2.3699999999999999E-17</v>
      </c>
      <c r="AP51" s="6">
        <f>IF(Sort_IDAC!$B51="","",IF(Sort_IDAC!AP51=0,0,ROUND(Sort_IDAC!AP51,-1*INT(LOG10(Sort_IDAC!AP51))+2)))</f>
        <v>2.3699999999999999E-17</v>
      </c>
      <c r="AQ51" s="6">
        <f>IF(Sort_IDAC!$B51="","",IF(Sort_IDAC!AQ51=0,0,ROUND(Sort_IDAC!AQ51,-1*INT(LOG10(Sort_IDAC!AQ51))+2)))</f>
        <v>4.4200000000000004E-18</v>
      </c>
      <c r="AR51" s="6">
        <f>IF(Sort_IDAC!$B51="","",IF(Sort_IDAC!AR51=0,0,ROUND(Sort_IDAC!AR51,-1*INT(LOG10(Sort_IDAC!AR51))+2)))</f>
        <v>4.4200000000000004E-18</v>
      </c>
      <c r="AS51" s="6">
        <f>IF(Sort_IDAC!$B51="","",IF(Sort_IDAC!AS51=0,0,ROUND(Sort_IDAC!AS51,-1*INT(LOG10(Sort_IDAC!AS51))+2)))</f>
        <v>4.08E-14</v>
      </c>
      <c r="AT51" s="6">
        <f>IF(Sort_IDAC!$B51="","",IF(Sort_IDAC!AT51=0,0,ROUND(Sort_IDAC!AT51,-1*INT(LOG10(Sort_IDAC!AT51))+2)))</f>
        <v>2.5999999999999998E-16</v>
      </c>
      <c r="AU51" s="6">
        <f>IF(Sort_IDAC!$B51="","",IF(Sort_IDAC!AU51=0,0,ROUND(Sort_IDAC!AU51,-1*INT(LOG10(Sort_IDAC!AU51))+2)))</f>
        <v>1.9200000000000002E-18</v>
      </c>
      <c r="AV51" s="6">
        <f>IF(Sort_IDAC!$B51="","",IF(Sort_IDAC!AV51=0,0,ROUND(Sort_IDAC!AV51,-1*INT(LOG10(Sort_IDAC!AV51))+2)))</f>
        <v>0</v>
      </c>
      <c r="AW51" s="6">
        <f>IF(Sort_IDAC!$B51="","",IF(Sort_IDAC!AW51=0,0,ROUND(Sort_IDAC!AW51,-1*INT(LOG10(Sort_IDAC!AW51))+2)))</f>
        <v>1.9700000000000001E-14</v>
      </c>
      <c r="AX51" s="6">
        <f>IF(Sort_IDAC!$B51="","",IF(Sort_IDAC!AX51=0,0,ROUND(Sort_IDAC!AX51,-1*INT(LOG10(Sort_IDAC!AX51))+2)))</f>
        <v>3.02E-14</v>
      </c>
      <c r="AY51" s="6">
        <f>IF(Sort_IDAC!$B51="","",IF(Sort_IDAC!AY51=0,0,ROUND(Sort_IDAC!AY51,-1*INT(LOG10(Sort_IDAC!AY51))+2)))</f>
        <v>3.02E-14</v>
      </c>
      <c r="AZ51" s="6">
        <f>IF(Sort_IDAC!$B51="","",IF(Sort_IDAC!AZ51=0,0,ROUND(Sort_IDAC!AZ51,-1*INT(LOG10(Sort_IDAC!AZ51))+2)))</f>
        <v>1.7199999999999999E-15</v>
      </c>
      <c r="BA51" s="6">
        <f>IF(Sort_IDAC!$B51="","",IF(Sort_IDAC!BA51=0,0,ROUND(Sort_IDAC!BA51,-1*INT(LOG10(Sort_IDAC!BA51))+2)))</f>
        <v>2.9400000000000001E-17</v>
      </c>
      <c r="BB51" s="6">
        <f>IF(Sort_IDAC!$B51="","",IF(Sort_IDAC!BB51=0,0,ROUND(Sort_IDAC!BB51,-1*INT(LOG10(Sort_IDAC!BB51))+2)))</f>
        <v>1.15E-15</v>
      </c>
      <c r="BC51" s="6">
        <f>IF(Sort_IDAC!$B51="","",IF(Sort_IDAC!BC51=0,0,ROUND(Sort_IDAC!BC51,-1*INT(LOG10(Sort_IDAC!BC51))+2)))</f>
        <v>1.18E-15</v>
      </c>
      <c r="BD51" s="6">
        <f>IF(Sort_IDAC!$B51="","",IF(Sort_IDAC!BD51=0,0,ROUND(Sort_IDAC!BD51,-1*INT(LOG10(Sort_IDAC!BD51))+2)))</f>
        <v>1.18E-15</v>
      </c>
      <c r="BE51" s="6">
        <f>IF(Sort_IDAC!$B51="","",IF(Sort_IDAC!BE51=0,0,ROUND(Sort_IDAC!BE51,-1*INT(LOG10(Sort_IDAC!BE51))+2)))</f>
        <v>3.4400000000000002E-18</v>
      </c>
      <c r="BF51" s="6">
        <f>IF(Sort_IDAC!$B51="","",IF(Sort_IDAC!BF51=0,0,ROUND(Sort_IDAC!BF51,-1*INT(LOG10(Sort_IDAC!BF51))+2)))</f>
        <v>3.6200000000000002E-16</v>
      </c>
      <c r="BG51" s="6">
        <f>IF(Sort_IDAC!$B51="","",IF(Sort_IDAC!BG51=0,0,ROUND(Sort_IDAC!BG51,-1*INT(LOG10(Sort_IDAC!BG51))+2)))</f>
        <v>5.2399999999999999E-15</v>
      </c>
      <c r="BH51" s="6">
        <f>IF(Sort_IDAC!$B51="","",IF(Sort_IDAC!BH51=0,0,ROUND(Sort_IDAC!BH51,-1*INT(LOG10(Sort_IDAC!BH51))+2)))</f>
        <v>4.1599999999999998E-15</v>
      </c>
      <c r="BI51" s="6">
        <f>IF(Sort_IDAC!$B51="","",IF(Sort_IDAC!BI51=0,0,ROUND(Sort_IDAC!BI51,-1*INT(LOG10(Sort_IDAC!BI51))+2)))</f>
        <v>4.1599999999999998E-15</v>
      </c>
      <c r="BJ51" s="6">
        <f>IF(Sort_IDAC!$B51="","",IF(Sort_IDAC!BJ51=0,0,ROUND(Sort_IDAC!BJ51,-1*INT(LOG10(Sort_IDAC!BJ51))+2)))</f>
        <v>4.1599999999999998E-15</v>
      </c>
      <c r="BK51" s="6">
        <f>IF(Sort_IDAC!$B51="","",IF(Sort_IDAC!BK51=0,0,ROUND(Sort_IDAC!BK51,-1*INT(LOG10(Sort_IDAC!BK51))+2)))</f>
        <v>9.9200000000000002E-17</v>
      </c>
      <c r="BL51" s="6">
        <f>IF(Sort_IDAC!$B51="","",IF(Sort_IDAC!BL51=0,0,ROUND(Sort_IDAC!BL51,-1*INT(LOG10(Sort_IDAC!BL51))+2)))</f>
        <v>1.2699999999999999E-16</v>
      </c>
      <c r="BM51" s="6">
        <f>IF(Sort_IDAC!$B51="","",IF(Sort_IDAC!BM51=0,0,ROUND(Sort_IDAC!BM51,-1*INT(LOG10(Sort_IDAC!BM51))+2)))</f>
        <v>1.59E-16</v>
      </c>
      <c r="BN51" s="6">
        <f>IF(Sort_IDAC!$B51="","",IF(Sort_IDAC!BN51=0,0,ROUND(Sort_IDAC!BN51,-1*INT(LOG10(Sort_IDAC!BN51))+2)))</f>
        <v>1.59E-16</v>
      </c>
      <c r="BO51" s="6">
        <f>IF(Sort_IDAC!$B51="","",IF(Sort_IDAC!BO51=0,0,ROUND(Sort_IDAC!BO51,-1*INT(LOG10(Sort_IDAC!BO51))+2)))</f>
        <v>4.06E-18</v>
      </c>
      <c r="BP51" s="6">
        <f>IF(Sort_IDAC!$B51="","",IF(Sort_IDAC!BP51=0,0,ROUND(Sort_IDAC!BP51,-1*INT(LOG10(Sort_IDAC!BP51))+2)))</f>
        <v>4.06E-18</v>
      </c>
      <c r="BQ51" s="6">
        <f>IF(Sort_IDAC!$B51="","",IF(Sort_IDAC!BQ51=0,0,ROUND(Sort_IDAC!BQ51,-1*INT(LOG10(Sort_IDAC!BQ51))+2)))</f>
        <v>0</v>
      </c>
      <c r="BR51" s="6">
        <f>IF(Sort_IDAC!$B51="","",IF(Sort_IDAC!BR51=0,0,ROUND(Sort_IDAC!BR51,-1*INT(LOG10(Sort_IDAC!BR51))+2)))</f>
        <v>1.25E-17</v>
      </c>
      <c r="BS51" s="6">
        <f>IF(Sort_IDAC!$B51="","",IF(Sort_IDAC!BS51=0,0,ROUND(Sort_IDAC!BS51,-1*INT(LOG10(Sort_IDAC!BS51))+2)))</f>
        <v>7.0799999999999993E-18</v>
      </c>
      <c r="BT51" s="6">
        <f>IF(Sort_IDAC!$B51="","",IF(Sort_IDAC!BT51=0,0,ROUND(Sort_IDAC!BT51,-1*INT(LOG10(Sort_IDAC!BT51))+2)))</f>
        <v>4.1600000000000002E-18</v>
      </c>
      <c r="BU51" s="6">
        <f>IF(Sort_IDAC!$B51="","",IF(Sort_IDAC!BU51=0,0,ROUND(Sort_IDAC!BU51,-1*INT(LOG10(Sort_IDAC!BU51))+2)))</f>
        <v>3.0100000000000002E-18</v>
      </c>
      <c r="BV51" s="6">
        <f>IF(Sort_IDAC!$B51="","",IF(Sort_IDAC!BV51=0,0,ROUND(Sort_IDAC!BV51,-1*INT(LOG10(Sort_IDAC!BV51))+2)))</f>
        <v>1.3E-15</v>
      </c>
      <c r="BW51" s="6">
        <f>IF(Sort_IDAC!$B51="","",IF(Sort_IDAC!BW51=0,0,ROUND(Sort_IDAC!BW51,-1*INT(LOG10(Sort_IDAC!BW51))+2)))</f>
        <v>8.3200000000000001E-16</v>
      </c>
      <c r="BX51" s="6">
        <f>IF(Sort_IDAC!$B51="","",IF(Sort_IDAC!BX51=0,0,ROUND(Sort_IDAC!BX51,-1*INT(LOG10(Sort_IDAC!BX51))+2)))</f>
        <v>8.3200000000000001E-16</v>
      </c>
      <c r="BY51" s="6">
        <f>IF(Sort_IDAC!$B51="","",IF(Sort_IDAC!BY51=0,0,ROUND(Sort_IDAC!BY51,-1*INT(LOG10(Sort_IDAC!BY51))+2)))</f>
        <v>4.1599999999999998E-15</v>
      </c>
      <c r="BZ51" s="6">
        <f>IF(Sort_IDAC!$B51="","",IF(Sort_IDAC!BZ51=0,0,ROUND(Sort_IDAC!BZ51,-1*INT(LOG10(Sort_IDAC!BZ51))+2)))</f>
        <v>1.9499999999999999E-14</v>
      </c>
      <c r="CA51" s="6">
        <f>IF(Sort_IDAC!$B51="","",IF(Sort_IDAC!CA51=0,0,ROUND(Sort_IDAC!CA51,-1*INT(LOG10(Sort_IDAC!CA51))+2)))</f>
        <v>3.1499999999999998E-14</v>
      </c>
      <c r="CB51" s="6">
        <f>IF(Sort_IDAC!$B51="","",IF(Sort_IDAC!CB51=0,0,ROUND(Sort_IDAC!CB51,-1*INT(LOG10(Sort_IDAC!CB51))+2)))</f>
        <v>5.5599999999999995E-13</v>
      </c>
      <c r="CC51" s="6">
        <f>IF(Sort_IDAC!$B51="","",IF(Sort_IDAC!CC51=0,0,ROUND(Sort_IDAC!CC51,-1*INT(LOG10(Sort_IDAC!CC51))+2)))</f>
        <v>9.5000000000000005E-16</v>
      </c>
      <c r="CD51" s="6"/>
      <c r="CE51" s="6"/>
      <c r="CF51" s="6"/>
      <c r="CG51" s="6"/>
    </row>
    <row r="52" spans="2:85" x14ac:dyDescent="0.15">
      <c r="C52" s="6"/>
    </row>
    <row r="53" spans="2:85" x14ac:dyDescent="0.15">
      <c r="C53" s="6"/>
    </row>
    <row r="54" spans="2:85" x14ac:dyDescent="0.15">
      <c r="C54" s="6"/>
    </row>
    <row r="55" spans="2:85" x14ac:dyDescent="0.15">
      <c r="C55" s="6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C5B33-32E6-4FA5-A7E5-7A7A09F2742F}">
  <sheetPr codeName="Sheet6"/>
  <dimension ref="B2:H50"/>
  <sheetViews>
    <sheetView zoomScaleNormal="100" workbookViewId="0"/>
  </sheetViews>
  <sheetFormatPr defaultRowHeight="12" x14ac:dyDescent="0.15"/>
  <cols>
    <col min="1" max="1" width="9.140625" style="7"/>
    <col min="2" max="2" width="14.42578125" style="7" customWidth="1"/>
    <col min="3" max="4" width="11" style="7" bestFit="1" customWidth="1"/>
    <col min="5" max="6" width="9.140625" style="7"/>
    <col min="7" max="7" width="12.7109375" style="7" customWidth="1"/>
    <col min="8" max="8" width="14.85546875" style="7" bestFit="1" customWidth="1"/>
    <col min="9" max="16384" width="9.140625" style="7"/>
  </cols>
  <sheetData>
    <row r="2" spans="2:8" s="7" customFormat="1" x14ac:dyDescent="0.15">
      <c r="B2" s="7" t="s">
        <v>45</v>
      </c>
      <c r="D2" s="7" t="s">
        <v>47</v>
      </c>
      <c r="H2" s="7" t="s">
        <v>46</v>
      </c>
    </row>
    <row r="3" spans="2:8" s="7" customFormat="1" x14ac:dyDescent="0.15">
      <c r="B3" s="7" t="s">
        <v>111</v>
      </c>
      <c r="H3" s="7" t="s">
        <v>96</v>
      </c>
    </row>
    <row r="4" spans="2:8" s="7" customFormat="1" x14ac:dyDescent="0.15">
      <c r="B4" s="7" t="s">
        <v>43</v>
      </c>
      <c r="C4" s="6">
        <f>_xlfn.XLOOKUP(B4,$G$4:$G$46,$H$4:$H$46,,0)</f>
        <v>6.7889173139999999E-17</v>
      </c>
      <c r="D4" s="7">
        <f>IF(B4="","",IF(C4=0,0,ROUND(C4,-1*INT(LOG10(C4))+2)))</f>
        <v>6.7900000000000004E-17</v>
      </c>
      <c r="G4" s="12" t="s">
        <v>42</v>
      </c>
      <c r="H4" s="7">
        <v>2.8491566940000003E-16</v>
      </c>
    </row>
    <row r="5" spans="2:8" s="7" customFormat="1" x14ac:dyDescent="0.15">
      <c r="B5" s="7" t="s">
        <v>0</v>
      </c>
      <c r="C5" s="6">
        <f t="shared" ref="C5:C50" si="0">_xlfn.XLOOKUP(B5,$G$4:$G$46,$H$4:$H$46,,0)</f>
        <v>1.8018116280000001E-18</v>
      </c>
      <c r="D5" s="7">
        <f t="shared" ref="D5:D50" si="1">IF(B5="","",IF(C5=0,0,ROUND(C5,-1*INT(LOG10(C5))+2)))</f>
        <v>1.8000000000000001E-18</v>
      </c>
      <c r="G5" s="12" t="s">
        <v>20</v>
      </c>
      <c r="H5" s="7">
        <v>5.2689291479999999E-17</v>
      </c>
    </row>
    <row r="6" spans="2:8" s="7" customFormat="1" x14ac:dyDescent="0.15">
      <c r="B6" s="7" t="s">
        <v>1</v>
      </c>
      <c r="C6" s="6">
        <f t="shared" si="0"/>
        <v>9.4347573660000006E-17</v>
      </c>
      <c r="D6" s="7">
        <f t="shared" si="1"/>
        <v>9.4299999999999999E-17</v>
      </c>
      <c r="G6" s="12" t="s">
        <v>33</v>
      </c>
      <c r="H6" s="7">
        <v>9.9976032E-19</v>
      </c>
    </row>
    <row r="7" spans="2:8" s="7" customFormat="1" x14ac:dyDescent="0.15">
      <c r="B7" s="7" t="s">
        <v>2</v>
      </c>
      <c r="C7" s="6">
        <f t="shared" si="0"/>
        <v>2.048547348E-16</v>
      </c>
      <c r="D7" s="7">
        <f t="shared" si="1"/>
        <v>2.05E-16</v>
      </c>
      <c r="G7" s="12" t="s">
        <v>31</v>
      </c>
      <c r="H7" s="7">
        <v>2.0150617860000002E-18</v>
      </c>
    </row>
    <row r="8" spans="2:8" s="7" customFormat="1" x14ac:dyDescent="0.15">
      <c r="B8" s="7" t="s">
        <v>3</v>
      </c>
      <c r="C8" s="6">
        <f t="shared" si="0"/>
        <v>4.91789151E-19</v>
      </c>
      <c r="D8" s="7">
        <f t="shared" si="1"/>
        <v>4.9199999999999996E-19</v>
      </c>
      <c r="G8" s="12" t="s">
        <v>28</v>
      </c>
      <c r="H8" s="7">
        <v>2.4857822699999999E-18</v>
      </c>
    </row>
    <row r="9" spans="2:8" s="7" customFormat="1" x14ac:dyDescent="0.15">
      <c r="B9" s="13" t="s">
        <v>4</v>
      </c>
      <c r="C9" s="6">
        <f t="shared" si="0"/>
        <v>1.4353129530000003E-17</v>
      </c>
      <c r="D9" s="7">
        <f t="shared" si="1"/>
        <v>1.44E-17</v>
      </c>
      <c r="G9" s="12" t="s">
        <v>14</v>
      </c>
      <c r="H9" s="7">
        <v>3.2224646339999999E-17</v>
      </c>
    </row>
    <row r="10" spans="2:8" s="7" customFormat="1" x14ac:dyDescent="0.15">
      <c r="B10" s="7" t="s">
        <v>5</v>
      </c>
      <c r="C10" s="6">
        <f t="shared" si="0"/>
        <v>1.4353129530000003E-17</v>
      </c>
      <c r="D10" s="7">
        <f t="shared" si="1"/>
        <v>1.44E-17</v>
      </c>
      <c r="G10" s="12" t="s">
        <v>26</v>
      </c>
      <c r="H10" s="7">
        <v>2.9553812279999998E-18</v>
      </c>
    </row>
    <row r="11" spans="2:8" s="7" customFormat="1" x14ac:dyDescent="0.15">
      <c r="B11" s="7" t="s">
        <v>6</v>
      </c>
      <c r="C11" s="6">
        <f t="shared" si="0"/>
        <v>9.4347573660000006E-17</v>
      </c>
      <c r="D11" s="7">
        <f t="shared" si="1"/>
        <v>9.4299999999999999E-17</v>
      </c>
      <c r="G11" s="12" t="s">
        <v>8</v>
      </c>
      <c r="H11" s="7">
        <v>7.6500890640000003E-17</v>
      </c>
    </row>
    <row r="12" spans="2:8" s="7" customFormat="1" x14ac:dyDescent="0.15">
      <c r="C12" s="6" t="e">
        <f t="shared" si="0"/>
        <v>#N/A</v>
      </c>
      <c r="D12" s="7" t="str">
        <f t="shared" si="1"/>
        <v/>
      </c>
      <c r="G12" s="12" t="s">
        <v>9</v>
      </c>
      <c r="H12" s="7">
        <v>1.5030371015999999E-16</v>
      </c>
    </row>
    <row r="13" spans="2:8" s="7" customFormat="1" x14ac:dyDescent="0.15">
      <c r="B13" s="7" t="s">
        <v>7</v>
      </c>
      <c r="C13" s="6">
        <f t="shared" si="0"/>
        <v>1.8634955579999999E-14</v>
      </c>
      <c r="D13" s="7">
        <f t="shared" si="1"/>
        <v>1.8600000000000001E-14</v>
      </c>
      <c r="G13" s="12" t="s">
        <v>16</v>
      </c>
      <c r="H13" s="7">
        <v>3.045103308E-16</v>
      </c>
    </row>
    <row r="14" spans="2:8" s="7" customFormat="1" x14ac:dyDescent="0.15">
      <c r="C14" s="6" t="e">
        <f t="shared" si="0"/>
        <v>#N/A</v>
      </c>
      <c r="D14" s="7" t="str">
        <f t="shared" si="1"/>
        <v/>
      </c>
      <c r="G14" s="12" t="s">
        <v>4</v>
      </c>
      <c r="H14" s="7">
        <v>1.4353129530000003E-17</v>
      </c>
    </row>
    <row r="15" spans="2:8" s="7" customFormat="1" x14ac:dyDescent="0.15">
      <c r="B15" s="7" t="s">
        <v>8</v>
      </c>
      <c r="C15" s="6">
        <f t="shared" si="0"/>
        <v>7.6500890640000003E-17</v>
      </c>
      <c r="D15" s="7">
        <f t="shared" si="1"/>
        <v>7.6499999999999998E-17</v>
      </c>
      <c r="G15" s="12" t="s">
        <v>5</v>
      </c>
      <c r="H15" s="7">
        <v>1.4353129530000003E-17</v>
      </c>
    </row>
    <row r="16" spans="2:8" s="7" customFormat="1" x14ac:dyDescent="0.15">
      <c r="B16" s="7" t="s">
        <v>9</v>
      </c>
      <c r="C16" s="6">
        <f t="shared" si="0"/>
        <v>1.5030371015999999E-16</v>
      </c>
      <c r="D16" s="7">
        <f t="shared" si="1"/>
        <v>1.5E-16</v>
      </c>
      <c r="G16" s="12" t="s">
        <v>6</v>
      </c>
      <c r="H16" s="7">
        <v>9.4347573660000006E-17</v>
      </c>
    </row>
    <row r="17" spans="2:8" s="7" customFormat="1" x14ac:dyDescent="0.15">
      <c r="B17" s="7" t="s">
        <v>10</v>
      </c>
      <c r="C17" s="6">
        <f t="shared" si="0"/>
        <v>3.0609648900000004E-20</v>
      </c>
      <c r="D17" s="7">
        <f t="shared" si="1"/>
        <v>3.0599999999999999E-20</v>
      </c>
      <c r="G17" s="12" t="s">
        <v>1</v>
      </c>
      <c r="H17" s="7">
        <v>9.4347573660000006E-17</v>
      </c>
    </row>
    <row r="18" spans="2:8" s="7" customFormat="1" x14ac:dyDescent="0.15">
      <c r="B18" s="7" t="s">
        <v>11</v>
      </c>
      <c r="C18" s="6">
        <f t="shared" si="0"/>
        <v>1.4788762272000002E-18</v>
      </c>
      <c r="D18" s="7">
        <f t="shared" si="1"/>
        <v>1.48E-18</v>
      </c>
      <c r="G18" s="12" t="s">
        <v>18</v>
      </c>
      <c r="H18" s="7">
        <v>1.811584926E-17</v>
      </c>
    </row>
    <row r="19" spans="2:8" s="7" customFormat="1" x14ac:dyDescent="0.15">
      <c r="B19" s="7" t="s">
        <v>12</v>
      </c>
      <c r="C19" s="6">
        <f t="shared" si="0"/>
        <v>1.1983024656E-17</v>
      </c>
      <c r="D19" s="7">
        <f t="shared" si="1"/>
        <v>1.1999999999999999E-17</v>
      </c>
      <c r="G19" s="12" t="s">
        <v>27</v>
      </c>
      <c r="H19" s="7">
        <v>1.4508220554000001E-14</v>
      </c>
    </row>
    <row r="20" spans="2:8" s="7" customFormat="1" x14ac:dyDescent="0.15">
      <c r="B20" s="7" t="s">
        <v>13</v>
      </c>
      <c r="C20" s="6">
        <f t="shared" si="0"/>
        <v>2.8826422559999999E-18</v>
      </c>
      <c r="D20" s="7">
        <f t="shared" si="1"/>
        <v>2.8800000000000001E-18</v>
      </c>
      <c r="G20" s="12" t="s">
        <v>7</v>
      </c>
      <c r="H20" s="7">
        <v>1.8634955579999999E-14</v>
      </c>
    </row>
    <row r="21" spans="2:8" s="7" customFormat="1" x14ac:dyDescent="0.15">
      <c r="B21" s="13" t="s">
        <v>14</v>
      </c>
      <c r="C21" s="6">
        <f t="shared" si="0"/>
        <v>3.2224646339999999E-17</v>
      </c>
      <c r="D21" s="7">
        <f t="shared" si="1"/>
        <v>3.2199999999999998E-17</v>
      </c>
      <c r="G21" s="12" t="s">
        <v>2</v>
      </c>
      <c r="H21" s="7">
        <v>2.048547348E-16</v>
      </c>
    </row>
    <row r="22" spans="2:8" s="7" customFormat="1" x14ac:dyDescent="0.15">
      <c r="B22" s="7" t="s">
        <v>15</v>
      </c>
      <c r="C22" s="6">
        <f t="shared" si="0"/>
        <v>2.8387425240000002E-17</v>
      </c>
      <c r="D22" s="7">
        <f t="shared" si="1"/>
        <v>2.8400000000000003E-17</v>
      </c>
      <c r="G22" s="12" t="s">
        <v>10</v>
      </c>
      <c r="H22" s="7">
        <v>3.0609648900000004E-20</v>
      </c>
    </row>
    <row r="23" spans="2:8" s="7" customFormat="1" x14ac:dyDescent="0.15">
      <c r="C23" s="6" t="e">
        <f t="shared" si="0"/>
        <v>#N/A</v>
      </c>
      <c r="D23" s="7" t="str">
        <f t="shared" si="1"/>
        <v/>
      </c>
      <c r="G23" s="12" t="s">
        <v>24</v>
      </c>
      <c r="H23" s="7">
        <v>8.7815485800000005E-17</v>
      </c>
    </row>
    <row r="24" spans="2:8" s="7" customFormat="1" x14ac:dyDescent="0.15">
      <c r="C24" s="6" t="e">
        <f t="shared" si="0"/>
        <v>#N/A</v>
      </c>
      <c r="D24" s="7" t="str">
        <f t="shared" si="1"/>
        <v/>
      </c>
      <c r="G24" s="12" t="s">
        <v>37</v>
      </c>
      <c r="H24" s="7">
        <v>1.524794706E-16</v>
      </c>
    </row>
    <row r="25" spans="2:8" s="7" customFormat="1" x14ac:dyDescent="0.15">
      <c r="B25" s="7" t="s">
        <v>16</v>
      </c>
      <c r="C25" s="6">
        <f t="shared" si="0"/>
        <v>3.045103308E-16</v>
      </c>
      <c r="D25" s="7">
        <f t="shared" si="1"/>
        <v>3.0499999999999998E-16</v>
      </c>
      <c r="G25" s="12" t="s">
        <v>38</v>
      </c>
      <c r="H25" s="7">
        <v>3.9492134819999998E-16</v>
      </c>
    </row>
    <row r="26" spans="2:8" s="7" customFormat="1" x14ac:dyDescent="0.15">
      <c r="B26" s="7" t="s">
        <v>17</v>
      </c>
      <c r="C26" s="6">
        <f t="shared" si="0"/>
        <v>7.928868384E-17</v>
      </c>
      <c r="D26" s="7">
        <f t="shared" si="1"/>
        <v>7.9300000000000002E-17</v>
      </c>
      <c r="G26" s="12" t="s">
        <v>29</v>
      </c>
      <c r="H26" s="7">
        <v>2.5314443999999998E-17</v>
      </c>
    </row>
    <row r="27" spans="2:8" s="7" customFormat="1" x14ac:dyDescent="0.15">
      <c r="B27" s="7" t="s">
        <v>18</v>
      </c>
      <c r="C27" s="6">
        <f t="shared" si="0"/>
        <v>1.811584926E-17</v>
      </c>
      <c r="D27" s="7">
        <f t="shared" si="1"/>
        <v>1.8100000000000001E-17</v>
      </c>
      <c r="G27" s="12" t="s">
        <v>36</v>
      </c>
      <c r="H27" s="7">
        <v>2.1474018540000003E-18</v>
      </c>
    </row>
    <row r="28" spans="2:8" s="7" customFormat="1" x14ac:dyDescent="0.15">
      <c r="B28" s="7" t="s">
        <v>19</v>
      </c>
      <c r="C28" s="6">
        <f t="shared" si="0"/>
        <v>1.2483385470000001E-16</v>
      </c>
      <c r="D28" s="7">
        <f t="shared" si="1"/>
        <v>1.2500000000000001E-16</v>
      </c>
      <c r="G28" s="12" t="s">
        <v>3</v>
      </c>
      <c r="H28" s="7">
        <v>4.91789151E-19</v>
      </c>
    </row>
    <row r="29" spans="2:8" s="7" customFormat="1" x14ac:dyDescent="0.15">
      <c r="B29" s="7" t="s">
        <v>20</v>
      </c>
      <c r="C29" s="6">
        <f t="shared" si="0"/>
        <v>5.2689291479999999E-17</v>
      </c>
      <c r="D29" s="7">
        <f t="shared" si="1"/>
        <v>5.2699999999999998E-17</v>
      </c>
      <c r="G29" s="12" t="s">
        <v>35</v>
      </c>
      <c r="H29" s="7">
        <v>2.03396751E-16</v>
      </c>
    </row>
    <row r="30" spans="2:8" s="7" customFormat="1" x14ac:dyDescent="0.15">
      <c r="B30" s="7" t="s">
        <v>21</v>
      </c>
      <c r="C30" s="6">
        <f t="shared" si="0"/>
        <v>2.8491566940000003E-16</v>
      </c>
      <c r="D30" s="7">
        <f t="shared" si="1"/>
        <v>2.85E-16</v>
      </c>
      <c r="G30" s="12" t="s">
        <v>12</v>
      </c>
      <c r="H30" s="7">
        <v>1.1983024656E-17</v>
      </c>
    </row>
    <row r="31" spans="2:8" s="7" customFormat="1" x14ac:dyDescent="0.15">
      <c r="B31" s="7" t="s">
        <v>22</v>
      </c>
      <c r="C31" s="6">
        <f t="shared" si="0"/>
        <v>0</v>
      </c>
      <c r="D31" s="7">
        <f t="shared" si="1"/>
        <v>0</v>
      </c>
      <c r="G31" s="12" t="s">
        <v>0</v>
      </c>
      <c r="H31" s="7">
        <v>1.8018116280000001E-18</v>
      </c>
    </row>
    <row r="32" spans="2:8" s="7" customFormat="1" x14ac:dyDescent="0.15">
      <c r="B32" s="7" t="s">
        <v>23</v>
      </c>
      <c r="C32" s="6">
        <f t="shared" si="0"/>
        <v>1.2600665046E-18</v>
      </c>
      <c r="D32" s="7">
        <f t="shared" si="1"/>
        <v>1.26E-18</v>
      </c>
      <c r="G32" s="12" t="s">
        <v>15</v>
      </c>
      <c r="H32" s="7">
        <v>2.8387425240000002E-17</v>
      </c>
    </row>
    <row r="33" spans="2:8" s="7" customFormat="1" x14ac:dyDescent="0.15">
      <c r="B33" s="7" t="s">
        <v>24</v>
      </c>
      <c r="C33" s="6">
        <f t="shared" si="0"/>
        <v>8.7815485800000005E-17</v>
      </c>
      <c r="D33" s="7">
        <f t="shared" si="1"/>
        <v>8.7800000000000004E-17</v>
      </c>
      <c r="G33" s="12" t="s">
        <v>23</v>
      </c>
      <c r="H33" s="7">
        <v>1.2600665046E-18</v>
      </c>
    </row>
    <row r="34" spans="2:8" s="7" customFormat="1" x14ac:dyDescent="0.15">
      <c r="B34" s="7" t="s">
        <v>25</v>
      </c>
      <c r="C34" s="6">
        <f t="shared" si="0"/>
        <v>3.7088864820000007E-18</v>
      </c>
      <c r="D34" s="7">
        <f t="shared" si="1"/>
        <v>3.7100000000000003E-18</v>
      </c>
      <c r="G34" s="12" t="s">
        <v>13</v>
      </c>
      <c r="H34" s="7">
        <v>2.8826422559999999E-18</v>
      </c>
    </row>
    <row r="35" spans="2:8" s="7" customFormat="1" x14ac:dyDescent="0.15">
      <c r="B35" s="13" t="s">
        <v>26</v>
      </c>
      <c r="C35" s="6">
        <f t="shared" si="0"/>
        <v>2.9553812279999998E-18</v>
      </c>
      <c r="D35" s="7">
        <f t="shared" si="1"/>
        <v>2.96E-18</v>
      </c>
      <c r="G35" s="12" t="s">
        <v>32</v>
      </c>
      <c r="H35" s="7">
        <v>1.772331516E-17</v>
      </c>
    </row>
    <row r="36" spans="2:8" s="7" customFormat="1" x14ac:dyDescent="0.15">
      <c r="B36" s="7" t="s">
        <v>27</v>
      </c>
      <c r="C36" s="6">
        <f t="shared" si="0"/>
        <v>1.4508220554000001E-14</v>
      </c>
      <c r="D36" s="7">
        <f t="shared" si="1"/>
        <v>1.4500000000000001E-14</v>
      </c>
      <c r="G36" s="12" t="s">
        <v>11</v>
      </c>
      <c r="H36" s="7">
        <v>1.4788762272000002E-18</v>
      </c>
    </row>
    <row r="37" spans="2:8" s="7" customFormat="1" x14ac:dyDescent="0.15">
      <c r="B37" s="13" t="s">
        <v>28</v>
      </c>
      <c r="C37" s="6">
        <f t="shared" si="0"/>
        <v>2.4857822699999999E-18</v>
      </c>
      <c r="D37" s="7">
        <f t="shared" si="1"/>
        <v>2.4899999999999998E-18</v>
      </c>
      <c r="G37" s="12" t="s">
        <v>39</v>
      </c>
      <c r="H37" s="7">
        <v>2.9343926700000002E-18</v>
      </c>
    </row>
    <row r="38" spans="2:8" s="7" customFormat="1" x14ac:dyDescent="0.15">
      <c r="B38" s="7" t="s">
        <v>29</v>
      </c>
      <c r="C38" s="6">
        <f t="shared" si="0"/>
        <v>2.5314443999999998E-17</v>
      </c>
      <c r="D38" s="7">
        <f t="shared" si="1"/>
        <v>2.5299999999999999E-17</v>
      </c>
      <c r="G38" s="12" t="s">
        <v>40</v>
      </c>
      <c r="H38" s="7">
        <v>1.3669158888E-17</v>
      </c>
    </row>
    <row r="39" spans="2:8" s="7" customFormat="1" x14ac:dyDescent="0.15">
      <c r="B39" s="7" t="s">
        <v>30</v>
      </c>
      <c r="C39" s="6">
        <f t="shared" si="0"/>
        <v>1.9173288060000002E-17</v>
      </c>
      <c r="D39" s="7">
        <f t="shared" si="1"/>
        <v>1.92E-17</v>
      </c>
      <c r="G39" s="12" t="s">
        <v>22</v>
      </c>
      <c r="H39" s="7">
        <v>0</v>
      </c>
    </row>
    <row r="40" spans="2:8" s="7" customFormat="1" x14ac:dyDescent="0.15">
      <c r="B40" s="13" t="s">
        <v>31</v>
      </c>
      <c r="C40" s="6">
        <f t="shared" si="0"/>
        <v>2.0150617860000002E-18</v>
      </c>
      <c r="D40" s="7">
        <f t="shared" si="1"/>
        <v>2.02E-18</v>
      </c>
      <c r="G40" s="12" t="s">
        <v>34</v>
      </c>
      <c r="H40" s="7">
        <v>9.5256009719999999E-19</v>
      </c>
    </row>
    <row r="41" spans="2:8" s="7" customFormat="1" x14ac:dyDescent="0.15">
      <c r="B41" s="7" t="s">
        <v>32</v>
      </c>
      <c r="C41" s="6">
        <f t="shared" si="0"/>
        <v>1.772331516E-17</v>
      </c>
      <c r="D41" s="7">
        <f t="shared" si="1"/>
        <v>1.77E-17</v>
      </c>
      <c r="G41" s="12" t="s">
        <v>25</v>
      </c>
      <c r="H41" s="7">
        <v>3.7088864820000007E-18</v>
      </c>
    </row>
    <row r="42" spans="2:8" s="7" customFormat="1" x14ac:dyDescent="0.15">
      <c r="B42" s="13" t="s">
        <v>33</v>
      </c>
      <c r="C42" s="6">
        <f t="shared" si="0"/>
        <v>9.9976032E-19</v>
      </c>
      <c r="D42" s="7">
        <f t="shared" si="1"/>
        <v>1.0000000000000001E-18</v>
      </c>
      <c r="G42" s="12" t="s">
        <v>41</v>
      </c>
      <c r="H42" s="7">
        <v>0</v>
      </c>
    </row>
    <row r="43" spans="2:8" s="7" customFormat="1" x14ac:dyDescent="0.15">
      <c r="B43" s="7" t="s">
        <v>34</v>
      </c>
      <c r="C43" s="6">
        <f t="shared" si="0"/>
        <v>9.5256009719999999E-19</v>
      </c>
      <c r="D43" s="7">
        <f t="shared" si="1"/>
        <v>9.5300000000000005E-19</v>
      </c>
      <c r="G43" s="12" t="s">
        <v>17</v>
      </c>
      <c r="H43" s="7">
        <v>7.928868384E-17</v>
      </c>
    </row>
    <row r="44" spans="2:8" s="7" customFormat="1" x14ac:dyDescent="0.15">
      <c r="B44" s="7" t="s">
        <v>35</v>
      </c>
      <c r="C44" s="6">
        <f t="shared" si="0"/>
        <v>2.03396751E-16</v>
      </c>
      <c r="D44" s="7">
        <f t="shared" si="1"/>
        <v>2.03E-16</v>
      </c>
      <c r="G44" s="12" t="s">
        <v>30</v>
      </c>
      <c r="H44" s="7">
        <v>1.9173288060000002E-17</v>
      </c>
    </row>
    <row r="45" spans="2:8" s="7" customFormat="1" x14ac:dyDescent="0.15">
      <c r="B45" s="7" t="s">
        <v>36</v>
      </c>
      <c r="C45" s="6">
        <f t="shared" si="0"/>
        <v>2.1474018540000003E-18</v>
      </c>
      <c r="D45" s="7">
        <f t="shared" si="1"/>
        <v>2.1500000000000001E-18</v>
      </c>
      <c r="G45" s="12" t="s">
        <v>43</v>
      </c>
      <c r="H45" s="7">
        <v>6.7889173139999999E-17</v>
      </c>
    </row>
    <row r="46" spans="2:8" s="7" customFormat="1" x14ac:dyDescent="0.15">
      <c r="B46" s="7" t="s">
        <v>37</v>
      </c>
      <c r="C46" s="6">
        <f t="shared" si="0"/>
        <v>1.524794706E-16</v>
      </c>
      <c r="D46" s="7">
        <f t="shared" si="1"/>
        <v>1.52E-16</v>
      </c>
      <c r="G46" s="12" t="s">
        <v>19</v>
      </c>
      <c r="H46" s="7">
        <v>1.2483385470000001E-16</v>
      </c>
    </row>
    <row r="47" spans="2:8" s="7" customFormat="1" x14ac:dyDescent="0.15">
      <c r="B47" s="7" t="s">
        <v>38</v>
      </c>
      <c r="C47" s="6">
        <f t="shared" si="0"/>
        <v>3.9492134819999998E-16</v>
      </c>
      <c r="D47" s="7">
        <f t="shared" si="1"/>
        <v>3.9500000000000001E-16</v>
      </c>
    </row>
    <row r="48" spans="2:8" s="7" customFormat="1" x14ac:dyDescent="0.15">
      <c r="B48" s="7" t="s">
        <v>39</v>
      </c>
      <c r="C48" s="6">
        <f t="shared" si="0"/>
        <v>2.9343926700000002E-18</v>
      </c>
      <c r="D48" s="7">
        <f t="shared" si="1"/>
        <v>2.9299999999999998E-18</v>
      </c>
    </row>
    <row r="49" spans="2:4" s="7" customFormat="1" x14ac:dyDescent="0.15">
      <c r="B49" s="7" t="s">
        <v>40</v>
      </c>
      <c r="C49" s="6">
        <f t="shared" si="0"/>
        <v>1.3669158888E-17</v>
      </c>
      <c r="D49" s="7">
        <f t="shared" si="1"/>
        <v>1.37E-17</v>
      </c>
    </row>
    <row r="50" spans="2:4" s="7" customFormat="1" x14ac:dyDescent="0.15">
      <c r="B50" s="7" t="s">
        <v>41</v>
      </c>
      <c r="C50" s="6">
        <f t="shared" si="0"/>
        <v>0</v>
      </c>
      <c r="D50" s="7">
        <f t="shared" si="1"/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Home</vt:lpstr>
      <vt:lpstr>S-coe</vt:lpstr>
      <vt:lpstr>Conversion</vt:lpstr>
      <vt:lpstr>Sort_Alpha</vt:lpstr>
      <vt:lpstr>Sort_IDAC</vt:lpstr>
      <vt:lpstr>Paste</vt:lpstr>
      <vt:lpstr>Sheet11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2024-04-11T01:21:23Z</dcterms:created>
  <dcterms:modified xsi:type="dcterms:W3CDTF">2024-04-11T01:22:46Z</dcterms:modified>
</cp:coreProperties>
</file>